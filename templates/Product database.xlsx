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niilo\Claude projects\myapp\templates\"/>
    </mc:Choice>
  </mc:AlternateContent>
  <xr:revisionPtr revIDLastSave="0" documentId="13_ncr:1_{DDFDC944-6FB5-448F-B247-72EBF8A9779C}" xr6:coauthVersionLast="47" xr6:coauthVersionMax="47" xr10:uidLastSave="{00000000-0000-0000-0000-000000000000}"/>
  <bookViews>
    <workbookView xWindow="43080" yWindow="2805" windowWidth="38640" windowHeight="21120" xr2:uid="{BE13D906-C77F-430E-9E3F-AD79F88EAE97}"/>
  </bookViews>
  <sheets>
    <sheet name="Product info" sheetId="1" r:id="rId1"/>
    <sheet name="Dimensions" sheetId="4" r:id="rId2"/>
    <sheet name="Inspection points" sheetId="2" r:id="rId3"/>
    <sheet name="Meta" sheetId="3" r:id="rId4"/>
  </sheets>
  <definedNames>
    <definedName name="_xlnm._FilterDatabase" localSheetId="1" hidden="1">Dimensions!$A$2:$Y$772</definedName>
    <definedName name="_xlnm._FilterDatabase" localSheetId="2" hidden="1">'Inspection points'!$A$1:$BL$611</definedName>
    <definedName name="_xlnm._FilterDatabase" localSheetId="0" hidden="1">'Product info'!$A$1:$BC$185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3" i="4"/>
  <c r="C3" i="4"/>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2" i="1"/>
  <c r="A3" i="1"/>
  <c r="A4" i="1"/>
  <c r="A5" i="1"/>
  <c r="A6" i="1"/>
  <c r="A7" i="1"/>
  <c r="A8" i="1"/>
  <c r="A9" i="1"/>
  <c r="A10" i="1"/>
  <c r="A11" i="1"/>
  <c r="B589" i="4"/>
  <c r="C589" i="4"/>
  <c r="B590" i="4"/>
  <c r="C590" i="4"/>
  <c r="B591" i="4"/>
  <c r="C591" i="4"/>
  <c r="B592" i="4"/>
  <c r="C592" i="4"/>
  <c r="B593" i="4"/>
  <c r="C593" i="4"/>
  <c r="B594" i="4"/>
  <c r="C594" i="4"/>
  <c r="B595" i="4"/>
  <c r="C595" i="4"/>
  <c r="B596" i="4"/>
  <c r="C596" i="4"/>
  <c r="B597" i="4"/>
  <c r="C597" i="4"/>
  <c r="B598" i="4"/>
  <c r="C598" i="4"/>
  <c r="B599" i="4"/>
  <c r="C599" i="4"/>
  <c r="B600" i="4"/>
  <c r="C600" i="4"/>
  <c r="B601" i="4"/>
  <c r="C601" i="4"/>
  <c r="B602" i="4"/>
  <c r="C602" i="4"/>
  <c r="B603" i="4"/>
  <c r="C603" i="4"/>
  <c r="B604" i="4"/>
  <c r="C604" i="4"/>
  <c r="B605" i="4"/>
  <c r="C605" i="4"/>
  <c r="B606" i="4"/>
  <c r="C606" i="4"/>
  <c r="B607" i="4"/>
  <c r="C607" i="4"/>
  <c r="B608" i="4"/>
  <c r="C608" i="4"/>
  <c r="B609" i="4"/>
  <c r="C609" i="4"/>
  <c r="B610" i="4"/>
  <c r="C610" i="4"/>
  <c r="B611" i="4"/>
  <c r="C611" i="4"/>
  <c r="B612" i="4"/>
  <c r="C612" i="4"/>
  <c r="B613" i="4"/>
  <c r="C613" i="4"/>
  <c r="B614" i="4"/>
  <c r="C614" i="4"/>
  <c r="B615" i="4"/>
  <c r="C615" i="4"/>
  <c r="B616" i="4"/>
  <c r="C616" i="4"/>
  <c r="B617" i="4"/>
  <c r="C617" i="4"/>
  <c r="B618" i="4"/>
  <c r="C618" i="4"/>
  <c r="B619" i="4"/>
  <c r="C619" i="4"/>
  <c r="B620" i="4"/>
  <c r="C620" i="4"/>
  <c r="B621" i="4"/>
  <c r="C621" i="4"/>
  <c r="B622" i="4"/>
  <c r="C622" i="4"/>
  <c r="B623" i="4"/>
  <c r="C623" i="4"/>
  <c r="B624" i="4"/>
  <c r="C624" i="4"/>
  <c r="B625" i="4"/>
  <c r="C625" i="4"/>
  <c r="B626" i="4"/>
  <c r="C626" i="4"/>
  <c r="B627" i="4"/>
  <c r="C627" i="4"/>
  <c r="B628" i="4"/>
  <c r="C628" i="4"/>
  <c r="B629" i="4"/>
  <c r="C629" i="4"/>
  <c r="B630" i="4"/>
  <c r="C630" i="4"/>
  <c r="B631" i="4"/>
  <c r="C631" i="4"/>
  <c r="B632" i="4"/>
  <c r="C632" i="4"/>
  <c r="B633" i="4"/>
  <c r="C633" i="4"/>
  <c r="B634" i="4"/>
  <c r="C634" i="4"/>
  <c r="B635" i="4"/>
  <c r="C635" i="4"/>
  <c r="B636" i="4"/>
  <c r="C636" i="4"/>
  <c r="B637" i="4"/>
  <c r="C637" i="4"/>
  <c r="B638" i="4"/>
  <c r="C638" i="4"/>
  <c r="B639" i="4"/>
  <c r="C639" i="4"/>
  <c r="B640" i="4"/>
  <c r="C640" i="4"/>
  <c r="B641" i="4"/>
  <c r="C641" i="4"/>
  <c r="B642" i="4"/>
  <c r="C642" i="4"/>
  <c r="B643" i="4"/>
  <c r="C643" i="4"/>
  <c r="B644" i="4"/>
  <c r="C644" i="4"/>
  <c r="B645" i="4"/>
  <c r="C645" i="4"/>
  <c r="B646" i="4"/>
  <c r="C646" i="4"/>
  <c r="B647" i="4"/>
  <c r="C647" i="4"/>
  <c r="B648" i="4"/>
  <c r="C648" i="4"/>
  <c r="B649" i="4"/>
  <c r="C649" i="4"/>
  <c r="B650" i="4"/>
  <c r="C650" i="4"/>
  <c r="B651" i="4"/>
  <c r="C651" i="4"/>
  <c r="B652" i="4"/>
  <c r="C652" i="4"/>
  <c r="B653" i="4"/>
  <c r="C653" i="4"/>
  <c r="B654" i="4"/>
  <c r="C654" i="4"/>
  <c r="B655" i="4"/>
  <c r="C655" i="4"/>
  <c r="B656" i="4"/>
  <c r="C656" i="4"/>
  <c r="B657" i="4"/>
  <c r="C657" i="4"/>
  <c r="B658" i="4"/>
  <c r="C658" i="4"/>
  <c r="B659" i="4"/>
  <c r="C659" i="4"/>
  <c r="B660" i="4"/>
  <c r="C660" i="4"/>
  <c r="B661" i="4"/>
  <c r="C661" i="4"/>
  <c r="B662" i="4"/>
  <c r="C662" i="4"/>
  <c r="B663" i="4"/>
  <c r="C663" i="4"/>
  <c r="B664" i="4"/>
  <c r="C664" i="4"/>
  <c r="B665" i="4"/>
  <c r="C665" i="4"/>
  <c r="B666" i="4"/>
  <c r="C666" i="4"/>
  <c r="B667" i="4"/>
  <c r="C667" i="4"/>
  <c r="B668" i="4"/>
  <c r="C668" i="4"/>
  <c r="B669" i="4"/>
  <c r="C669" i="4"/>
  <c r="B670" i="4"/>
  <c r="C670" i="4"/>
  <c r="B671" i="4"/>
  <c r="C671" i="4"/>
  <c r="B672" i="4"/>
  <c r="C672" i="4"/>
  <c r="B673" i="4"/>
  <c r="C673" i="4"/>
  <c r="B674" i="4"/>
  <c r="C674" i="4"/>
  <c r="B675" i="4"/>
  <c r="C675" i="4"/>
  <c r="B676" i="4"/>
  <c r="C676" i="4"/>
  <c r="B677" i="4"/>
  <c r="C677" i="4"/>
  <c r="B678" i="4"/>
  <c r="C678" i="4"/>
  <c r="B679" i="4"/>
  <c r="C679" i="4"/>
  <c r="B680" i="4"/>
  <c r="C680" i="4"/>
  <c r="B681" i="4"/>
  <c r="C681" i="4"/>
  <c r="B682" i="4"/>
  <c r="C682" i="4"/>
  <c r="B683" i="4"/>
  <c r="C683" i="4"/>
  <c r="B684" i="4"/>
  <c r="C684" i="4"/>
  <c r="B685" i="4"/>
  <c r="C685" i="4"/>
  <c r="B686" i="4"/>
  <c r="C686" i="4"/>
  <c r="B687" i="4"/>
  <c r="C687" i="4"/>
  <c r="B688" i="4"/>
  <c r="C688" i="4"/>
  <c r="B689" i="4"/>
  <c r="C689" i="4"/>
  <c r="B690" i="4"/>
  <c r="C690" i="4"/>
  <c r="B691" i="4"/>
  <c r="C691" i="4"/>
  <c r="B692" i="4"/>
  <c r="C692" i="4"/>
  <c r="B693" i="4"/>
  <c r="C693" i="4"/>
  <c r="B694" i="4"/>
  <c r="C694" i="4"/>
  <c r="B695" i="4"/>
  <c r="C695" i="4"/>
  <c r="B696" i="4"/>
  <c r="C696" i="4"/>
  <c r="B697" i="4"/>
  <c r="C697" i="4"/>
  <c r="B698" i="4"/>
  <c r="C698" i="4"/>
  <c r="B699" i="4"/>
  <c r="C699" i="4"/>
  <c r="B700" i="4"/>
  <c r="C700" i="4"/>
  <c r="B701" i="4"/>
  <c r="C701" i="4"/>
  <c r="B702" i="4"/>
  <c r="C702" i="4"/>
  <c r="B703" i="4"/>
  <c r="C703" i="4"/>
  <c r="B704" i="4"/>
  <c r="C704" i="4"/>
  <c r="B705" i="4"/>
  <c r="C705" i="4"/>
  <c r="B706" i="4"/>
  <c r="C706" i="4"/>
  <c r="B707" i="4"/>
  <c r="C707" i="4"/>
  <c r="B708" i="4"/>
  <c r="C708" i="4"/>
  <c r="B709" i="4"/>
  <c r="C709" i="4"/>
  <c r="B710" i="4"/>
  <c r="C710" i="4"/>
  <c r="B711" i="4"/>
  <c r="C711" i="4"/>
  <c r="B712" i="4"/>
  <c r="C712" i="4"/>
  <c r="B713" i="4"/>
  <c r="C713" i="4"/>
  <c r="B714" i="4"/>
  <c r="C714" i="4"/>
  <c r="B715" i="4"/>
  <c r="C715" i="4"/>
  <c r="B716" i="4"/>
  <c r="C716" i="4"/>
  <c r="B717" i="4"/>
  <c r="C717" i="4"/>
  <c r="B718" i="4"/>
  <c r="C718" i="4"/>
  <c r="B719" i="4"/>
  <c r="C719" i="4"/>
  <c r="B720" i="4"/>
  <c r="C720" i="4"/>
  <c r="B721" i="4"/>
  <c r="C721" i="4"/>
  <c r="B722" i="4"/>
  <c r="C722" i="4"/>
  <c r="B723" i="4"/>
  <c r="C723" i="4"/>
  <c r="B724" i="4"/>
  <c r="C724" i="4"/>
  <c r="B725" i="4"/>
  <c r="C725" i="4"/>
  <c r="B726" i="4"/>
  <c r="C726" i="4"/>
  <c r="B727" i="4"/>
  <c r="C727" i="4"/>
  <c r="B728" i="4"/>
  <c r="C728" i="4"/>
  <c r="B729" i="4"/>
  <c r="C729" i="4"/>
  <c r="B730" i="4"/>
  <c r="C730" i="4"/>
  <c r="B731" i="4"/>
  <c r="C731" i="4"/>
  <c r="B732" i="4"/>
  <c r="C732" i="4"/>
  <c r="B733" i="4"/>
  <c r="C733" i="4"/>
  <c r="B734" i="4"/>
  <c r="C734" i="4"/>
  <c r="B735" i="4"/>
  <c r="C735" i="4"/>
  <c r="B736" i="4"/>
  <c r="C736" i="4"/>
  <c r="B737" i="4"/>
  <c r="C737" i="4"/>
  <c r="B738" i="4"/>
  <c r="C738" i="4"/>
  <c r="B739" i="4"/>
  <c r="C739" i="4"/>
  <c r="B740" i="4"/>
  <c r="C740" i="4"/>
  <c r="B741" i="4"/>
  <c r="C741" i="4"/>
  <c r="B742" i="4"/>
  <c r="C742" i="4"/>
  <c r="B743" i="4"/>
  <c r="C743" i="4"/>
  <c r="B744" i="4"/>
  <c r="C744" i="4"/>
  <c r="B745" i="4"/>
  <c r="C745" i="4"/>
  <c r="B746" i="4"/>
  <c r="C746" i="4"/>
  <c r="B747" i="4"/>
  <c r="C747" i="4"/>
  <c r="B748" i="4"/>
  <c r="C748" i="4"/>
  <c r="B749" i="4"/>
  <c r="C749" i="4"/>
  <c r="B750" i="4"/>
  <c r="C750" i="4"/>
  <c r="B751" i="4"/>
  <c r="C751" i="4"/>
  <c r="B752" i="4"/>
  <c r="C752" i="4"/>
  <c r="B753" i="4"/>
  <c r="C753" i="4"/>
  <c r="B754" i="4"/>
  <c r="C754" i="4"/>
  <c r="B755" i="4"/>
  <c r="C755" i="4"/>
  <c r="B756" i="4"/>
  <c r="C756" i="4"/>
  <c r="B757" i="4"/>
  <c r="C757" i="4"/>
  <c r="B758" i="4"/>
  <c r="C758" i="4"/>
  <c r="B759" i="4"/>
  <c r="C759" i="4"/>
  <c r="B760" i="4"/>
  <c r="C760" i="4"/>
  <c r="B761" i="4"/>
  <c r="C761" i="4"/>
  <c r="B762" i="4"/>
  <c r="C762" i="4"/>
  <c r="B763" i="4"/>
  <c r="C763" i="4"/>
  <c r="B764" i="4"/>
  <c r="C764" i="4"/>
  <c r="B765" i="4"/>
  <c r="C765" i="4"/>
  <c r="B766" i="4"/>
  <c r="C766" i="4"/>
  <c r="B767" i="4"/>
  <c r="C767" i="4"/>
  <c r="B768" i="4"/>
  <c r="C768" i="4"/>
  <c r="B769" i="4"/>
  <c r="C769" i="4"/>
  <c r="B770" i="4"/>
  <c r="C770" i="4"/>
  <c r="B771" i="4"/>
  <c r="C771" i="4"/>
  <c r="B772" i="4"/>
  <c r="C772" i="4"/>
  <c r="C580" i="4"/>
  <c r="C581" i="4"/>
  <c r="C582" i="4"/>
  <c r="C583" i="4"/>
  <c r="C584" i="4"/>
  <c r="C585" i="4"/>
  <c r="C586" i="4"/>
  <c r="C587" i="4"/>
  <c r="C588" i="4"/>
  <c r="C579" i="4"/>
  <c r="C578" i="4"/>
  <c r="B579" i="4"/>
  <c r="B580" i="4"/>
  <c r="B581" i="4"/>
  <c r="B582" i="4"/>
  <c r="B583" i="4"/>
  <c r="B584" i="4"/>
  <c r="B585" i="4"/>
  <c r="B586" i="4"/>
  <c r="B587" i="4"/>
  <c r="B588" i="4"/>
  <c r="A589" i="4" l="1"/>
  <c r="A588" i="4"/>
  <c r="A587" i="4"/>
  <c r="A586" i="4"/>
  <c r="A585" i="4"/>
  <c r="A584" i="4"/>
  <c r="B6" i="2"/>
  <c r="B15" i="2"/>
  <c r="B552" i="2"/>
  <c r="B511" i="2"/>
  <c r="B451" i="2"/>
  <c r="B236" i="2"/>
  <c r="B128" i="2"/>
  <c r="B106" i="2"/>
  <c r="B47" i="2"/>
  <c r="B551" i="2"/>
  <c r="B510" i="2"/>
  <c r="B450" i="2"/>
  <c r="B235" i="2"/>
  <c r="B127" i="2"/>
  <c r="B105" i="2"/>
  <c r="B46" i="2"/>
  <c r="B550" i="2"/>
  <c r="B509" i="2"/>
  <c r="B449" i="2"/>
  <c r="B234" i="2"/>
  <c r="B126" i="2"/>
  <c r="B104" i="2"/>
  <c r="B45" i="2"/>
  <c r="B549" i="2"/>
  <c r="B508" i="2"/>
  <c r="B448" i="2"/>
  <c r="B103" i="2"/>
  <c r="B44" i="2"/>
  <c r="B548" i="2"/>
  <c r="B507" i="2"/>
  <c r="B447" i="2"/>
  <c r="B215" i="2"/>
  <c r="B122" i="2"/>
  <c r="B102" i="2"/>
  <c r="B40" i="2"/>
  <c r="B547" i="2"/>
  <c r="B506" i="2"/>
  <c r="B445" i="2"/>
  <c r="B214" i="2"/>
  <c r="B121" i="2"/>
  <c r="B39" i="2"/>
  <c r="B546" i="2"/>
  <c r="B493" i="2"/>
  <c r="B443" i="2"/>
  <c r="B120" i="2"/>
  <c r="B85" i="2"/>
  <c r="B38" i="2"/>
  <c r="B545" i="2"/>
  <c r="B492" i="2"/>
  <c r="B442" i="2"/>
  <c r="B84" i="2"/>
  <c r="B37" i="2"/>
  <c r="B544" i="2"/>
  <c r="B491" i="2"/>
  <c r="B441" i="2"/>
  <c r="B167" i="2"/>
  <c r="B118" i="2"/>
  <c r="B83" i="2"/>
  <c r="B36" i="2"/>
  <c r="B524" i="2"/>
  <c r="B489" i="2"/>
  <c r="B440" i="2"/>
  <c r="B264" i="2"/>
  <c r="B166" i="2"/>
  <c r="B117" i="2"/>
  <c r="B82" i="2"/>
  <c r="B523" i="2"/>
  <c r="B488" i="2"/>
  <c r="B439" i="2"/>
  <c r="B263" i="2"/>
  <c r="B165" i="2"/>
  <c r="B116" i="2"/>
  <c r="B81" i="2"/>
  <c r="B17" i="2"/>
  <c r="B522" i="2"/>
  <c r="B487" i="2"/>
  <c r="B436" i="2"/>
  <c r="B262" i="2"/>
  <c r="B115" i="2"/>
  <c r="B66" i="2"/>
  <c r="B521" i="2"/>
  <c r="B486" i="2"/>
  <c r="B435" i="2"/>
  <c r="B261" i="2"/>
  <c r="B114" i="2"/>
  <c r="B63" i="2"/>
  <c r="B14" i="2"/>
  <c r="B518" i="2"/>
  <c r="B485" i="2"/>
  <c r="B434" i="2"/>
  <c r="B260" i="2"/>
  <c r="B517" i="2"/>
  <c r="B416" i="2"/>
  <c r="B259" i="2"/>
  <c r="B112" i="2"/>
  <c r="B58" i="2"/>
  <c r="B12" i="2"/>
  <c r="B516" i="2"/>
  <c r="B461" i="2"/>
  <c r="B250" i="2"/>
  <c r="B515" i="2"/>
  <c r="B460" i="2"/>
  <c r="B247" i="2"/>
  <c r="B110" i="2"/>
  <c r="B9" i="2"/>
  <c r="B514" i="2"/>
  <c r="B459" i="2"/>
  <c r="B241" i="2"/>
  <c r="B131" i="2"/>
  <c r="B109" i="2"/>
  <c r="B8" i="2"/>
  <c r="B2" i="2"/>
  <c r="B513" i="2"/>
  <c r="B453" i="2"/>
  <c r="B240" i="2"/>
  <c r="B130" i="2"/>
  <c r="B108" i="2"/>
  <c r="B7" i="2"/>
  <c r="B553" i="2"/>
  <c r="B512" i="2"/>
  <c r="B452" i="2"/>
  <c r="B239" i="2"/>
  <c r="B129" i="2"/>
  <c r="B107" i="2"/>
  <c r="B48" i="2"/>
  <c r="B3" i="2"/>
  <c r="B4" i="2"/>
  <c r="B5" i="2"/>
  <c r="B10" i="2"/>
  <c r="B16" i="2"/>
  <c r="B18" i="2"/>
  <c r="B19" i="2"/>
  <c r="B20" i="2"/>
  <c r="B21" i="2"/>
  <c r="B22" i="2"/>
  <c r="B23" i="2"/>
  <c r="B25" i="2"/>
  <c r="B26" i="2"/>
  <c r="B27" i="2"/>
  <c r="B28" i="2"/>
  <c r="B29" i="2"/>
  <c r="B30" i="2"/>
  <c r="B31" i="2"/>
  <c r="B32" i="2"/>
  <c r="B33" i="2"/>
  <c r="B34" i="2"/>
  <c r="B35" i="2"/>
  <c r="B41" i="2"/>
  <c r="B42" i="2"/>
  <c r="B43" i="2"/>
  <c r="B49" i="2"/>
  <c r="B50" i="2"/>
  <c r="B51" i="2"/>
  <c r="B56" i="2"/>
  <c r="B57" i="2"/>
  <c r="B59" i="2"/>
  <c r="B60" i="2"/>
  <c r="B62" i="2"/>
  <c r="B64" i="2"/>
  <c r="B65" i="2"/>
  <c r="B67" i="2"/>
  <c r="B68" i="2"/>
  <c r="B69" i="2"/>
  <c r="B70" i="2"/>
  <c r="B71" i="2"/>
  <c r="B72" i="2"/>
  <c r="B73" i="2"/>
  <c r="B74" i="2"/>
  <c r="B75" i="2"/>
  <c r="B76" i="2"/>
  <c r="B77" i="2"/>
  <c r="B78" i="2"/>
  <c r="B79" i="2"/>
  <c r="B80" i="2"/>
  <c r="B86" i="2"/>
  <c r="B87" i="2"/>
  <c r="B88" i="2"/>
  <c r="B89" i="2"/>
  <c r="B90" i="2"/>
  <c r="B91" i="2"/>
  <c r="B92" i="2"/>
  <c r="B93" i="2"/>
  <c r="B94" i="2"/>
  <c r="B95" i="2"/>
  <c r="B96" i="2"/>
  <c r="B97" i="2"/>
  <c r="B98" i="2"/>
  <c r="B99" i="2"/>
  <c r="B100" i="2"/>
  <c r="B124" i="2"/>
  <c r="B125" i="2"/>
  <c r="B132" i="2"/>
  <c r="B133" i="2"/>
  <c r="B134" i="2"/>
  <c r="B135" i="2"/>
  <c r="B136" i="2"/>
  <c r="B137" i="2"/>
  <c r="B138" i="2"/>
  <c r="B140" i="2"/>
  <c r="B141" i="2"/>
  <c r="B143" i="2"/>
  <c r="B144" i="2"/>
  <c r="B145" i="2"/>
  <c r="B146" i="2"/>
  <c r="B147" i="2"/>
  <c r="B148" i="2"/>
  <c r="B149" i="2"/>
  <c r="B150" i="2"/>
  <c r="B152" i="2"/>
  <c r="B154" i="2"/>
  <c r="B155" i="2"/>
  <c r="B156" i="2"/>
  <c r="B157" i="2"/>
  <c r="B158" i="2"/>
  <c r="B159" i="2"/>
  <c r="B160" i="2"/>
  <c r="B163" i="2"/>
  <c r="B164" i="2"/>
  <c r="B168" i="2"/>
  <c r="B169" i="2"/>
  <c r="B170" i="2"/>
  <c r="B171" i="2"/>
  <c r="B172" i="2"/>
  <c r="B173" i="2"/>
  <c r="B174" i="2"/>
  <c r="B175" i="2"/>
  <c r="B176" i="2"/>
  <c r="B177" i="2"/>
  <c r="B178" i="2"/>
  <c r="B179" i="2"/>
  <c r="B180" i="2"/>
  <c r="B181" i="2"/>
  <c r="B182" i="2"/>
  <c r="B183" i="2"/>
  <c r="B184" i="2"/>
  <c r="B185"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7" i="2"/>
  <c r="B218" i="2"/>
  <c r="B219" i="2"/>
  <c r="B220" i="2"/>
  <c r="B221" i="2"/>
  <c r="B222" i="2"/>
  <c r="B223" i="2"/>
  <c r="B224" i="2"/>
  <c r="B225" i="2"/>
  <c r="B226" i="2"/>
  <c r="B227" i="2"/>
  <c r="B228" i="2"/>
  <c r="B229" i="2"/>
  <c r="B230" i="2"/>
  <c r="B231" i="2"/>
  <c r="B232" i="2"/>
  <c r="B233" i="2"/>
  <c r="B237" i="2"/>
  <c r="B238" i="2"/>
  <c r="B242" i="2"/>
  <c r="B243" i="2"/>
  <c r="B244" i="2"/>
  <c r="B245" i="2"/>
  <c r="B246" i="2"/>
  <c r="B248" i="2"/>
  <c r="B249" i="2"/>
  <c r="B251" i="2"/>
  <c r="B252" i="2"/>
  <c r="B253" i="2"/>
  <c r="B254" i="2"/>
  <c r="B255" i="2"/>
  <c r="B256" i="2"/>
  <c r="B257" i="2"/>
  <c r="B258" i="2"/>
  <c r="B265" i="2"/>
  <c r="B266"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6" i="2"/>
  <c r="B297" i="2"/>
  <c r="B298" i="2"/>
  <c r="B299" i="2"/>
  <c r="B300" i="2"/>
  <c r="B301" i="2"/>
  <c r="B302" i="2"/>
  <c r="B303" i="2"/>
  <c r="B304" i="2"/>
  <c r="B305" i="2"/>
  <c r="B306" i="2"/>
  <c r="B307" i="2"/>
  <c r="B308" i="2"/>
  <c r="B310" i="2"/>
  <c r="B311" i="2"/>
  <c r="B313" i="2"/>
  <c r="B314" i="2"/>
  <c r="B315" i="2"/>
  <c r="B316" i="2"/>
  <c r="B317"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6"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4" i="2"/>
  <c r="B407" i="2"/>
  <c r="B408" i="2"/>
  <c r="B409" i="2"/>
  <c r="B410" i="2"/>
  <c r="B411" i="2"/>
  <c r="B412" i="2"/>
  <c r="B413" i="2"/>
  <c r="B415" i="2"/>
  <c r="B417" i="2"/>
  <c r="B418" i="2"/>
  <c r="B419" i="2"/>
  <c r="B420" i="2"/>
  <c r="B421" i="2"/>
  <c r="B422" i="2"/>
  <c r="B423" i="2"/>
  <c r="B424" i="2"/>
  <c r="B425" i="2"/>
  <c r="B426" i="2"/>
  <c r="B427" i="2"/>
  <c r="B428" i="2"/>
  <c r="B429" i="2"/>
  <c r="B430" i="2"/>
  <c r="B431" i="2"/>
  <c r="B432" i="2"/>
  <c r="B433" i="2"/>
  <c r="B437" i="2"/>
  <c r="B438" i="2"/>
  <c r="B444" i="2"/>
  <c r="B446" i="2"/>
  <c r="B454" i="2"/>
  <c r="B455" i="2"/>
  <c r="B456" i="2"/>
  <c r="B457" i="2"/>
  <c r="B458" i="2"/>
  <c r="B462" i="2"/>
  <c r="B463" i="2"/>
  <c r="B464" i="2"/>
  <c r="B465" i="2"/>
  <c r="B466" i="2"/>
  <c r="B467" i="2"/>
  <c r="B468" i="2"/>
  <c r="B469" i="2"/>
  <c r="B470" i="2"/>
  <c r="B471" i="2"/>
  <c r="B472" i="2"/>
  <c r="B473" i="2"/>
  <c r="B474" i="2"/>
  <c r="B475" i="2"/>
  <c r="B476" i="2"/>
  <c r="B477" i="2"/>
  <c r="B478" i="2"/>
  <c r="B479" i="2"/>
  <c r="B481" i="2"/>
  <c r="B482" i="2"/>
  <c r="B483" i="2"/>
  <c r="B484" i="2"/>
  <c r="B490" i="2"/>
  <c r="B494" i="2"/>
  <c r="B495" i="2"/>
  <c r="B496" i="2"/>
  <c r="B497" i="2"/>
  <c r="B498" i="2"/>
  <c r="B499" i="2"/>
  <c r="B500" i="2"/>
  <c r="B501" i="2"/>
  <c r="B502" i="2"/>
  <c r="B503" i="2"/>
  <c r="B504" i="2"/>
  <c r="B505" i="2"/>
  <c r="B519" i="2"/>
  <c r="B520" i="2"/>
  <c r="B526" i="2"/>
  <c r="B527" i="2"/>
  <c r="B528" i="2"/>
  <c r="B529" i="2"/>
  <c r="B531" i="2"/>
  <c r="B532" i="2"/>
  <c r="B533" i="2"/>
  <c r="B534" i="2"/>
  <c r="B535" i="2"/>
  <c r="B536" i="2"/>
  <c r="B537" i="2"/>
  <c r="B538" i="2"/>
  <c r="B539" i="2"/>
  <c r="B540" i="2"/>
  <c r="B541" i="2"/>
  <c r="B542" i="2"/>
  <c r="B54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F601" i="4"/>
  <c r="L601" i="4" s="1"/>
  <c r="G601" i="4"/>
  <c r="H601" i="4"/>
  <c r="N601" i="4" s="1"/>
  <c r="I601" i="4"/>
  <c r="O601" i="4" s="1"/>
  <c r="J601" i="4"/>
  <c r="Q601" i="4"/>
  <c r="R601" i="4"/>
  <c r="S601" i="4"/>
  <c r="X601" i="4" s="1"/>
  <c r="T601" i="4"/>
  <c r="Y601" i="4" s="1"/>
  <c r="F602" i="4"/>
  <c r="G602" i="4"/>
  <c r="M602" i="4" s="1"/>
  <c r="H602" i="4"/>
  <c r="N602" i="4" s="1"/>
  <c r="I602" i="4"/>
  <c r="O602" i="4" s="1"/>
  <c r="J602" i="4"/>
  <c r="Q602" i="4"/>
  <c r="R602" i="4"/>
  <c r="W602" i="4" s="1"/>
  <c r="S602" i="4"/>
  <c r="X602" i="4" s="1"/>
  <c r="T602" i="4"/>
  <c r="Y602" i="4" s="1"/>
  <c r="F603" i="4"/>
  <c r="L603" i="4" s="1"/>
  <c r="G603" i="4"/>
  <c r="M603" i="4" s="1"/>
  <c r="H603" i="4"/>
  <c r="I603" i="4"/>
  <c r="O603" i="4" s="1"/>
  <c r="J603" i="4"/>
  <c r="Q603" i="4"/>
  <c r="R603" i="4"/>
  <c r="W603" i="4" s="1"/>
  <c r="S603" i="4"/>
  <c r="X603" i="4" s="1"/>
  <c r="T603" i="4"/>
  <c r="Y603" i="4" s="1"/>
  <c r="F604" i="4"/>
  <c r="G604" i="4"/>
  <c r="M604" i="4" s="1"/>
  <c r="H604" i="4"/>
  <c r="N604" i="4" s="1"/>
  <c r="I604" i="4"/>
  <c r="O604" i="4" s="1"/>
  <c r="J604" i="4"/>
  <c r="Q604" i="4"/>
  <c r="V604" i="4" s="1"/>
  <c r="R604" i="4"/>
  <c r="W604" i="4" s="1"/>
  <c r="S604" i="4"/>
  <c r="X604" i="4" s="1"/>
  <c r="T604" i="4"/>
  <c r="Y604" i="4" s="1"/>
  <c r="F605" i="4"/>
  <c r="G605" i="4"/>
  <c r="M605" i="4" s="1"/>
  <c r="H605" i="4"/>
  <c r="N605" i="4" s="1"/>
  <c r="I605" i="4"/>
  <c r="O605" i="4" s="1"/>
  <c r="J605" i="4"/>
  <c r="Q605" i="4"/>
  <c r="V605" i="4" s="1"/>
  <c r="R605" i="4"/>
  <c r="S605" i="4"/>
  <c r="X605" i="4" s="1"/>
  <c r="T605" i="4"/>
  <c r="Y605" i="4" s="1"/>
  <c r="F606" i="4"/>
  <c r="G606" i="4"/>
  <c r="M606" i="4" s="1"/>
  <c r="H606" i="4"/>
  <c r="N606" i="4" s="1"/>
  <c r="I606" i="4"/>
  <c r="O606" i="4" s="1"/>
  <c r="J606" i="4"/>
  <c r="Q606" i="4"/>
  <c r="R606" i="4"/>
  <c r="W606" i="4" s="1"/>
  <c r="S606" i="4"/>
  <c r="X606" i="4" s="1"/>
  <c r="T606" i="4"/>
  <c r="Y606" i="4" s="1"/>
  <c r="F607" i="4"/>
  <c r="L607" i="4" s="1"/>
  <c r="G607" i="4"/>
  <c r="M607" i="4" s="1"/>
  <c r="H607" i="4"/>
  <c r="N607" i="4" s="1"/>
  <c r="I607" i="4"/>
  <c r="O607" i="4" s="1"/>
  <c r="J607" i="4"/>
  <c r="Q607" i="4"/>
  <c r="V607" i="4" s="1"/>
  <c r="R607" i="4"/>
  <c r="W607" i="4" s="1"/>
  <c r="S607" i="4"/>
  <c r="X607" i="4" s="1"/>
  <c r="T607" i="4"/>
  <c r="Y607" i="4" s="1"/>
  <c r="F608" i="4"/>
  <c r="G608" i="4"/>
  <c r="M608" i="4" s="1"/>
  <c r="H608" i="4"/>
  <c r="N608" i="4" s="1"/>
  <c r="I608" i="4"/>
  <c r="O608" i="4" s="1"/>
  <c r="J608" i="4"/>
  <c r="Q608" i="4"/>
  <c r="V608" i="4" s="1"/>
  <c r="R608" i="4"/>
  <c r="W608" i="4" s="1"/>
  <c r="S608" i="4"/>
  <c r="X608" i="4" s="1"/>
  <c r="T608" i="4"/>
  <c r="Y608" i="4" s="1"/>
  <c r="F609" i="4"/>
  <c r="G609" i="4"/>
  <c r="M609" i="4" s="1"/>
  <c r="H609" i="4"/>
  <c r="N609" i="4" s="1"/>
  <c r="I609" i="4"/>
  <c r="O609" i="4" s="1"/>
  <c r="J609" i="4"/>
  <c r="Q609" i="4"/>
  <c r="V609" i="4" s="1"/>
  <c r="R609" i="4"/>
  <c r="S609" i="4"/>
  <c r="X609" i="4" s="1"/>
  <c r="T609" i="4"/>
  <c r="Y609" i="4" s="1"/>
  <c r="F610" i="4"/>
  <c r="L610" i="4" s="1"/>
  <c r="G610" i="4"/>
  <c r="M610" i="4" s="1"/>
  <c r="H610" i="4"/>
  <c r="N610" i="4" s="1"/>
  <c r="I610" i="4"/>
  <c r="O610" i="4" s="1"/>
  <c r="J610" i="4"/>
  <c r="Q610" i="4"/>
  <c r="V610" i="4" s="1"/>
  <c r="R610" i="4"/>
  <c r="W610" i="4" s="1"/>
  <c r="S610" i="4"/>
  <c r="X610" i="4" s="1"/>
  <c r="T610" i="4"/>
  <c r="Y610" i="4" s="1"/>
  <c r="F611" i="4"/>
  <c r="L611" i="4" s="1"/>
  <c r="G611" i="4"/>
  <c r="M611" i="4" s="1"/>
  <c r="H611" i="4"/>
  <c r="N611" i="4" s="1"/>
  <c r="I611" i="4"/>
  <c r="O611" i="4" s="1"/>
  <c r="J611" i="4"/>
  <c r="Q611" i="4"/>
  <c r="V611" i="4" s="1"/>
  <c r="R611" i="4"/>
  <c r="W611" i="4" s="1"/>
  <c r="S611" i="4"/>
  <c r="T611" i="4"/>
  <c r="Y611" i="4" s="1"/>
  <c r="F612" i="4"/>
  <c r="G612" i="4"/>
  <c r="M612" i="4" s="1"/>
  <c r="H612" i="4"/>
  <c r="N612" i="4" s="1"/>
  <c r="I612" i="4"/>
  <c r="O612" i="4" s="1"/>
  <c r="J612" i="4"/>
  <c r="Q612" i="4"/>
  <c r="R612" i="4"/>
  <c r="W612" i="4" s="1"/>
  <c r="S612" i="4"/>
  <c r="T612" i="4"/>
  <c r="Y612" i="4" s="1"/>
  <c r="F613" i="4"/>
  <c r="G613" i="4"/>
  <c r="M613" i="4" s="1"/>
  <c r="H613" i="4"/>
  <c r="I613" i="4"/>
  <c r="O613" i="4" s="1"/>
  <c r="J613" i="4"/>
  <c r="Q613" i="4"/>
  <c r="V613" i="4" s="1"/>
  <c r="R613" i="4"/>
  <c r="W613" i="4" s="1"/>
  <c r="S613" i="4"/>
  <c r="X613" i="4" s="1"/>
  <c r="T613" i="4"/>
  <c r="Y613" i="4" s="1"/>
  <c r="F614" i="4"/>
  <c r="G614" i="4"/>
  <c r="M614" i="4" s="1"/>
  <c r="H614" i="4"/>
  <c r="N614" i="4" s="1"/>
  <c r="I614" i="4"/>
  <c r="O614" i="4" s="1"/>
  <c r="J614" i="4"/>
  <c r="Q614" i="4"/>
  <c r="R614" i="4"/>
  <c r="W614" i="4" s="1"/>
  <c r="S614" i="4"/>
  <c r="X614" i="4" s="1"/>
  <c r="T614" i="4"/>
  <c r="Y614" i="4" s="1"/>
  <c r="F615" i="4"/>
  <c r="G615" i="4"/>
  <c r="H615" i="4"/>
  <c r="N615" i="4" s="1"/>
  <c r="I615" i="4"/>
  <c r="O615" i="4" s="1"/>
  <c r="J615" i="4"/>
  <c r="Q615" i="4"/>
  <c r="V615" i="4" s="1"/>
  <c r="R615" i="4"/>
  <c r="W615" i="4" s="1"/>
  <c r="S615" i="4"/>
  <c r="T615" i="4"/>
  <c r="Y615" i="4" s="1"/>
  <c r="F616" i="4"/>
  <c r="L616" i="4" s="1"/>
  <c r="G616" i="4"/>
  <c r="M616" i="4" s="1"/>
  <c r="H616" i="4"/>
  <c r="N616" i="4" s="1"/>
  <c r="I616" i="4"/>
  <c r="O616" i="4" s="1"/>
  <c r="J616" i="4"/>
  <c r="Q616" i="4"/>
  <c r="V616" i="4" s="1"/>
  <c r="R616" i="4"/>
  <c r="W616" i="4" s="1"/>
  <c r="S616" i="4"/>
  <c r="T616" i="4"/>
  <c r="Y616" i="4" s="1"/>
  <c r="F617" i="4"/>
  <c r="G617" i="4"/>
  <c r="M617" i="4" s="1"/>
  <c r="H617" i="4"/>
  <c r="N617" i="4" s="1"/>
  <c r="I617" i="4"/>
  <c r="O617" i="4" s="1"/>
  <c r="J617" i="4"/>
  <c r="Q617" i="4"/>
  <c r="V617" i="4" s="1"/>
  <c r="R617" i="4"/>
  <c r="S617" i="4"/>
  <c r="X617" i="4" s="1"/>
  <c r="T617" i="4"/>
  <c r="Y617" i="4" s="1"/>
  <c r="F618" i="4"/>
  <c r="L618" i="4" s="1"/>
  <c r="G618" i="4"/>
  <c r="M618" i="4" s="1"/>
  <c r="H618" i="4"/>
  <c r="N618" i="4" s="1"/>
  <c r="I618" i="4"/>
  <c r="O618" i="4" s="1"/>
  <c r="J618" i="4"/>
  <c r="Q618" i="4"/>
  <c r="R618" i="4"/>
  <c r="W618" i="4" s="1"/>
  <c r="S618" i="4"/>
  <c r="X618" i="4" s="1"/>
  <c r="T618" i="4"/>
  <c r="Y618" i="4" s="1"/>
  <c r="F619" i="4"/>
  <c r="G619" i="4"/>
  <c r="M619" i="4" s="1"/>
  <c r="H619" i="4"/>
  <c r="N619" i="4" s="1"/>
  <c r="I619" i="4"/>
  <c r="O619" i="4" s="1"/>
  <c r="J619" i="4"/>
  <c r="Q619" i="4"/>
  <c r="R619" i="4"/>
  <c r="W619" i="4" s="1"/>
  <c r="S619" i="4"/>
  <c r="X619" i="4" s="1"/>
  <c r="T619" i="4"/>
  <c r="Y619" i="4" s="1"/>
  <c r="F620" i="4"/>
  <c r="G620" i="4"/>
  <c r="M620" i="4" s="1"/>
  <c r="H620" i="4"/>
  <c r="N620" i="4" s="1"/>
  <c r="I620" i="4"/>
  <c r="O620" i="4" s="1"/>
  <c r="J620" i="4"/>
  <c r="Q620" i="4"/>
  <c r="R620" i="4"/>
  <c r="W620" i="4" s="1"/>
  <c r="S620" i="4"/>
  <c r="X620" i="4" s="1"/>
  <c r="T620" i="4"/>
  <c r="Y620" i="4" s="1"/>
  <c r="F621" i="4"/>
  <c r="L621" i="4" s="1"/>
  <c r="G621" i="4"/>
  <c r="M621" i="4" s="1"/>
  <c r="H621" i="4"/>
  <c r="N621" i="4" s="1"/>
  <c r="I621" i="4"/>
  <c r="O621" i="4" s="1"/>
  <c r="J621" i="4"/>
  <c r="Q621" i="4"/>
  <c r="V621" i="4" s="1"/>
  <c r="R621" i="4"/>
  <c r="W621" i="4" s="1"/>
  <c r="S621" i="4"/>
  <c r="X621" i="4" s="1"/>
  <c r="T621" i="4"/>
  <c r="Y621" i="4" s="1"/>
  <c r="F622" i="4"/>
  <c r="G622" i="4"/>
  <c r="M622" i="4" s="1"/>
  <c r="H622" i="4"/>
  <c r="N622" i="4" s="1"/>
  <c r="I622" i="4"/>
  <c r="O622" i="4" s="1"/>
  <c r="J622" i="4"/>
  <c r="Q622" i="4"/>
  <c r="V622" i="4" s="1"/>
  <c r="R622" i="4"/>
  <c r="S622" i="4"/>
  <c r="X622" i="4" s="1"/>
  <c r="T622" i="4"/>
  <c r="Y622" i="4" s="1"/>
  <c r="F623" i="4"/>
  <c r="G623" i="4"/>
  <c r="M623" i="4" s="1"/>
  <c r="H623" i="4"/>
  <c r="I623" i="4"/>
  <c r="O623" i="4" s="1"/>
  <c r="J623" i="4"/>
  <c r="Q623" i="4"/>
  <c r="R623" i="4"/>
  <c r="S623" i="4"/>
  <c r="X623" i="4" s="1"/>
  <c r="T623" i="4"/>
  <c r="Y623" i="4" s="1"/>
  <c r="F624" i="4"/>
  <c r="G624" i="4"/>
  <c r="M624" i="4" s="1"/>
  <c r="H624" i="4"/>
  <c r="N624" i="4" s="1"/>
  <c r="I624" i="4"/>
  <c r="O624" i="4" s="1"/>
  <c r="J624" i="4"/>
  <c r="Q624" i="4"/>
  <c r="R624" i="4"/>
  <c r="W624" i="4" s="1"/>
  <c r="S624" i="4"/>
  <c r="X624" i="4" s="1"/>
  <c r="T624" i="4"/>
  <c r="Y624" i="4" s="1"/>
  <c r="F625" i="4"/>
  <c r="G625" i="4"/>
  <c r="M625" i="4" s="1"/>
  <c r="H625" i="4"/>
  <c r="N625" i="4" s="1"/>
  <c r="I625" i="4"/>
  <c r="O625" i="4" s="1"/>
  <c r="J625" i="4"/>
  <c r="Q625" i="4"/>
  <c r="R625" i="4"/>
  <c r="W625" i="4" s="1"/>
  <c r="S625" i="4"/>
  <c r="X625" i="4" s="1"/>
  <c r="T625" i="4"/>
  <c r="Y625" i="4" s="1"/>
  <c r="F626" i="4"/>
  <c r="G626" i="4"/>
  <c r="M626" i="4" s="1"/>
  <c r="H626" i="4"/>
  <c r="N626" i="4" s="1"/>
  <c r="I626" i="4"/>
  <c r="O626" i="4" s="1"/>
  <c r="J626" i="4"/>
  <c r="Q626" i="4"/>
  <c r="V626" i="4" s="1"/>
  <c r="R626" i="4"/>
  <c r="S626" i="4"/>
  <c r="X626" i="4" s="1"/>
  <c r="T626" i="4"/>
  <c r="Y626" i="4" s="1"/>
  <c r="F627" i="4"/>
  <c r="L627" i="4" s="1"/>
  <c r="G627" i="4"/>
  <c r="M627" i="4" s="1"/>
  <c r="H627" i="4"/>
  <c r="N627" i="4" s="1"/>
  <c r="I627" i="4"/>
  <c r="O627" i="4" s="1"/>
  <c r="J627" i="4"/>
  <c r="Q627" i="4"/>
  <c r="R627" i="4"/>
  <c r="W627" i="4" s="1"/>
  <c r="S627" i="4"/>
  <c r="X627" i="4" s="1"/>
  <c r="T627" i="4"/>
  <c r="Y627" i="4" s="1"/>
  <c r="F628" i="4"/>
  <c r="G628" i="4"/>
  <c r="M628" i="4" s="1"/>
  <c r="H628" i="4"/>
  <c r="N628" i="4" s="1"/>
  <c r="I628" i="4"/>
  <c r="O628" i="4" s="1"/>
  <c r="J628" i="4"/>
  <c r="Q628" i="4"/>
  <c r="R628" i="4"/>
  <c r="W628" i="4" s="1"/>
  <c r="S628" i="4"/>
  <c r="X628" i="4" s="1"/>
  <c r="T628" i="4"/>
  <c r="Y628" i="4" s="1"/>
  <c r="F629" i="4"/>
  <c r="G629" i="4"/>
  <c r="M629" i="4" s="1"/>
  <c r="H629" i="4"/>
  <c r="N629" i="4" s="1"/>
  <c r="I629" i="4"/>
  <c r="O629" i="4" s="1"/>
  <c r="J629" i="4"/>
  <c r="Q629" i="4"/>
  <c r="R629" i="4"/>
  <c r="W629" i="4" s="1"/>
  <c r="S629" i="4"/>
  <c r="X629" i="4" s="1"/>
  <c r="T629" i="4"/>
  <c r="Y629" i="4" s="1"/>
  <c r="F630" i="4"/>
  <c r="G630" i="4"/>
  <c r="M630" i="4" s="1"/>
  <c r="H630" i="4"/>
  <c r="N630" i="4" s="1"/>
  <c r="I630" i="4"/>
  <c r="O630" i="4" s="1"/>
  <c r="J630" i="4"/>
  <c r="Q630" i="4"/>
  <c r="V630" i="4" s="1"/>
  <c r="R630" i="4"/>
  <c r="S630" i="4"/>
  <c r="X630" i="4" s="1"/>
  <c r="T630" i="4"/>
  <c r="Y630" i="4" s="1"/>
  <c r="F631" i="4"/>
  <c r="G631" i="4"/>
  <c r="M631" i="4" s="1"/>
  <c r="H631" i="4"/>
  <c r="I631" i="4"/>
  <c r="O631" i="4" s="1"/>
  <c r="J631" i="4"/>
  <c r="Q631" i="4"/>
  <c r="R631" i="4"/>
  <c r="W631" i="4" s="1"/>
  <c r="S631" i="4"/>
  <c r="X631" i="4" s="1"/>
  <c r="T631" i="4"/>
  <c r="Y631" i="4" s="1"/>
  <c r="F632" i="4"/>
  <c r="G632" i="4"/>
  <c r="M632" i="4" s="1"/>
  <c r="H632" i="4"/>
  <c r="N632" i="4" s="1"/>
  <c r="I632" i="4"/>
  <c r="O632" i="4" s="1"/>
  <c r="J632" i="4"/>
  <c r="Q632" i="4"/>
  <c r="V632" i="4" s="1"/>
  <c r="R632" i="4"/>
  <c r="W632" i="4" s="1"/>
  <c r="S632" i="4"/>
  <c r="X632" i="4" s="1"/>
  <c r="T632" i="4"/>
  <c r="Y632" i="4" s="1"/>
  <c r="F633" i="4"/>
  <c r="G633" i="4"/>
  <c r="M633" i="4" s="1"/>
  <c r="H633" i="4"/>
  <c r="N633" i="4" s="1"/>
  <c r="I633" i="4"/>
  <c r="O633" i="4" s="1"/>
  <c r="J633" i="4"/>
  <c r="Q633" i="4"/>
  <c r="V633" i="4" s="1"/>
  <c r="R633" i="4"/>
  <c r="W633" i="4" s="1"/>
  <c r="S633" i="4"/>
  <c r="T633" i="4"/>
  <c r="Y633" i="4" s="1"/>
  <c r="F634" i="4"/>
  <c r="G634" i="4"/>
  <c r="H634" i="4"/>
  <c r="N634" i="4" s="1"/>
  <c r="I634" i="4"/>
  <c r="O634" i="4" s="1"/>
  <c r="J634" i="4"/>
  <c r="Q634" i="4"/>
  <c r="R634" i="4"/>
  <c r="W634" i="4" s="1"/>
  <c r="S634" i="4"/>
  <c r="X634" i="4" s="1"/>
  <c r="T634" i="4"/>
  <c r="Y634" i="4" s="1"/>
  <c r="F635" i="4"/>
  <c r="L635" i="4" s="1"/>
  <c r="G635" i="4"/>
  <c r="M635" i="4" s="1"/>
  <c r="H635" i="4"/>
  <c r="N635" i="4" s="1"/>
  <c r="I635" i="4"/>
  <c r="O635" i="4" s="1"/>
  <c r="J635" i="4"/>
  <c r="Q635" i="4"/>
  <c r="R635" i="4"/>
  <c r="W635" i="4" s="1"/>
  <c r="S635" i="4"/>
  <c r="X635" i="4" s="1"/>
  <c r="T635" i="4"/>
  <c r="Y635" i="4" s="1"/>
  <c r="F636" i="4"/>
  <c r="G636" i="4"/>
  <c r="M636" i="4" s="1"/>
  <c r="H636" i="4"/>
  <c r="N636" i="4" s="1"/>
  <c r="I636" i="4"/>
  <c r="O636" i="4" s="1"/>
  <c r="J636" i="4"/>
  <c r="Q636" i="4"/>
  <c r="R636" i="4"/>
  <c r="W636" i="4" s="1"/>
  <c r="S636" i="4"/>
  <c r="X636" i="4" s="1"/>
  <c r="T636" i="4"/>
  <c r="Y636" i="4" s="1"/>
  <c r="F637" i="4"/>
  <c r="G637" i="4"/>
  <c r="M637" i="4" s="1"/>
  <c r="H637" i="4"/>
  <c r="N637" i="4" s="1"/>
  <c r="I637" i="4"/>
  <c r="O637" i="4" s="1"/>
  <c r="J637" i="4"/>
  <c r="Q637" i="4"/>
  <c r="R637" i="4"/>
  <c r="W637" i="4" s="1"/>
  <c r="S637" i="4"/>
  <c r="T637" i="4"/>
  <c r="Y637" i="4" s="1"/>
  <c r="F638" i="4"/>
  <c r="L638" i="4" s="1"/>
  <c r="G638" i="4"/>
  <c r="M638" i="4" s="1"/>
  <c r="H638" i="4"/>
  <c r="I638" i="4"/>
  <c r="O638" i="4" s="1"/>
  <c r="J638" i="4"/>
  <c r="Q638" i="4"/>
  <c r="R638" i="4"/>
  <c r="W638" i="4" s="1"/>
  <c r="S638" i="4"/>
  <c r="X638" i="4" s="1"/>
  <c r="T638" i="4"/>
  <c r="Y638" i="4" s="1"/>
  <c r="F639" i="4"/>
  <c r="G639" i="4"/>
  <c r="M639" i="4" s="1"/>
  <c r="H639" i="4"/>
  <c r="N639" i="4" s="1"/>
  <c r="I639" i="4"/>
  <c r="O639" i="4" s="1"/>
  <c r="J639" i="4"/>
  <c r="Q639" i="4"/>
  <c r="V639" i="4" s="1"/>
  <c r="R639" i="4"/>
  <c r="W639" i="4" s="1"/>
  <c r="S639" i="4"/>
  <c r="X639" i="4" s="1"/>
  <c r="T639" i="4"/>
  <c r="Y639" i="4" s="1"/>
  <c r="F640" i="4"/>
  <c r="L640" i="4" s="1"/>
  <c r="G640" i="4"/>
  <c r="H640" i="4"/>
  <c r="N640" i="4" s="1"/>
  <c r="I640" i="4"/>
  <c r="O640" i="4" s="1"/>
  <c r="J640" i="4"/>
  <c r="Q640" i="4"/>
  <c r="V640" i="4" s="1"/>
  <c r="R640" i="4"/>
  <c r="W640" i="4" s="1"/>
  <c r="S640" i="4"/>
  <c r="X640" i="4" s="1"/>
  <c r="T640" i="4"/>
  <c r="Y640" i="4" s="1"/>
  <c r="F641" i="4"/>
  <c r="G641" i="4"/>
  <c r="M641" i="4" s="1"/>
  <c r="H641" i="4"/>
  <c r="N641" i="4" s="1"/>
  <c r="I641" i="4"/>
  <c r="O641" i="4" s="1"/>
  <c r="J641" i="4"/>
  <c r="Q641" i="4"/>
  <c r="V641" i="4" s="1"/>
  <c r="R641" i="4"/>
  <c r="S641" i="4"/>
  <c r="X641" i="4" s="1"/>
  <c r="T641" i="4"/>
  <c r="Y641" i="4" s="1"/>
  <c r="F642" i="4"/>
  <c r="G642" i="4"/>
  <c r="M642" i="4" s="1"/>
  <c r="H642" i="4"/>
  <c r="N642" i="4" s="1"/>
  <c r="I642" i="4"/>
  <c r="O642" i="4" s="1"/>
  <c r="J642" i="4"/>
  <c r="Q642" i="4"/>
  <c r="R642" i="4"/>
  <c r="W642" i="4" s="1"/>
  <c r="S642" i="4"/>
  <c r="T642" i="4"/>
  <c r="Y642" i="4" s="1"/>
  <c r="F643" i="4"/>
  <c r="L643" i="4" s="1"/>
  <c r="G643" i="4"/>
  <c r="H643" i="4"/>
  <c r="N643" i="4" s="1"/>
  <c r="I643" i="4"/>
  <c r="O643" i="4" s="1"/>
  <c r="J643" i="4"/>
  <c r="Q643" i="4"/>
  <c r="R643" i="4"/>
  <c r="S643" i="4"/>
  <c r="X643" i="4" s="1"/>
  <c r="T643" i="4"/>
  <c r="Y643" i="4" s="1"/>
  <c r="F644" i="4"/>
  <c r="G644" i="4"/>
  <c r="M644" i="4" s="1"/>
  <c r="H644" i="4"/>
  <c r="N644" i="4" s="1"/>
  <c r="I644" i="4"/>
  <c r="O644" i="4" s="1"/>
  <c r="J644" i="4"/>
  <c r="Q644" i="4"/>
  <c r="R644" i="4"/>
  <c r="W644" i="4" s="1"/>
  <c r="S644" i="4"/>
  <c r="X644" i="4" s="1"/>
  <c r="T644" i="4"/>
  <c r="Y644" i="4" s="1"/>
  <c r="F645" i="4"/>
  <c r="G645" i="4"/>
  <c r="M645" i="4" s="1"/>
  <c r="H645" i="4"/>
  <c r="N645" i="4" s="1"/>
  <c r="I645" i="4"/>
  <c r="O645" i="4" s="1"/>
  <c r="J645" i="4"/>
  <c r="Q645" i="4"/>
  <c r="R645" i="4"/>
  <c r="W645" i="4" s="1"/>
  <c r="S645" i="4"/>
  <c r="X645" i="4" s="1"/>
  <c r="T645" i="4"/>
  <c r="Y645" i="4" s="1"/>
  <c r="F646" i="4"/>
  <c r="L646" i="4" s="1"/>
  <c r="G646" i="4"/>
  <c r="H646" i="4"/>
  <c r="N646" i="4" s="1"/>
  <c r="I646" i="4"/>
  <c r="O646" i="4" s="1"/>
  <c r="J646" i="4"/>
  <c r="Q646" i="4"/>
  <c r="R646" i="4"/>
  <c r="W646" i="4" s="1"/>
  <c r="S646" i="4"/>
  <c r="X646" i="4" s="1"/>
  <c r="T646" i="4"/>
  <c r="Y646" i="4" s="1"/>
  <c r="F647" i="4"/>
  <c r="G647" i="4"/>
  <c r="M647" i="4" s="1"/>
  <c r="H647" i="4"/>
  <c r="N647" i="4" s="1"/>
  <c r="I647" i="4"/>
  <c r="O647" i="4" s="1"/>
  <c r="J647" i="4"/>
  <c r="Q647" i="4"/>
  <c r="R647" i="4"/>
  <c r="W647" i="4" s="1"/>
  <c r="S647" i="4"/>
  <c r="T647" i="4"/>
  <c r="Y647" i="4" s="1"/>
  <c r="F648" i="4"/>
  <c r="L648" i="4" s="1"/>
  <c r="G648" i="4"/>
  <c r="M648" i="4" s="1"/>
  <c r="H648" i="4"/>
  <c r="N648" i="4" s="1"/>
  <c r="I648" i="4"/>
  <c r="O648" i="4" s="1"/>
  <c r="J648" i="4"/>
  <c r="Q648" i="4"/>
  <c r="R648" i="4"/>
  <c r="W648" i="4" s="1"/>
  <c r="S648" i="4"/>
  <c r="T648" i="4"/>
  <c r="Y648" i="4" s="1"/>
  <c r="F649" i="4"/>
  <c r="G649" i="4"/>
  <c r="M649" i="4" s="1"/>
  <c r="H649" i="4"/>
  <c r="N649" i="4" s="1"/>
  <c r="I649" i="4"/>
  <c r="O649" i="4" s="1"/>
  <c r="J649" i="4"/>
  <c r="Q649" i="4"/>
  <c r="V649" i="4" s="1"/>
  <c r="R649" i="4"/>
  <c r="W649" i="4" s="1"/>
  <c r="S649" i="4"/>
  <c r="X649" i="4" s="1"/>
  <c r="T649" i="4"/>
  <c r="Y649" i="4" s="1"/>
  <c r="F650" i="4"/>
  <c r="G650" i="4"/>
  <c r="M650" i="4" s="1"/>
  <c r="H650" i="4"/>
  <c r="N650" i="4" s="1"/>
  <c r="I650" i="4"/>
  <c r="O650" i="4" s="1"/>
  <c r="J650" i="4"/>
  <c r="Q650" i="4"/>
  <c r="R650" i="4"/>
  <c r="S650" i="4"/>
  <c r="X650" i="4" s="1"/>
  <c r="T650" i="4"/>
  <c r="Y650" i="4" s="1"/>
  <c r="F651" i="4"/>
  <c r="L651" i="4" s="1"/>
  <c r="G651" i="4"/>
  <c r="M651" i="4" s="1"/>
  <c r="H651" i="4"/>
  <c r="N651" i="4" s="1"/>
  <c r="I651" i="4"/>
  <c r="O651" i="4" s="1"/>
  <c r="J651" i="4"/>
  <c r="Q651" i="4"/>
  <c r="R651" i="4"/>
  <c r="W651" i="4" s="1"/>
  <c r="S651" i="4"/>
  <c r="T651" i="4"/>
  <c r="Y651" i="4" s="1"/>
  <c r="F652" i="4"/>
  <c r="G652" i="4"/>
  <c r="M652" i="4" s="1"/>
  <c r="H652" i="4"/>
  <c r="N652" i="4" s="1"/>
  <c r="I652" i="4"/>
  <c r="O652" i="4" s="1"/>
  <c r="J652" i="4"/>
  <c r="Q652" i="4"/>
  <c r="R652" i="4"/>
  <c r="W652" i="4" s="1"/>
  <c r="S652" i="4"/>
  <c r="T652" i="4"/>
  <c r="Y652" i="4" s="1"/>
  <c r="F653" i="4"/>
  <c r="L653" i="4" s="1"/>
  <c r="G653" i="4"/>
  <c r="H653" i="4"/>
  <c r="N653" i="4" s="1"/>
  <c r="I653" i="4"/>
  <c r="O653" i="4" s="1"/>
  <c r="J653" i="4"/>
  <c r="Q653" i="4"/>
  <c r="R653" i="4"/>
  <c r="W653" i="4" s="1"/>
  <c r="S653" i="4"/>
  <c r="X653" i="4" s="1"/>
  <c r="T653" i="4"/>
  <c r="Y653" i="4" s="1"/>
  <c r="F654" i="4"/>
  <c r="G654" i="4"/>
  <c r="M654" i="4" s="1"/>
  <c r="H654" i="4"/>
  <c r="N654" i="4" s="1"/>
  <c r="I654" i="4"/>
  <c r="O654" i="4" s="1"/>
  <c r="J654" i="4"/>
  <c r="Q654" i="4"/>
  <c r="V654" i="4" s="1"/>
  <c r="R654" i="4"/>
  <c r="W654" i="4" s="1"/>
  <c r="S654" i="4"/>
  <c r="X654" i="4" s="1"/>
  <c r="T654" i="4"/>
  <c r="Y654" i="4" s="1"/>
  <c r="F655" i="4"/>
  <c r="L655" i="4" s="1"/>
  <c r="G655" i="4"/>
  <c r="M655" i="4" s="1"/>
  <c r="H655" i="4"/>
  <c r="N655" i="4" s="1"/>
  <c r="I655" i="4"/>
  <c r="O655" i="4" s="1"/>
  <c r="J655" i="4"/>
  <c r="Q655" i="4"/>
  <c r="V655" i="4" s="1"/>
  <c r="R655" i="4"/>
  <c r="S655" i="4"/>
  <c r="X655" i="4" s="1"/>
  <c r="T655" i="4"/>
  <c r="Y655" i="4" s="1"/>
  <c r="F656" i="4"/>
  <c r="G656" i="4"/>
  <c r="H656" i="4"/>
  <c r="N656" i="4" s="1"/>
  <c r="I656" i="4"/>
  <c r="O656" i="4" s="1"/>
  <c r="J656" i="4"/>
  <c r="Q656" i="4"/>
  <c r="R656" i="4"/>
  <c r="W656" i="4" s="1"/>
  <c r="S656" i="4"/>
  <c r="X656" i="4" s="1"/>
  <c r="T656" i="4"/>
  <c r="Y656" i="4" s="1"/>
  <c r="F657" i="4"/>
  <c r="G657" i="4"/>
  <c r="M657" i="4" s="1"/>
  <c r="H657" i="4"/>
  <c r="N657" i="4" s="1"/>
  <c r="I657" i="4"/>
  <c r="O657" i="4" s="1"/>
  <c r="J657" i="4"/>
  <c r="Q657" i="4"/>
  <c r="V657" i="4" s="1"/>
  <c r="R657" i="4"/>
  <c r="W657" i="4" s="1"/>
  <c r="S657" i="4"/>
  <c r="T657" i="4"/>
  <c r="Y657" i="4" s="1"/>
  <c r="F658" i="4"/>
  <c r="G658" i="4"/>
  <c r="M658" i="4" s="1"/>
  <c r="H658" i="4"/>
  <c r="N658" i="4" s="1"/>
  <c r="I658" i="4"/>
  <c r="O658" i="4" s="1"/>
  <c r="J658" i="4"/>
  <c r="Q658" i="4"/>
  <c r="R658" i="4"/>
  <c r="S658" i="4"/>
  <c r="X658" i="4" s="1"/>
  <c r="T658" i="4"/>
  <c r="Y658" i="4" s="1"/>
  <c r="F659" i="4"/>
  <c r="L659" i="4" s="1"/>
  <c r="G659" i="4"/>
  <c r="H659" i="4"/>
  <c r="N659" i="4" s="1"/>
  <c r="I659" i="4"/>
  <c r="O659" i="4" s="1"/>
  <c r="J659" i="4"/>
  <c r="Q659" i="4"/>
  <c r="V659" i="4" s="1"/>
  <c r="R659" i="4"/>
  <c r="S659" i="4"/>
  <c r="X659" i="4" s="1"/>
  <c r="T659" i="4"/>
  <c r="Y659" i="4" s="1"/>
  <c r="F660" i="4"/>
  <c r="G660" i="4"/>
  <c r="M660" i="4" s="1"/>
  <c r="H660" i="4"/>
  <c r="N660" i="4" s="1"/>
  <c r="I660" i="4"/>
  <c r="O660" i="4" s="1"/>
  <c r="J660" i="4"/>
  <c r="Q660" i="4"/>
  <c r="V660" i="4" s="1"/>
  <c r="R660" i="4"/>
  <c r="W660" i="4" s="1"/>
  <c r="S660" i="4"/>
  <c r="X660" i="4" s="1"/>
  <c r="T660" i="4"/>
  <c r="Y660" i="4" s="1"/>
  <c r="F661" i="4"/>
  <c r="G661" i="4"/>
  <c r="M661" i="4" s="1"/>
  <c r="H661" i="4"/>
  <c r="N661" i="4" s="1"/>
  <c r="I661" i="4"/>
  <c r="O661" i="4" s="1"/>
  <c r="J661" i="4"/>
  <c r="Q661" i="4"/>
  <c r="V661" i="4" s="1"/>
  <c r="R661" i="4"/>
  <c r="S661" i="4"/>
  <c r="X661" i="4" s="1"/>
  <c r="T661" i="4"/>
  <c r="Y661" i="4" s="1"/>
  <c r="F662" i="4"/>
  <c r="L662" i="4" s="1"/>
  <c r="G662" i="4"/>
  <c r="H662" i="4"/>
  <c r="N662" i="4" s="1"/>
  <c r="I662" i="4"/>
  <c r="O662" i="4" s="1"/>
  <c r="J662" i="4"/>
  <c r="Q662" i="4"/>
  <c r="R662" i="4"/>
  <c r="W662" i="4" s="1"/>
  <c r="S662" i="4"/>
  <c r="X662" i="4" s="1"/>
  <c r="T662" i="4"/>
  <c r="Y662" i="4" s="1"/>
  <c r="F663" i="4"/>
  <c r="G663" i="4"/>
  <c r="H663" i="4"/>
  <c r="N663" i="4" s="1"/>
  <c r="I663" i="4"/>
  <c r="O663" i="4" s="1"/>
  <c r="J663" i="4"/>
  <c r="Q663" i="4"/>
  <c r="R663" i="4"/>
  <c r="S663" i="4"/>
  <c r="X663" i="4" s="1"/>
  <c r="T663" i="4"/>
  <c r="Y663" i="4" s="1"/>
  <c r="F664" i="4"/>
  <c r="L664" i="4" s="1"/>
  <c r="G664" i="4"/>
  <c r="M664" i="4" s="1"/>
  <c r="H664" i="4"/>
  <c r="N664" i="4" s="1"/>
  <c r="I664" i="4"/>
  <c r="O664" i="4" s="1"/>
  <c r="J664" i="4"/>
  <c r="Q664" i="4"/>
  <c r="R664" i="4"/>
  <c r="W664" i="4" s="1"/>
  <c r="S664" i="4"/>
  <c r="T664" i="4"/>
  <c r="Y664" i="4" s="1"/>
  <c r="F665" i="4"/>
  <c r="L665" i="4" s="1"/>
  <c r="G665" i="4"/>
  <c r="M665" i="4" s="1"/>
  <c r="H665" i="4"/>
  <c r="I665" i="4"/>
  <c r="O665" i="4" s="1"/>
  <c r="J665" i="4"/>
  <c r="Q665" i="4"/>
  <c r="R665" i="4"/>
  <c r="W665" i="4" s="1"/>
  <c r="S665" i="4"/>
  <c r="T665" i="4"/>
  <c r="Y665" i="4" s="1"/>
  <c r="F666" i="4"/>
  <c r="L666" i="4" s="1"/>
  <c r="G666" i="4"/>
  <c r="M666" i="4" s="1"/>
  <c r="H666" i="4"/>
  <c r="N666" i="4" s="1"/>
  <c r="I666" i="4"/>
  <c r="O666" i="4" s="1"/>
  <c r="J666" i="4"/>
  <c r="Q666" i="4"/>
  <c r="R666" i="4"/>
  <c r="W666" i="4" s="1"/>
  <c r="S666" i="4"/>
  <c r="X666" i="4" s="1"/>
  <c r="T666" i="4"/>
  <c r="Y666" i="4" s="1"/>
  <c r="F667" i="4"/>
  <c r="L667" i="4" s="1"/>
  <c r="G667" i="4"/>
  <c r="M667" i="4" s="1"/>
  <c r="H667" i="4"/>
  <c r="N667" i="4" s="1"/>
  <c r="I667" i="4"/>
  <c r="O667" i="4" s="1"/>
  <c r="J667" i="4"/>
  <c r="Q667" i="4"/>
  <c r="R667" i="4"/>
  <c r="W667" i="4" s="1"/>
  <c r="S667" i="4"/>
  <c r="X667" i="4" s="1"/>
  <c r="T667" i="4"/>
  <c r="Y667" i="4" s="1"/>
  <c r="F668" i="4"/>
  <c r="G668" i="4"/>
  <c r="M668" i="4" s="1"/>
  <c r="H668" i="4"/>
  <c r="N668" i="4" s="1"/>
  <c r="I668" i="4"/>
  <c r="O668" i="4" s="1"/>
  <c r="J668" i="4"/>
  <c r="Q668" i="4"/>
  <c r="V668" i="4" s="1"/>
  <c r="R668" i="4"/>
  <c r="S668" i="4"/>
  <c r="X668" i="4" s="1"/>
  <c r="T668" i="4"/>
  <c r="Y668" i="4" s="1"/>
  <c r="F669" i="4"/>
  <c r="L669" i="4" s="1"/>
  <c r="G669" i="4"/>
  <c r="M669" i="4" s="1"/>
  <c r="H669" i="4"/>
  <c r="N669" i="4" s="1"/>
  <c r="I669" i="4"/>
  <c r="O669" i="4" s="1"/>
  <c r="J669" i="4"/>
  <c r="Q669" i="4"/>
  <c r="V669" i="4" s="1"/>
  <c r="R669" i="4"/>
  <c r="W669" i="4" s="1"/>
  <c r="S669" i="4"/>
  <c r="T669" i="4"/>
  <c r="Y669" i="4" s="1"/>
  <c r="F670" i="4"/>
  <c r="L670" i="4" s="1"/>
  <c r="G670" i="4"/>
  <c r="M670" i="4" s="1"/>
  <c r="H670" i="4"/>
  <c r="I670" i="4"/>
  <c r="O670" i="4" s="1"/>
  <c r="J670" i="4"/>
  <c r="Q670" i="4"/>
  <c r="R670" i="4"/>
  <c r="S670" i="4"/>
  <c r="X670" i="4" s="1"/>
  <c r="T670" i="4"/>
  <c r="Y670" i="4" s="1"/>
  <c r="F671" i="4"/>
  <c r="L671" i="4" s="1"/>
  <c r="G671" i="4"/>
  <c r="M671" i="4" s="1"/>
  <c r="H671" i="4"/>
  <c r="N671" i="4" s="1"/>
  <c r="I671" i="4"/>
  <c r="O671" i="4" s="1"/>
  <c r="J671" i="4"/>
  <c r="Q671" i="4"/>
  <c r="R671" i="4"/>
  <c r="W671" i="4" s="1"/>
  <c r="S671" i="4"/>
  <c r="X671" i="4" s="1"/>
  <c r="T671" i="4"/>
  <c r="Y671" i="4" s="1"/>
  <c r="F672" i="4"/>
  <c r="L672" i="4" s="1"/>
  <c r="G672" i="4"/>
  <c r="M672" i="4" s="1"/>
  <c r="H672" i="4"/>
  <c r="N672" i="4" s="1"/>
  <c r="I672" i="4"/>
  <c r="O672" i="4" s="1"/>
  <c r="J672" i="4"/>
  <c r="Q672" i="4"/>
  <c r="V672" i="4" s="1"/>
  <c r="R672" i="4"/>
  <c r="W672" i="4" s="1"/>
  <c r="S672" i="4"/>
  <c r="X672" i="4" s="1"/>
  <c r="T672" i="4"/>
  <c r="Y672" i="4" s="1"/>
  <c r="F673" i="4"/>
  <c r="L673" i="4" s="1"/>
  <c r="G673" i="4"/>
  <c r="H673" i="4"/>
  <c r="N673" i="4" s="1"/>
  <c r="I673" i="4"/>
  <c r="O673" i="4" s="1"/>
  <c r="J673" i="4"/>
  <c r="Q673" i="4"/>
  <c r="V673" i="4" s="1"/>
  <c r="R673" i="4"/>
  <c r="W673" i="4" s="1"/>
  <c r="S673" i="4"/>
  <c r="X673" i="4" s="1"/>
  <c r="T673" i="4"/>
  <c r="Y673" i="4" s="1"/>
  <c r="F674" i="4"/>
  <c r="L674" i="4" s="1"/>
  <c r="G674" i="4"/>
  <c r="M674" i="4" s="1"/>
  <c r="H674" i="4"/>
  <c r="N674" i="4" s="1"/>
  <c r="I674" i="4"/>
  <c r="O674" i="4" s="1"/>
  <c r="J674" i="4"/>
  <c r="Q674" i="4"/>
  <c r="R674" i="4"/>
  <c r="W674" i="4" s="1"/>
  <c r="S674" i="4"/>
  <c r="X674" i="4" s="1"/>
  <c r="T674" i="4"/>
  <c r="Y674" i="4" s="1"/>
  <c r="F675" i="4"/>
  <c r="G675" i="4"/>
  <c r="M675" i="4" s="1"/>
  <c r="H675" i="4"/>
  <c r="N675" i="4" s="1"/>
  <c r="I675" i="4"/>
  <c r="O675" i="4" s="1"/>
  <c r="J675" i="4"/>
  <c r="Q675" i="4"/>
  <c r="V675" i="4" s="1"/>
  <c r="R675" i="4"/>
  <c r="W675" i="4" s="1"/>
  <c r="S675" i="4"/>
  <c r="X675" i="4" s="1"/>
  <c r="T675" i="4"/>
  <c r="Y675" i="4" s="1"/>
  <c r="F676" i="4"/>
  <c r="G676" i="4"/>
  <c r="M676" i="4" s="1"/>
  <c r="H676" i="4"/>
  <c r="N676" i="4" s="1"/>
  <c r="I676" i="4"/>
  <c r="O676" i="4" s="1"/>
  <c r="J676" i="4"/>
  <c r="Q676" i="4"/>
  <c r="V676" i="4" s="1"/>
  <c r="R676" i="4"/>
  <c r="S676" i="4"/>
  <c r="X676" i="4" s="1"/>
  <c r="T676" i="4"/>
  <c r="Y676" i="4" s="1"/>
  <c r="F677" i="4"/>
  <c r="G677" i="4"/>
  <c r="M677" i="4" s="1"/>
  <c r="H677" i="4"/>
  <c r="I677" i="4"/>
  <c r="O677" i="4" s="1"/>
  <c r="J677" i="4"/>
  <c r="Q677" i="4"/>
  <c r="V677" i="4" s="1"/>
  <c r="R677" i="4"/>
  <c r="W677" i="4" s="1"/>
  <c r="S677" i="4"/>
  <c r="T677" i="4"/>
  <c r="Y677" i="4" s="1"/>
  <c r="F678" i="4"/>
  <c r="G678" i="4"/>
  <c r="M678" i="4" s="1"/>
  <c r="H678" i="4"/>
  <c r="N678" i="4" s="1"/>
  <c r="I678" i="4"/>
  <c r="O678" i="4" s="1"/>
  <c r="J678" i="4"/>
  <c r="Q678" i="4"/>
  <c r="R678" i="4"/>
  <c r="S678" i="4"/>
  <c r="X678" i="4" s="1"/>
  <c r="T678" i="4"/>
  <c r="Y678" i="4" s="1"/>
  <c r="F679" i="4"/>
  <c r="L679" i="4" s="1"/>
  <c r="G679" i="4"/>
  <c r="M679" i="4" s="1"/>
  <c r="H679" i="4"/>
  <c r="N679" i="4" s="1"/>
  <c r="I679" i="4"/>
  <c r="O679" i="4" s="1"/>
  <c r="J679" i="4"/>
  <c r="Q679" i="4"/>
  <c r="R679" i="4"/>
  <c r="W679" i="4" s="1"/>
  <c r="S679" i="4"/>
  <c r="X679" i="4" s="1"/>
  <c r="T679" i="4"/>
  <c r="Y679" i="4" s="1"/>
  <c r="F680" i="4"/>
  <c r="G680" i="4"/>
  <c r="M680" i="4" s="1"/>
  <c r="H680" i="4"/>
  <c r="I680" i="4"/>
  <c r="O680" i="4" s="1"/>
  <c r="J680" i="4"/>
  <c r="Q680" i="4"/>
  <c r="R680" i="4"/>
  <c r="W680" i="4" s="1"/>
  <c r="S680" i="4"/>
  <c r="X680" i="4" s="1"/>
  <c r="T680" i="4"/>
  <c r="Y680" i="4" s="1"/>
  <c r="F681" i="4"/>
  <c r="L681" i="4" s="1"/>
  <c r="G681" i="4"/>
  <c r="M681" i="4" s="1"/>
  <c r="H681" i="4"/>
  <c r="I681" i="4"/>
  <c r="O681" i="4" s="1"/>
  <c r="J681" i="4"/>
  <c r="Q681" i="4"/>
  <c r="V681" i="4" s="1"/>
  <c r="R681" i="4"/>
  <c r="S681" i="4"/>
  <c r="X681" i="4" s="1"/>
  <c r="T681" i="4"/>
  <c r="Y681" i="4" s="1"/>
  <c r="F682" i="4"/>
  <c r="G682" i="4"/>
  <c r="M682" i="4" s="1"/>
  <c r="H682" i="4"/>
  <c r="N682" i="4" s="1"/>
  <c r="I682" i="4"/>
  <c r="O682" i="4" s="1"/>
  <c r="J682" i="4"/>
  <c r="Q682" i="4"/>
  <c r="V682" i="4" s="1"/>
  <c r="R682" i="4"/>
  <c r="W682" i="4" s="1"/>
  <c r="S682" i="4"/>
  <c r="X682" i="4" s="1"/>
  <c r="T682" i="4"/>
  <c r="Y682" i="4" s="1"/>
  <c r="F683" i="4"/>
  <c r="G683" i="4"/>
  <c r="M683" i="4" s="1"/>
  <c r="H683" i="4"/>
  <c r="N683" i="4" s="1"/>
  <c r="I683" i="4"/>
  <c r="O683" i="4" s="1"/>
  <c r="J683" i="4"/>
  <c r="Q683" i="4"/>
  <c r="R683" i="4"/>
  <c r="W683" i="4" s="1"/>
  <c r="S683" i="4"/>
  <c r="X683" i="4" s="1"/>
  <c r="T683" i="4"/>
  <c r="Y683" i="4" s="1"/>
  <c r="F684" i="4"/>
  <c r="L684" i="4" s="1"/>
  <c r="G684" i="4"/>
  <c r="M684" i="4" s="1"/>
  <c r="H684" i="4"/>
  <c r="N684" i="4" s="1"/>
  <c r="I684" i="4"/>
  <c r="O684" i="4" s="1"/>
  <c r="J684" i="4"/>
  <c r="Q684" i="4"/>
  <c r="V684" i="4" s="1"/>
  <c r="R684" i="4"/>
  <c r="S684" i="4"/>
  <c r="X684" i="4" s="1"/>
  <c r="T684" i="4"/>
  <c r="Y684" i="4" s="1"/>
  <c r="F685" i="4"/>
  <c r="G685" i="4"/>
  <c r="M685" i="4" s="1"/>
  <c r="H685" i="4"/>
  <c r="N685" i="4" s="1"/>
  <c r="I685" i="4"/>
  <c r="O685" i="4" s="1"/>
  <c r="J685" i="4"/>
  <c r="Q685" i="4"/>
  <c r="V685" i="4" s="1"/>
  <c r="R685" i="4"/>
  <c r="W685" i="4" s="1"/>
  <c r="S685" i="4"/>
  <c r="X685" i="4" s="1"/>
  <c r="T685" i="4"/>
  <c r="Y685" i="4" s="1"/>
  <c r="F686" i="4"/>
  <c r="G686" i="4"/>
  <c r="M686" i="4" s="1"/>
  <c r="H686" i="4"/>
  <c r="N686" i="4" s="1"/>
  <c r="I686" i="4"/>
  <c r="O686" i="4" s="1"/>
  <c r="J686" i="4"/>
  <c r="Q686" i="4"/>
  <c r="R686" i="4"/>
  <c r="S686" i="4"/>
  <c r="X686" i="4" s="1"/>
  <c r="T686" i="4"/>
  <c r="Y686" i="4" s="1"/>
  <c r="F687" i="4"/>
  <c r="G687" i="4"/>
  <c r="M687" i="4" s="1"/>
  <c r="H687" i="4"/>
  <c r="I687" i="4"/>
  <c r="O687" i="4" s="1"/>
  <c r="J687" i="4"/>
  <c r="Q687" i="4"/>
  <c r="R687" i="4"/>
  <c r="W687" i="4" s="1"/>
  <c r="S687" i="4"/>
  <c r="X687" i="4" s="1"/>
  <c r="T687" i="4"/>
  <c r="Y687" i="4" s="1"/>
  <c r="F688" i="4"/>
  <c r="G688" i="4"/>
  <c r="M688" i="4" s="1"/>
  <c r="H688" i="4"/>
  <c r="N688" i="4" s="1"/>
  <c r="I688" i="4"/>
  <c r="O688" i="4" s="1"/>
  <c r="J688" i="4"/>
  <c r="Q688" i="4"/>
  <c r="R688" i="4"/>
  <c r="S688" i="4"/>
  <c r="X688" i="4" s="1"/>
  <c r="T688" i="4"/>
  <c r="Y688" i="4" s="1"/>
  <c r="F689" i="4"/>
  <c r="G689" i="4"/>
  <c r="M689" i="4" s="1"/>
  <c r="H689" i="4"/>
  <c r="N689" i="4" s="1"/>
  <c r="I689" i="4"/>
  <c r="O689" i="4" s="1"/>
  <c r="J689" i="4"/>
  <c r="Q689" i="4"/>
  <c r="V689" i="4" s="1"/>
  <c r="R689" i="4"/>
  <c r="W689" i="4" s="1"/>
  <c r="S689" i="4"/>
  <c r="T689" i="4"/>
  <c r="Y689" i="4" s="1"/>
  <c r="F690" i="4"/>
  <c r="L690" i="4" s="1"/>
  <c r="G690" i="4"/>
  <c r="H690" i="4"/>
  <c r="N690" i="4" s="1"/>
  <c r="I690" i="4"/>
  <c r="O690" i="4" s="1"/>
  <c r="J690" i="4"/>
  <c r="Q690" i="4"/>
  <c r="V690" i="4" s="1"/>
  <c r="R690" i="4"/>
  <c r="S690" i="4"/>
  <c r="X690" i="4" s="1"/>
  <c r="T690" i="4"/>
  <c r="Y690" i="4" s="1"/>
  <c r="F691" i="4"/>
  <c r="G691" i="4"/>
  <c r="M691" i="4" s="1"/>
  <c r="H691" i="4"/>
  <c r="N691" i="4" s="1"/>
  <c r="I691" i="4"/>
  <c r="O691" i="4" s="1"/>
  <c r="J691" i="4"/>
  <c r="Q691" i="4"/>
  <c r="V691" i="4" s="1"/>
  <c r="R691" i="4"/>
  <c r="W691" i="4" s="1"/>
  <c r="S691" i="4"/>
  <c r="X691" i="4" s="1"/>
  <c r="T691" i="4"/>
  <c r="Y691" i="4" s="1"/>
  <c r="F692" i="4"/>
  <c r="L692" i="4" s="1"/>
  <c r="G692" i="4"/>
  <c r="M692" i="4" s="1"/>
  <c r="H692" i="4"/>
  <c r="N692" i="4" s="1"/>
  <c r="I692" i="4"/>
  <c r="O692" i="4" s="1"/>
  <c r="J692" i="4"/>
  <c r="Q692" i="4"/>
  <c r="R692" i="4"/>
  <c r="W692" i="4" s="1"/>
  <c r="S692" i="4"/>
  <c r="X692" i="4" s="1"/>
  <c r="T692" i="4"/>
  <c r="Y692" i="4" s="1"/>
  <c r="F693" i="4"/>
  <c r="L693" i="4" s="1"/>
  <c r="G693" i="4"/>
  <c r="M693" i="4" s="1"/>
  <c r="H693" i="4"/>
  <c r="N693" i="4" s="1"/>
  <c r="I693" i="4"/>
  <c r="O693" i="4" s="1"/>
  <c r="J693" i="4"/>
  <c r="Q693" i="4"/>
  <c r="V693" i="4" s="1"/>
  <c r="R693" i="4"/>
  <c r="W693" i="4" s="1"/>
  <c r="S693" i="4"/>
  <c r="X693" i="4" s="1"/>
  <c r="T693" i="4"/>
  <c r="Y693" i="4" s="1"/>
  <c r="F694" i="4"/>
  <c r="G694" i="4"/>
  <c r="M694" i="4" s="1"/>
  <c r="H694" i="4"/>
  <c r="N694" i="4" s="1"/>
  <c r="I694" i="4"/>
  <c r="O694" i="4" s="1"/>
  <c r="J694" i="4"/>
  <c r="Q694" i="4"/>
  <c r="R694" i="4"/>
  <c r="W694" i="4" s="1"/>
  <c r="S694" i="4"/>
  <c r="X694" i="4" s="1"/>
  <c r="T694" i="4"/>
  <c r="Y694" i="4" s="1"/>
  <c r="F695" i="4"/>
  <c r="G695" i="4"/>
  <c r="M695" i="4" s="1"/>
  <c r="H695" i="4"/>
  <c r="N695" i="4" s="1"/>
  <c r="I695" i="4"/>
  <c r="O695" i="4" s="1"/>
  <c r="J695" i="4"/>
  <c r="Q695" i="4"/>
  <c r="R695" i="4"/>
  <c r="S695" i="4"/>
  <c r="X695" i="4" s="1"/>
  <c r="T695" i="4"/>
  <c r="Y695" i="4" s="1"/>
  <c r="F696" i="4"/>
  <c r="G696" i="4"/>
  <c r="M696" i="4" s="1"/>
  <c r="H696" i="4"/>
  <c r="N696" i="4" s="1"/>
  <c r="I696" i="4"/>
  <c r="O696" i="4" s="1"/>
  <c r="J696" i="4"/>
  <c r="Q696" i="4"/>
  <c r="R696" i="4"/>
  <c r="W696" i="4" s="1"/>
  <c r="S696" i="4"/>
  <c r="X696" i="4" s="1"/>
  <c r="T696" i="4"/>
  <c r="Y696" i="4" s="1"/>
  <c r="F697" i="4"/>
  <c r="L697" i="4" s="1"/>
  <c r="G697" i="4"/>
  <c r="H697" i="4"/>
  <c r="N697" i="4" s="1"/>
  <c r="I697" i="4"/>
  <c r="O697" i="4" s="1"/>
  <c r="J697" i="4"/>
  <c r="Q697" i="4"/>
  <c r="R697" i="4"/>
  <c r="W697" i="4" s="1"/>
  <c r="S697" i="4"/>
  <c r="X697" i="4" s="1"/>
  <c r="T697" i="4"/>
  <c r="Y697" i="4" s="1"/>
  <c r="F698" i="4"/>
  <c r="G698" i="4"/>
  <c r="M698" i="4" s="1"/>
  <c r="H698" i="4"/>
  <c r="N698" i="4" s="1"/>
  <c r="I698" i="4"/>
  <c r="O698" i="4" s="1"/>
  <c r="J698" i="4"/>
  <c r="Q698" i="4"/>
  <c r="R698" i="4"/>
  <c r="W698" i="4" s="1"/>
  <c r="S698" i="4"/>
  <c r="X698" i="4" s="1"/>
  <c r="T698" i="4"/>
  <c r="Y698" i="4" s="1"/>
  <c r="F699" i="4"/>
  <c r="G699" i="4"/>
  <c r="M699" i="4" s="1"/>
  <c r="H699" i="4"/>
  <c r="N699" i="4" s="1"/>
  <c r="I699" i="4"/>
  <c r="O699" i="4" s="1"/>
  <c r="J699" i="4"/>
  <c r="Q699" i="4"/>
  <c r="R699" i="4"/>
  <c r="W699" i="4" s="1"/>
  <c r="S699" i="4"/>
  <c r="X699" i="4" s="1"/>
  <c r="T699" i="4"/>
  <c r="Y699" i="4" s="1"/>
  <c r="F700" i="4"/>
  <c r="G700" i="4"/>
  <c r="M700" i="4" s="1"/>
  <c r="H700" i="4"/>
  <c r="N700" i="4" s="1"/>
  <c r="I700" i="4"/>
  <c r="O700" i="4" s="1"/>
  <c r="J700" i="4"/>
  <c r="Q700" i="4"/>
  <c r="R700" i="4"/>
  <c r="W700" i="4" s="1"/>
  <c r="S700" i="4"/>
  <c r="X700" i="4" s="1"/>
  <c r="T700" i="4"/>
  <c r="Y700" i="4" s="1"/>
  <c r="F701" i="4"/>
  <c r="L701" i="4" s="1"/>
  <c r="G701" i="4"/>
  <c r="H701" i="4"/>
  <c r="N701" i="4" s="1"/>
  <c r="I701" i="4"/>
  <c r="O701" i="4" s="1"/>
  <c r="J701" i="4"/>
  <c r="Q701" i="4"/>
  <c r="V701" i="4" s="1"/>
  <c r="R701" i="4"/>
  <c r="W701" i="4" s="1"/>
  <c r="S701" i="4"/>
  <c r="X701" i="4" s="1"/>
  <c r="T701" i="4"/>
  <c r="Y701" i="4" s="1"/>
  <c r="F702" i="4"/>
  <c r="G702" i="4"/>
  <c r="M702" i="4" s="1"/>
  <c r="H702" i="4"/>
  <c r="N702" i="4" s="1"/>
  <c r="I702" i="4"/>
  <c r="O702" i="4" s="1"/>
  <c r="J702" i="4"/>
  <c r="Q702" i="4"/>
  <c r="R702" i="4"/>
  <c r="S702" i="4"/>
  <c r="X702" i="4" s="1"/>
  <c r="T702" i="4"/>
  <c r="Y702" i="4" s="1"/>
  <c r="F703" i="4"/>
  <c r="L703" i="4" s="1"/>
  <c r="G703" i="4"/>
  <c r="M703" i="4" s="1"/>
  <c r="H703" i="4"/>
  <c r="N703" i="4" s="1"/>
  <c r="I703" i="4"/>
  <c r="O703" i="4" s="1"/>
  <c r="J703" i="4"/>
  <c r="Q703" i="4"/>
  <c r="V703" i="4" s="1"/>
  <c r="R703" i="4"/>
  <c r="W703" i="4" s="1"/>
  <c r="S703" i="4"/>
  <c r="X703" i="4" s="1"/>
  <c r="T703" i="4"/>
  <c r="Y703" i="4" s="1"/>
  <c r="F704" i="4"/>
  <c r="L704" i="4" s="1"/>
  <c r="G704" i="4"/>
  <c r="M704" i="4" s="1"/>
  <c r="H704" i="4"/>
  <c r="N704" i="4" s="1"/>
  <c r="I704" i="4"/>
  <c r="O704" i="4" s="1"/>
  <c r="J704" i="4"/>
  <c r="Q704" i="4"/>
  <c r="R704" i="4"/>
  <c r="W704" i="4" s="1"/>
  <c r="S704" i="4"/>
  <c r="X704" i="4" s="1"/>
  <c r="T704" i="4"/>
  <c r="Y704" i="4" s="1"/>
  <c r="F705" i="4"/>
  <c r="G705" i="4"/>
  <c r="M705" i="4" s="1"/>
  <c r="H705" i="4"/>
  <c r="N705" i="4" s="1"/>
  <c r="I705" i="4"/>
  <c r="O705" i="4" s="1"/>
  <c r="J705" i="4"/>
  <c r="Q705" i="4"/>
  <c r="R705" i="4"/>
  <c r="W705" i="4" s="1"/>
  <c r="S705" i="4"/>
  <c r="X705" i="4" s="1"/>
  <c r="T705" i="4"/>
  <c r="Y705" i="4" s="1"/>
  <c r="F706" i="4"/>
  <c r="G706" i="4"/>
  <c r="M706" i="4" s="1"/>
  <c r="H706" i="4"/>
  <c r="N706" i="4" s="1"/>
  <c r="I706" i="4"/>
  <c r="O706" i="4" s="1"/>
  <c r="J706" i="4"/>
  <c r="Q706" i="4"/>
  <c r="V706" i="4" s="1"/>
  <c r="R706" i="4"/>
  <c r="W706" i="4" s="1"/>
  <c r="S706" i="4"/>
  <c r="X706" i="4" s="1"/>
  <c r="T706" i="4"/>
  <c r="Y706" i="4" s="1"/>
  <c r="F707" i="4"/>
  <c r="L707" i="4" s="1"/>
  <c r="G707" i="4"/>
  <c r="M707" i="4" s="1"/>
  <c r="H707" i="4"/>
  <c r="N707" i="4" s="1"/>
  <c r="I707" i="4"/>
  <c r="O707" i="4" s="1"/>
  <c r="J707" i="4"/>
  <c r="Q707" i="4"/>
  <c r="V707" i="4" s="1"/>
  <c r="R707" i="4"/>
  <c r="W707" i="4" s="1"/>
  <c r="S707" i="4"/>
  <c r="X707" i="4" s="1"/>
  <c r="T707" i="4"/>
  <c r="Y707" i="4" s="1"/>
  <c r="F708" i="4"/>
  <c r="L708" i="4" s="1"/>
  <c r="G708" i="4"/>
  <c r="M708" i="4" s="1"/>
  <c r="H708" i="4"/>
  <c r="I708" i="4"/>
  <c r="O708" i="4" s="1"/>
  <c r="J708" i="4"/>
  <c r="Q708" i="4"/>
  <c r="R708" i="4"/>
  <c r="W708" i="4" s="1"/>
  <c r="S708" i="4"/>
  <c r="X708" i="4" s="1"/>
  <c r="T708" i="4"/>
  <c r="Y708" i="4" s="1"/>
  <c r="F709" i="4"/>
  <c r="G709" i="4"/>
  <c r="M709" i="4" s="1"/>
  <c r="H709" i="4"/>
  <c r="N709" i="4" s="1"/>
  <c r="I709" i="4"/>
  <c r="O709" i="4" s="1"/>
  <c r="J709" i="4"/>
  <c r="Q709" i="4"/>
  <c r="R709" i="4"/>
  <c r="W709" i="4" s="1"/>
  <c r="S709" i="4"/>
  <c r="X709" i="4" s="1"/>
  <c r="T709" i="4"/>
  <c r="Y709" i="4" s="1"/>
  <c r="F710" i="4"/>
  <c r="G710" i="4"/>
  <c r="M710" i="4" s="1"/>
  <c r="H710" i="4"/>
  <c r="N710" i="4" s="1"/>
  <c r="I710" i="4"/>
  <c r="O710" i="4" s="1"/>
  <c r="J710" i="4"/>
  <c r="Q710" i="4"/>
  <c r="R710" i="4"/>
  <c r="S710" i="4"/>
  <c r="X710" i="4" s="1"/>
  <c r="T710" i="4"/>
  <c r="Y710" i="4" s="1"/>
  <c r="F711" i="4"/>
  <c r="G711" i="4"/>
  <c r="M711" i="4" s="1"/>
  <c r="H711" i="4"/>
  <c r="N711" i="4" s="1"/>
  <c r="I711" i="4"/>
  <c r="O711" i="4" s="1"/>
  <c r="J711" i="4"/>
  <c r="Q711" i="4"/>
  <c r="V711" i="4" s="1"/>
  <c r="R711" i="4"/>
  <c r="S711" i="4"/>
  <c r="X711" i="4" s="1"/>
  <c r="T711" i="4"/>
  <c r="Y711" i="4" s="1"/>
  <c r="F712" i="4"/>
  <c r="L712" i="4" s="1"/>
  <c r="G712" i="4"/>
  <c r="M712" i="4" s="1"/>
  <c r="H712" i="4"/>
  <c r="N712" i="4" s="1"/>
  <c r="I712" i="4"/>
  <c r="O712" i="4" s="1"/>
  <c r="J712" i="4"/>
  <c r="Q712" i="4"/>
  <c r="R712" i="4"/>
  <c r="W712" i="4" s="1"/>
  <c r="S712" i="4"/>
  <c r="X712" i="4" s="1"/>
  <c r="T712" i="4"/>
  <c r="Y712" i="4" s="1"/>
  <c r="F713" i="4"/>
  <c r="G713" i="4"/>
  <c r="M713" i="4" s="1"/>
  <c r="H713" i="4"/>
  <c r="N713" i="4" s="1"/>
  <c r="I713" i="4"/>
  <c r="O713" i="4" s="1"/>
  <c r="J713" i="4"/>
  <c r="Q713" i="4"/>
  <c r="V713" i="4" s="1"/>
  <c r="R713" i="4"/>
  <c r="W713" i="4" s="1"/>
  <c r="S713" i="4"/>
  <c r="T713" i="4"/>
  <c r="Y713" i="4" s="1"/>
  <c r="F714" i="4"/>
  <c r="L714" i="4" s="1"/>
  <c r="G714" i="4"/>
  <c r="H714" i="4"/>
  <c r="N714" i="4" s="1"/>
  <c r="I714" i="4"/>
  <c r="O714" i="4" s="1"/>
  <c r="J714" i="4"/>
  <c r="Q714" i="4"/>
  <c r="R714" i="4"/>
  <c r="W714" i="4" s="1"/>
  <c r="S714" i="4"/>
  <c r="X714" i="4" s="1"/>
  <c r="T714" i="4"/>
  <c r="Y714" i="4" s="1"/>
  <c r="F715" i="4"/>
  <c r="G715" i="4"/>
  <c r="H715" i="4"/>
  <c r="N715" i="4" s="1"/>
  <c r="I715" i="4"/>
  <c r="O715" i="4" s="1"/>
  <c r="J715" i="4"/>
  <c r="Q715" i="4"/>
  <c r="V715" i="4" s="1"/>
  <c r="R715" i="4"/>
  <c r="W715" i="4" s="1"/>
  <c r="S715" i="4"/>
  <c r="X715" i="4" s="1"/>
  <c r="T715" i="4"/>
  <c r="Y715" i="4" s="1"/>
  <c r="F716" i="4"/>
  <c r="L716" i="4" s="1"/>
  <c r="G716" i="4"/>
  <c r="H716" i="4"/>
  <c r="N716" i="4" s="1"/>
  <c r="I716" i="4"/>
  <c r="O716" i="4" s="1"/>
  <c r="J716" i="4"/>
  <c r="Q716" i="4"/>
  <c r="R716" i="4"/>
  <c r="W716" i="4" s="1"/>
  <c r="S716" i="4"/>
  <c r="X716" i="4" s="1"/>
  <c r="T716" i="4"/>
  <c r="Y716" i="4" s="1"/>
  <c r="F717" i="4"/>
  <c r="L717" i="4" s="1"/>
  <c r="G717" i="4"/>
  <c r="M717" i="4" s="1"/>
  <c r="H717" i="4"/>
  <c r="N717" i="4" s="1"/>
  <c r="I717" i="4"/>
  <c r="O717" i="4" s="1"/>
  <c r="J717" i="4"/>
  <c r="Q717" i="4"/>
  <c r="V717" i="4" s="1"/>
  <c r="R717" i="4"/>
  <c r="W717" i="4" s="1"/>
  <c r="S717" i="4"/>
  <c r="T717" i="4"/>
  <c r="Y717" i="4" s="1"/>
  <c r="F718" i="4"/>
  <c r="L718" i="4" s="1"/>
  <c r="G718" i="4"/>
  <c r="M718" i="4" s="1"/>
  <c r="H718" i="4"/>
  <c r="N718" i="4" s="1"/>
  <c r="I718" i="4"/>
  <c r="O718" i="4" s="1"/>
  <c r="J718" i="4"/>
  <c r="Q718" i="4"/>
  <c r="V718" i="4" s="1"/>
  <c r="R718" i="4"/>
  <c r="W718" i="4" s="1"/>
  <c r="S718" i="4"/>
  <c r="X718" i="4" s="1"/>
  <c r="T718" i="4"/>
  <c r="Y718" i="4" s="1"/>
  <c r="F719" i="4"/>
  <c r="L719" i="4" s="1"/>
  <c r="G719" i="4"/>
  <c r="M719" i="4" s="1"/>
  <c r="H719" i="4"/>
  <c r="N719" i="4" s="1"/>
  <c r="I719" i="4"/>
  <c r="O719" i="4" s="1"/>
  <c r="J719" i="4"/>
  <c r="Q719" i="4"/>
  <c r="V719" i="4" s="1"/>
  <c r="R719" i="4"/>
  <c r="W719" i="4" s="1"/>
  <c r="S719" i="4"/>
  <c r="X719" i="4" s="1"/>
  <c r="T719" i="4"/>
  <c r="Y719" i="4" s="1"/>
  <c r="F720" i="4"/>
  <c r="L720" i="4" s="1"/>
  <c r="G720" i="4"/>
  <c r="H720" i="4"/>
  <c r="N720" i="4" s="1"/>
  <c r="I720" i="4"/>
  <c r="O720" i="4" s="1"/>
  <c r="J720" i="4"/>
  <c r="Q720" i="4"/>
  <c r="R720" i="4"/>
  <c r="W720" i="4" s="1"/>
  <c r="S720" i="4"/>
  <c r="X720" i="4" s="1"/>
  <c r="T720" i="4"/>
  <c r="Y720" i="4" s="1"/>
  <c r="F721" i="4"/>
  <c r="L721" i="4" s="1"/>
  <c r="G721" i="4"/>
  <c r="M721" i="4" s="1"/>
  <c r="H721" i="4"/>
  <c r="N721" i="4" s="1"/>
  <c r="I721" i="4"/>
  <c r="O721" i="4" s="1"/>
  <c r="J721" i="4"/>
  <c r="Q721" i="4"/>
  <c r="R721" i="4"/>
  <c r="W721" i="4" s="1"/>
  <c r="S721" i="4"/>
  <c r="X721" i="4" s="1"/>
  <c r="T721" i="4"/>
  <c r="Y721" i="4" s="1"/>
  <c r="F722" i="4"/>
  <c r="G722" i="4"/>
  <c r="M722" i="4" s="1"/>
  <c r="H722" i="4"/>
  <c r="N722" i="4" s="1"/>
  <c r="I722" i="4"/>
  <c r="O722" i="4" s="1"/>
  <c r="J722" i="4"/>
  <c r="Q722" i="4"/>
  <c r="V722" i="4" s="1"/>
  <c r="R722" i="4"/>
  <c r="W722" i="4" s="1"/>
  <c r="S722" i="4"/>
  <c r="X722" i="4" s="1"/>
  <c r="T722" i="4"/>
  <c r="Y722" i="4" s="1"/>
  <c r="F723" i="4"/>
  <c r="G723" i="4"/>
  <c r="H723" i="4"/>
  <c r="N723" i="4" s="1"/>
  <c r="I723" i="4"/>
  <c r="O723" i="4" s="1"/>
  <c r="J723" i="4"/>
  <c r="Q723" i="4"/>
  <c r="R723" i="4"/>
  <c r="W723" i="4" s="1"/>
  <c r="S723" i="4"/>
  <c r="X723" i="4" s="1"/>
  <c r="T723" i="4"/>
  <c r="Y723" i="4" s="1"/>
  <c r="F724" i="4"/>
  <c r="L724" i="4" s="1"/>
  <c r="G724" i="4"/>
  <c r="M724" i="4" s="1"/>
  <c r="H724" i="4"/>
  <c r="N724" i="4" s="1"/>
  <c r="I724" i="4"/>
  <c r="O724" i="4" s="1"/>
  <c r="J724" i="4"/>
  <c r="Q724" i="4"/>
  <c r="V724" i="4" s="1"/>
  <c r="R724" i="4"/>
  <c r="S724" i="4"/>
  <c r="X724" i="4" s="1"/>
  <c r="T724" i="4"/>
  <c r="Y724" i="4" s="1"/>
  <c r="F725" i="4"/>
  <c r="L725" i="4" s="1"/>
  <c r="G725" i="4"/>
  <c r="M725" i="4" s="1"/>
  <c r="H725" i="4"/>
  <c r="I725" i="4"/>
  <c r="O725" i="4" s="1"/>
  <c r="J725" i="4"/>
  <c r="Q725" i="4"/>
  <c r="V725" i="4" s="1"/>
  <c r="R725" i="4"/>
  <c r="S725" i="4"/>
  <c r="X725" i="4" s="1"/>
  <c r="T725" i="4"/>
  <c r="Y725" i="4" s="1"/>
  <c r="F726" i="4"/>
  <c r="L726" i="4" s="1"/>
  <c r="G726" i="4"/>
  <c r="M726" i="4" s="1"/>
  <c r="H726" i="4"/>
  <c r="N726" i="4" s="1"/>
  <c r="I726" i="4"/>
  <c r="O726" i="4" s="1"/>
  <c r="J726" i="4"/>
  <c r="Q726" i="4"/>
  <c r="R726" i="4"/>
  <c r="S726" i="4"/>
  <c r="X726" i="4" s="1"/>
  <c r="T726" i="4"/>
  <c r="Y726" i="4" s="1"/>
  <c r="F727" i="4"/>
  <c r="G727" i="4"/>
  <c r="M727" i="4" s="1"/>
  <c r="H727" i="4"/>
  <c r="N727" i="4" s="1"/>
  <c r="I727" i="4"/>
  <c r="O727" i="4" s="1"/>
  <c r="J727" i="4"/>
  <c r="Q727" i="4"/>
  <c r="R727" i="4"/>
  <c r="W727" i="4" s="1"/>
  <c r="S727" i="4"/>
  <c r="X727" i="4" s="1"/>
  <c r="T727" i="4"/>
  <c r="Y727" i="4" s="1"/>
  <c r="F728" i="4"/>
  <c r="G728" i="4"/>
  <c r="M728" i="4" s="1"/>
  <c r="H728" i="4"/>
  <c r="N728" i="4" s="1"/>
  <c r="I728" i="4"/>
  <c r="O728" i="4" s="1"/>
  <c r="J728" i="4"/>
  <c r="Q728" i="4"/>
  <c r="R728" i="4"/>
  <c r="W728" i="4" s="1"/>
  <c r="S728" i="4"/>
  <c r="T728" i="4"/>
  <c r="Y728" i="4" s="1"/>
  <c r="F729" i="4"/>
  <c r="G729" i="4"/>
  <c r="M729" i="4" s="1"/>
  <c r="H729" i="4"/>
  <c r="N729" i="4" s="1"/>
  <c r="I729" i="4"/>
  <c r="O729" i="4" s="1"/>
  <c r="J729" i="4"/>
  <c r="Q729" i="4"/>
  <c r="V729" i="4" s="1"/>
  <c r="R729" i="4"/>
  <c r="S729" i="4"/>
  <c r="X729" i="4" s="1"/>
  <c r="T729" i="4"/>
  <c r="Y729" i="4" s="1"/>
  <c r="F730" i="4"/>
  <c r="G730" i="4"/>
  <c r="H730" i="4"/>
  <c r="N730" i="4" s="1"/>
  <c r="I730" i="4"/>
  <c r="O730" i="4" s="1"/>
  <c r="J730" i="4"/>
  <c r="Q730" i="4"/>
  <c r="R730" i="4"/>
  <c r="S730" i="4"/>
  <c r="X730" i="4" s="1"/>
  <c r="T730" i="4"/>
  <c r="Y730" i="4" s="1"/>
  <c r="F731" i="4"/>
  <c r="L731" i="4" s="1"/>
  <c r="G731" i="4"/>
  <c r="H731" i="4"/>
  <c r="N731" i="4" s="1"/>
  <c r="I731" i="4"/>
  <c r="O731" i="4" s="1"/>
  <c r="J731" i="4"/>
  <c r="Q731" i="4"/>
  <c r="V731" i="4" s="1"/>
  <c r="R731" i="4"/>
  <c r="W731" i="4" s="1"/>
  <c r="S731" i="4"/>
  <c r="X731" i="4" s="1"/>
  <c r="T731" i="4"/>
  <c r="Y731" i="4" s="1"/>
  <c r="F732" i="4"/>
  <c r="L732" i="4" s="1"/>
  <c r="G732" i="4"/>
  <c r="M732" i="4" s="1"/>
  <c r="H732" i="4"/>
  <c r="N732" i="4" s="1"/>
  <c r="I732" i="4"/>
  <c r="O732" i="4" s="1"/>
  <c r="J732" i="4"/>
  <c r="Q732" i="4"/>
  <c r="R732" i="4"/>
  <c r="W732" i="4" s="1"/>
  <c r="S732" i="4"/>
  <c r="X732" i="4" s="1"/>
  <c r="T732" i="4"/>
  <c r="Y732" i="4" s="1"/>
  <c r="F733" i="4"/>
  <c r="G733" i="4"/>
  <c r="M733" i="4" s="1"/>
  <c r="H733" i="4"/>
  <c r="I733" i="4"/>
  <c r="O733" i="4" s="1"/>
  <c r="J733" i="4"/>
  <c r="Q733" i="4"/>
  <c r="R733" i="4"/>
  <c r="W733" i="4" s="1"/>
  <c r="S733" i="4"/>
  <c r="X733" i="4" s="1"/>
  <c r="T733" i="4"/>
  <c r="Y733" i="4" s="1"/>
  <c r="F734" i="4"/>
  <c r="G734" i="4"/>
  <c r="M734" i="4" s="1"/>
  <c r="H734" i="4"/>
  <c r="N734" i="4" s="1"/>
  <c r="I734" i="4"/>
  <c r="O734" i="4" s="1"/>
  <c r="J734" i="4"/>
  <c r="Q734" i="4"/>
  <c r="V734" i="4" s="1"/>
  <c r="R734" i="4"/>
  <c r="W734" i="4" s="1"/>
  <c r="S734" i="4"/>
  <c r="X734" i="4" s="1"/>
  <c r="T734" i="4"/>
  <c r="Y734" i="4" s="1"/>
  <c r="F735" i="4"/>
  <c r="G735" i="4"/>
  <c r="M735" i="4" s="1"/>
  <c r="H735" i="4"/>
  <c r="N735" i="4" s="1"/>
  <c r="I735" i="4"/>
  <c r="O735" i="4" s="1"/>
  <c r="J735" i="4"/>
  <c r="Q735" i="4"/>
  <c r="V735" i="4" s="1"/>
  <c r="R735" i="4"/>
  <c r="W735" i="4" s="1"/>
  <c r="S735" i="4"/>
  <c r="T735" i="4"/>
  <c r="Y735" i="4" s="1"/>
  <c r="F736" i="4"/>
  <c r="G736" i="4"/>
  <c r="M736" i="4" s="1"/>
  <c r="H736" i="4"/>
  <c r="N736" i="4" s="1"/>
  <c r="I736" i="4"/>
  <c r="O736" i="4" s="1"/>
  <c r="J736" i="4"/>
  <c r="Q736" i="4"/>
  <c r="V736" i="4" s="1"/>
  <c r="R736" i="4"/>
  <c r="W736" i="4" s="1"/>
  <c r="S736" i="4"/>
  <c r="T736" i="4"/>
  <c r="Y736" i="4" s="1"/>
  <c r="F737" i="4"/>
  <c r="L737" i="4" s="1"/>
  <c r="G737" i="4"/>
  <c r="H737" i="4"/>
  <c r="N737" i="4" s="1"/>
  <c r="I737" i="4"/>
  <c r="O737" i="4" s="1"/>
  <c r="J737" i="4"/>
  <c r="Q737" i="4"/>
  <c r="R737" i="4"/>
  <c r="W737" i="4" s="1"/>
  <c r="S737" i="4"/>
  <c r="X737" i="4" s="1"/>
  <c r="T737" i="4"/>
  <c r="Y737" i="4" s="1"/>
  <c r="F738" i="4"/>
  <c r="G738" i="4"/>
  <c r="M738" i="4" s="1"/>
  <c r="H738" i="4"/>
  <c r="I738" i="4"/>
  <c r="O738" i="4" s="1"/>
  <c r="J738" i="4"/>
  <c r="Q738" i="4"/>
  <c r="V738" i="4" s="1"/>
  <c r="R738" i="4"/>
  <c r="W738" i="4" s="1"/>
  <c r="S738" i="4"/>
  <c r="X738" i="4" s="1"/>
  <c r="T738" i="4"/>
  <c r="Y738" i="4" s="1"/>
  <c r="F739" i="4"/>
  <c r="G739" i="4"/>
  <c r="M739" i="4" s="1"/>
  <c r="H739" i="4"/>
  <c r="N739" i="4" s="1"/>
  <c r="I739" i="4"/>
  <c r="O739" i="4" s="1"/>
  <c r="J739" i="4"/>
  <c r="Q739" i="4"/>
  <c r="V739" i="4" s="1"/>
  <c r="R739" i="4"/>
  <c r="W739" i="4" s="1"/>
  <c r="S739" i="4"/>
  <c r="X739" i="4" s="1"/>
  <c r="T739" i="4"/>
  <c r="Y739" i="4" s="1"/>
  <c r="F740" i="4"/>
  <c r="L740" i="4" s="1"/>
  <c r="G740" i="4"/>
  <c r="M740" i="4" s="1"/>
  <c r="H740" i="4"/>
  <c r="N740" i="4" s="1"/>
  <c r="I740" i="4"/>
  <c r="O740" i="4" s="1"/>
  <c r="J740" i="4"/>
  <c r="Q740" i="4"/>
  <c r="R740" i="4"/>
  <c r="W740" i="4" s="1"/>
  <c r="S740" i="4"/>
  <c r="X740" i="4" s="1"/>
  <c r="T740" i="4"/>
  <c r="Y740" i="4" s="1"/>
  <c r="F741" i="4"/>
  <c r="G741" i="4"/>
  <c r="M741" i="4" s="1"/>
  <c r="H741" i="4"/>
  <c r="N741" i="4" s="1"/>
  <c r="I741" i="4"/>
  <c r="O741" i="4" s="1"/>
  <c r="J741" i="4"/>
  <c r="Q741" i="4"/>
  <c r="V741" i="4" s="1"/>
  <c r="R741" i="4"/>
  <c r="W741" i="4" s="1"/>
  <c r="S741" i="4"/>
  <c r="X741" i="4" s="1"/>
  <c r="T741" i="4"/>
  <c r="Y741" i="4" s="1"/>
  <c r="F742" i="4"/>
  <c r="G742" i="4"/>
  <c r="M742" i="4" s="1"/>
  <c r="H742" i="4"/>
  <c r="N742" i="4" s="1"/>
  <c r="I742" i="4"/>
  <c r="O742" i="4" s="1"/>
  <c r="J742" i="4"/>
  <c r="Q742" i="4"/>
  <c r="R742" i="4"/>
  <c r="W742" i="4" s="1"/>
  <c r="S742" i="4"/>
  <c r="T742" i="4"/>
  <c r="Y742" i="4" s="1"/>
  <c r="F743" i="4"/>
  <c r="L743" i="4" s="1"/>
  <c r="G743" i="4"/>
  <c r="H743" i="4"/>
  <c r="N743" i="4" s="1"/>
  <c r="I743" i="4"/>
  <c r="O743" i="4" s="1"/>
  <c r="J743" i="4"/>
  <c r="Q743" i="4"/>
  <c r="R743" i="4"/>
  <c r="W743" i="4" s="1"/>
  <c r="S743" i="4"/>
  <c r="T743" i="4"/>
  <c r="Y743" i="4" s="1"/>
  <c r="F744" i="4"/>
  <c r="L744" i="4" s="1"/>
  <c r="G744" i="4"/>
  <c r="M744" i="4" s="1"/>
  <c r="H744" i="4"/>
  <c r="N744" i="4" s="1"/>
  <c r="I744" i="4"/>
  <c r="O744" i="4" s="1"/>
  <c r="J744" i="4"/>
  <c r="Q744" i="4"/>
  <c r="V744" i="4" s="1"/>
  <c r="R744" i="4"/>
  <c r="W744" i="4" s="1"/>
  <c r="S744" i="4"/>
  <c r="X744" i="4" s="1"/>
  <c r="T744" i="4"/>
  <c r="Y744" i="4" s="1"/>
  <c r="F745" i="4"/>
  <c r="G745" i="4"/>
  <c r="M745" i="4" s="1"/>
  <c r="H745" i="4"/>
  <c r="N745" i="4" s="1"/>
  <c r="I745" i="4"/>
  <c r="O745" i="4" s="1"/>
  <c r="J745" i="4"/>
  <c r="Q745" i="4"/>
  <c r="R745" i="4"/>
  <c r="S745" i="4"/>
  <c r="X745" i="4" s="1"/>
  <c r="T745" i="4"/>
  <c r="Y745" i="4" s="1"/>
  <c r="F746" i="4"/>
  <c r="L746" i="4" s="1"/>
  <c r="G746" i="4"/>
  <c r="M746" i="4" s="1"/>
  <c r="H746" i="4"/>
  <c r="I746" i="4"/>
  <c r="O746" i="4" s="1"/>
  <c r="J746" i="4"/>
  <c r="Q746" i="4"/>
  <c r="R746" i="4"/>
  <c r="S746" i="4"/>
  <c r="X746" i="4" s="1"/>
  <c r="T746" i="4"/>
  <c r="Y746" i="4" s="1"/>
  <c r="F747" i="4"/>
  <c r="G747" i="4"/>
  <c r="M747" i="4" s="1"/>
  <c r="H747" i="4"/>
  <c r="N747" i="4" s="1"/>
  <c r="I747" i="4"/>
  <c r="O747" i="4" s="1"/>
  <c r="J747" i="4"/>
  <c r="Q747" i="4"/>
  <c r="V747" i="4" s="1"/>
  <c r="R747" i="4"/>
  <c r="W747" i="4" s="1"/>
  <c r="S747" i="4"/>
  <c r="X747" i="4" s="1"/>
  <c r="T747" i="4"/>
  <c r="Y747" i="4" s="1"/>
  <c r="F748" i="4"/>
  <c r="G748" i="4"/>
  <c r="M748" i="4" s="1"/>
  <c r="H748" i="4"/>
  <c r="I748" i="4"/>
  <c r="O748" i="4" s="1"/>
  <c r="J748" i="4"/>
  <c r="Q748" i="4"/>
  <c r="V748" i="4" s="1"/>
  <c r="R748" i="4"/>
  <c r="S748" i="4"/>
  <c r="X748" i="4" s="1"/>
  <c r="T748" i="4"/>
  <c r="Y748" i="4" s="1"/>
  <c r="F749" i="4"/>
  <c r="G749" i="4"/>
  <c r="M749" i="4" s="1"/>
  <c r="H749" i="4"/>
  <c r="N749" i="4" s="1"/>
  <c r="I749" i="4"/>
  <c r="O749" i="4" s="1"/>
  <c r="J749" i="4"/>
  <c r="Q749" i="4"/>
  <c r="R749" i="4"/>
  <c r="S749" i="4"/>
  <c r="X749" i="4" s="1"/>
  <c r="T749" i="4"/>
  <c r="Y749" i="4" s="1"/>
  <c r="F750" i="4"/>
  <c r="G750" i="4"/>
  <c r="M750" i="4" s="1"/>
  <c r="H750" i="4"/>
  <c r="N750" i="4" s="1"/>
  <c r="I750" i="4"/>
  <c r="O750" i="4" s="1"/>
  <c r="J750" i="4"/>
  <c r="Q750" i="4"/>
  <c r="V750" i="4" s="1"/>
  <c r="R750" i="4"/>
  <c r="W750" i="4" s="1"/>
  <c r="S750" i="4"/>
  <c r="T750" i="4"/>
  <c r="Y750" i="4" s="1"/>
  <c r="F751" i="4"/>
  <c r="L751" i="4" s="1"/>
  <c r="G751" i="4"/>
  <c r="M751" i="4" s="1"/>
  <c r="H751" i="4"/>
  <c r="N751" i="4" s="1"/>
  <c r="I751" i="4"/>
  <c r="O751" i="4" s="1"/>
  <c r="J751" i="4"/>
  <c r="Q751" i="4"/>
  <c r="R751" i="4"/>
  <c r="S751" i="4"/>
  <c r="X751" i="4" s="1"/>
  <c r="T751" i="4"/>
  <c r="Y751" i="4" s="1"/>
  <c r="F752" i="4"/>
  <c r="G752" i="4"/>
  <c r="H752" i="4"/>
  <c r="N752" i="4" s="1"/>
  <c r="I752" i="4"/>
  <c r="O752" i="4" s="1"/>
  <c r="J752" i="4"/>
  <c r="Q752" i="4"/>
  <c r="V752" i="4" s="1"/>
  <c r="R752" i="4"/>
  <c r="W752" i="4" s="1"/>
  <c r="S752" i="4"/>
  <c r="X752" i="4" s="1"/>
  <c r="T752" i="4"/>
  <c r="Y752" i="4" s="1"/>
  <c r="F753" i="4"/>
  <c r="G753" i="4"/>
  <c r="M753" i="4" s="1"/>
  <c r="H753" i="4"/>
  <c r="N753" i="4" s="1"/>
  <c r="I753" i="4"/>
  <c r="O753" i="4" s="1"/>
  <c r="J753" i="4"/>
  <c r="Q753" i="4"/>
  <c r="R753" i="4"/>
  <c r="W753" i="4" s="1"/>
  <c r="S753" i="4"/>
  <c r="X753" i="4" s="1"/>
  <c r="T753" i="4"/>
  <c r="Y753" i="4" s="1"/>
  <c r="F754" i="4"/>
  <c r="L754" i="4" s="1"/>
  <c r="G754" i="4"/>
  <c r="H754" i="4"/>
  <c r="N754" i="4" s="1"/>
  <c r="I754" i="4"/>
  <c r="O754" i="4" s="1"/>
  <c r="J754" i="4"/>
  <c r="Q754" i="4"/>
  <c r="V754" i="4" s="1"/>
  <c r="R754" i="4"/>
  <c r="W754" i="4" s="1"/>
  <c r="S754" i="4"/>
  <c r="X754" i="4" s="1"/>
  <c r="T754" i="4"/>
  <c r="Y754" i="4" s="1"/>
  <c r="F755" i="4"/>
  <c r="G755" i="4"/>
  <c r="M755" i="4" s="1"/>
  <c r="H755" i="4"/>
  <c r="N755" i="4" s="1"/>
  <c r="I755" i="4"/>
  <c r="O755" i="4" s="1"/>
  <c r="J755" i="4"/>
  <c r="Q755" i="4"/>
  <c r="R755" i="4"/>
  <c r="W755" i="4" s="1"/>
  <c r="S755" i="4"/>
  <c r="X755" i="4" s="1"/>
  <c r="T755" i="4"/>
  <c r="Y755" i="4" s="1"/>
  <c r="F756" i="4"/>
  <c r="G756" i="4"/>
  <c r="M756" i="4" s="1"/>
  <c r="H756" i="4"/>
  <c r="N756" i="4" s="1"/>
  <c r="I756" i="4"/>
  <c r="O756" i="4" s="1"/>
  <c r="J756" i="4"/>
  <c r="Q756" i="4"/>
  <c r="V756" i="4" s="1"/>
  <c r="R756" i="4"/>
  <c r="W756" i="4" s="1"/>
  <c r="S756" i="4"/>
  <c r="T756" i="4"/>
  <c r="Y756" i="4" s="1"/>
  <c r="F757" i="4"/>
  <c r="G757" i="4"/>
  <c r="M757" i="4" s="1"/>
  <c r="H757" i="4"/>
  <c r="N757" i="4" s="1"/>
  <c r="I757" i="4"/>
  <c r="O757" i="4" s="1"/>
  <c r="J757" i="4"/>
  <c r="Q757" i="4"/>
  <c r="V757" i="4" s="1"/>
  <c r="R757" i="4"/>
  <c r="W757" i="4" s="1"/>
  <c r="S757" i="4"/>
  <c r="X757" i="4" s="1"/>
  <c r="T757" i="4"/>
  <c r="Y757" i="4" s="1"/>
  <c r="F758" i="4"/>
  <c r="G758" i="4"/>
  <c r="H758" i="4"/>
  <c r="N758" i="4" s="1"/>
  <c r="I758" i="4"/>
  <c r="O758" i="4" s="1"/>
  <c r="J758" i="4"/>
  <c r="Q758" i="4"/>
  <c r="R758" i="4"/>
  <c r="W758" i="4" s="1"/>
  <c r="S758" i="4"/>
  <c r="T758" i="4"/>
  <c r="Y758" i="4" s="1"/>
  <c r="F759" i="4"/>
  <c r="G759" i="4"/>
  <c r="M759" i="4" s="1"/>
  <c r="H759" i="4"/>
  <c r="N759" i="4" s="1"/>
  <c r="I759" i="4"/>
  <c r="O759" i="4" s="1"/>
  <c r="J759" i="4"/>
  <c r="Q759" i="4"/>
  <c r="R759" i="4"/>
  <c r="W759" i="4" s="1"/>
  <c r="S759" i="4"/>
  <c r="X759" i="4" s="1"/>
  <c r="T759" i="4"/>
  <c r="Y759" i="4" s="1"/>
  <c r="F760" i="4"/>
  <c r="G760" i="4"/>
  <c r="M760" i="4" s="1"/>
  <c r="H760" i="4"/>
  <c r="N760" i="4" s="1"/>
  <c r="I760" i="4"/>
  <c r="O760" i="4" s="1"/>
  <c r="J760" i="4"/>
  <c r="Q760" i="4"/>
  <c r="V760" i="4" s="1"/>
  <c r="R760" i="4"/>
  <c r="S760" i="4"/>
  <c r="X760" i="4" s="1"/>
  <c r="T760" i="4"/>
  <c r="Y760" i="4" s="1"/>
  <c r="F761" i="4"/>
  <c r="G761" i="4"/>
  <c r="M761" i="4" s="1"/>
  <c r="H761" i="4"/>
  <c r="N761" i="4" s="1"/>
  <c r="I761" i="4"/>
  <c r="O761" i="4" s="1"/>
  <c r="J761" i="4"/>
  <c r="Q761" i="4"/>
  <c r="R761" i="4"/>
  <c r="W761" i="4" s="1"/>
  <c r="S761" i="4"/>
  <c r="X761" i="4" s="1"/>
  <c r="T761" i="4"/>
  <c r="Y761" i="4" s="1"/>
  <c r="F762" i="4"/>
  <c r="G762" i="4"/>
  <c r="H762" i="4"/>
  <c r="N762" i="4" s="1"/>
  <c r="I762" i="4"/>
  <c r="O762" i="4" s="1"/>
  <c r="J762" i="4"/>
  <c r="Q762" i="4"/>
  <c r="R762" i="4"/>
  <c r="W762" i="4" s="1"/>
  <c r="S762" i="4"/>
  <c r="X762" i="4" s="1"/>
  <c r="T762" i="4"/>
  <c r="Y762" i="4" s="1"/>
  <c r="F763" i="4"/>
  <c r="L763" i="4" s="1"/>
  <c r="G763" i="4"/>
  <c r="H763" i="4"/>
  <c r="N763" i="4" s="1"/>
  <c r="I763" i="4"/>
  <c r="O763" i="4" s="1"/>
  <c r="J763" i="4"/>
  <c r="Q763" i="4"/>
  <c r="R763" i="4"/>
  <c r="W763" i="4" s="1"/>
  <c r="S763" i="4"/>
  <c r="X763" i="4" s="1"/>
  <c r="T763" i="4"/>
  <c r="Y763" i="4" s="1"/>
  <c r="F764" i="4"/>
  <c r="L764" i="4" s="1"/>
  <c r="G764" i="4"/>
  <c r="M764" i="4" s="1"/>
  <c r="H764" i="4"/>
  <c r="N764" i="4" s="1"/>
  <c r="I764" i="4"/>
  <c r="O764" i="4" s="1"/>
  <c r="J764" i="4"/>
  <c r="Q764" i="4"/>
  <c r="V764" i="4" s="1"/>
  <c r="R764" i="4"/>
  <c r="W764" i="4" s="1"/>
  <c r="S764" i="4"/>
  <c r="X764" i="4" s="1"/>
  <c r="T764" i="4"/>
  <c r="Y764" i="4" s="1"/>
  <c r="F765" i="4"/>
  <c r="L765" i="4" s="1"/>
  <c r="G765" i="4"/>
  <c r="H765" i="4"/>
  <c r="N765" i="4" s="1"/>
  <c r="I765" i="4"/>
  <c r="O765" i="4" s="1"/>
  <c r="J765" i="4"/>
  <c r="Q765" i="4"/>
  <c r="V765" i="4" s="1"/>
  <c r="R765" i="4"/>
  <c r="W765" i="4" s="1"/>
  <c r="S765" i="4"/>
  <c r="T765" i="4"/>
  <c r="Y765" i="4" s="1"/>
  <c r="F766" i="4"/>
  <c r="G766" i="4"/>
  <c r="M766" i="4" s="1"/>
  <c r="H766" i="4"/>
  <c r="I766" i="4"/>
  <c r="O766" i="4" s="1"/>
  <c r="J766" i="4"/>
  <c r="Q766" i="4"/>
  <c r="R766" i="4"/>
  <c r="W766" i="4" s="1"/>
  <c r="S766" i="4"/>
  <c r="X766" i="4" s="1"/>
  <c r="T766" i="4"/>
  <c r="Y766" i="4" s="1"/>
  <c r="F767" i="4"/>
  <c r="L767" i="4" s="1"/>
  <c r="G767" i="4"/>
  <c r="H767" i="4"/>
  <c r="N767" i="4" s="1"/>
  <c r="I767" i="4"/>
  <c r="O767" i="4" s="1"/>
  <c r="J767" i="4"/>
  <c r="Q767" i="4"/>
  <c r="V767" i="4" s="1"/>
  <c r="R767" i="4"/>
  <c r="S767" i="4"/>
  <c r="X767" i="4" s="1"/>
  <c r="T767" i="4"/>
  <c r="Y767" i="4" s="1"/>
  <c r="F768" i="4"/>
  <c r="L768" i="4" s="1"/>
  <c r="G768" i="4"/>
  <c r="M768" i="4" s="1"/>
  <c r="H768" i="4"/>
  <c r="N768" i="4" s="1"/>
  <c r="I768" i="4"/>
  <c r="O768" i="4" s="1"/>
  <c r="J768" i="4"/>
  <c r="Q768" i="4"/>
  <c r="V768" i="4" s="1"/>
  <c r="R768" i="4"/>
  <c r="W768" i="4" s="1"/>
  <c r="S768" i="4"/>
  <c r="X768" i="4" s="1"/>
  <c r="T768" i="4"/>
  <c r="Y768" i="4" s="1"/>
  <c r="F769" i="4"/>
  <c r="G769" i="4"/>
  <c r="M769" i="4" s="1"/>
  <c r="H769" i="4"/>
  <c r="N769" i="4" s="1"/>
  <c r="I769" i="4"/>
  <c r="O769" i="4" s="1"/>
  <c r="J769" i="4"/>
  <c r="Q769" i="4"/>
  <c r="V769" i="4" s="1"/>
  <c r="R769" i="4"/>
  <c r="S769" i="4"/>
  <c r="X769" i="4" s="1"/>
  <c r="T769" i="4"/>
  <c r="Y769" i="4" s="1"/>
  <c r="F770" i="4"/>
  <c r="G770" i="4"/>
  <c r="H770" i="4"/>
  <c r="N770" i="4" s="1"/>
  <c r="I770" i="4"/>
  <c r="O770" i="4" s="1"/>
  <c r="J770" i="4"/>
  <c r="Q770" i="4"/>
  <c r="V770" i="4" s="1"/>
  <c r="R770" i="4"/>
  <c r="S770" i="4"/>
  <c r="X770" i="4" s="1"/>
  <c r="T770" i="4"/>
  <c r="Y770" i="4" s="1"/>
  <c r="F771" i="4"/>
  <c r="G771" i="4"/>
  <c r="M771" i="4" s="1"/>
  <c r="H771" i="4"/>
  <c r="N771" i="4" s="1"/>
  <c r="I771" i="4"/>
  <c r="O771" i="4" s="1"/>
  <c r="J771" i="4"/>
  <c r="Q771" i="4"/>
  <c r="R771" i="4"/>
  <c r="W771" i="4" s="1"/>
  <c r="S771" i="4"/>
  <c r="X771" i="4" s="1"/>
  <c r="T771" i="4"/>
  <c r="Y771" i="4" s="1"/>
  <c r="F772" i="4"/>
  <c r="G772" i="4"/>
  <c r="M772" i="4" s="1"/>
  <c r="H772" i="4"/>
  <c r="N772" i="4" s="1"/>
  <c r="I772" i="4"/>
  <c r="O772" i="4" s="1"/>
  <c r="J772" i="4"/>
  <c r="Q772" i="4"/>
  <c r="R772" i="4"/>
  <c r="W772" i="4" s="1"/>
  <c r="S772" i="4"/>
  <c r="X772" i="4" s="1"/>
  <c r="T772" i="4"/>
  <c r="Y772" i="4" s="1"/>
  <c r="B4" i="4"/>
  <c r="C4" i="4"/>
  <c r="F4" i="4"/>
  <c r="L4" i="4" s="1"/>
  <c r="G4" i="4"/>
  <c r="H4" i="4"/>
  <c r="N4" i="4" s="1"/>
  <c r="I4" i="4"/>
  <c r="O4" i="4" s="1"/>
  <c r="J4" i="4"/>
  <c r="Q4" i="4"/>
  <c r="R4" i="4"/>
  <c r="W4" i="4" s="1"/>
  <c r="S4" i="4"/>
  <c r="X4" i="4" s="1"/>
  <c r="T4" i="4"/>
  <c r="Y4" i="4" s="1"/>
  <c r="B5" i="4"/>
  <c r="C5" i="4"/>
  <c r="F5" i="4"/>
  <c r="L5" i="4" s="1"/>
  <c r="G5" i="4"/>
  <c r="M5" i="4" s="1"/>
  <c r="H5" i="4"/>
  <c r="I5" i="4"/>
  <c r="O5" i="4" s="1"/>
  <c r="J5" i="4"/>
  <c r="Q5" i="4"/>
  <c r="V5" i="4" s="1"/>
  <c r="R5" i="4"/>
  <c r="S5" i="4"/>
  <c r="X5" i="4" s="1"/>
  <c r="T5" i="4"/>
  <c r="Y5" i="4" s="1"/>
  <c r="B6" i="4"/>
  <c r="C6" i="4"/>
  <c r="F6" i="4"/>
  <c r="G6" i="4"/>
  <c r="M6" i="4" s="1"/>
  <c r="H6" i="4"/>
  <c r="N6" i="4" s="1"/>
  <c r="I6" i="4"/>
  <c r="O6" i="4" s="1"/>
  <c r="J6" i="4"/>
  <c r="Q6" i="4"/>
  <c r="R6" i="4"/>
  <c r="W6" i="4" s="1"/>
  <c r="S6" i="4"/>
  <c r="X6" i="4" s="1"/>
  <c r="T6" i="4"/>
  <c r="Y6" i="4" s="1"/>
  <c r="B7" i="4"/>
  <c r="C7" i="4"/>
  <c r="F7" i="4"/>
  <c r="L7" i="4" s="1"/>
  <c r="G7" i="4"/>
  <c r="H7" i="4"/>
  <c r="N7" i="4" s="1"/>
  <c r="I7" i="4"/>
  <c r="O7" i="4" s="1"/>
  <c r="J7" i="4"/>
  <c r="Q7" i="4"/>
  <c r="R7" i="4"/>
  <c r="W7" i="4" s="1"/>
  <c r="S7" i="4"/>
  <c r="X7" i="4" s="1"/>
  <c r="T7" i="4"/>
  <c r="Y7" i="4" s="1"/>
  <c r="B8" i="4"/>
  <c r="C8" i="4"/>
  <c r="F8" i="4"/>
  <c r="G8" i="4"/>
  <c r="M8" i="4" s="1"/>
  <c r="H8" i="4"/>
  <c r="N8" i="4" s="1"/>
  <c r="I8" i="4"/>
  <c r="O8" i="4" s="1"/>
  <c r="J8" i="4"/>
  <c r="Q8" i="4"/>
  <c r="V8" i="4" s="1"/>
  <c r="R8" i="4"/>
  <c r="S8" i="4"/>
  <c r="X8" i="4" s="1"/>
  <c r="T8" i="4"/>
  <c r="Y8" i="4" s="1"/>
  <c r="B9" i="4"/>
  <c r="C9" i="4"/>
  <c r="F9" i="4"/>
  <c r="G9" i="4"/>
  <c r="M9" i="4" s="1"/>
  <c r="H9" i="4"/>
  <c r="N9" i="4" s="1"/>
  <c r="I9" i="4"/>
  <c r="O9" i="4" s="1"/>
  <c r="J9" i="4"/>
  <c r="Q9" i="4"/>
  <c r="R9" i="4"/>
  <c r="S9" i="4"/>
  <c r="X9" i="4" s="1"/>
  <c r="T9" i="4"/>
  <c r="Y9" i="4" s="1"/>
  <c r="B10" i="4"/>
  <c r="C10" i="4"/>
  <c r="F10" i="4"/>
  <c r="G10" i="4"/>
  <c r="M10" i="4" s="1"/>
  <c r="H10" i="4"/>
  <c r="N10" i="4" s="1"/>
  <c r="I10" i="4"/>
  <c r="O10" i="4" s="1"/>
  <c r="J10" i="4"/>
  <c r="Q10" i="4"/>
  <c r="R10" i="4"/>
  <c r="W10" i="4" s="1"/>
  <c r="S10" i="4"/>
  <c r="X10" i="4" s="1"/>
  <c r="T10" i="4"/>
  <c r="Y10" i="4" s="1"/>
  <c r="B11" i="4"/>
  <c r="C11" i="4"/>
  <c r="F11" i="4"/>
  <c r="G11" i="4"/>
  <c r="M11" i="4" s="1"/>
  <c r="H11" i="4"/>
  <c r="N11" i="4" s="1"/>
  <c r="I11" i="4"/>
  <c r="O11" i="4" s="1"/>
  <c r="J11" i="4"/>
  <c r="Q11" i="4"/>
  <c r="V11" i="4" s="1"/>
  <c r="R11" i="4"/>
  <c r="S11" i="4"/>
  <c r="X11" i="4" s="1"/>
  <c r="T11" i="4"/>
  <c r="Y11" i="4" s="1"/>
  <c r="B12" i="4"/>
  <c r="C12" i="4"/>
  <c r="F12" i="4"/>
  <c r="L12" i="4" s="1"/>
  <c r="G12" i="4"/>
  <c r="M12" i="4" s="1"/>
  <c r="H12" i="4"/>
  <c r="N12" i="4" s="1"/>
  <c r="I12" i="4"/>
  <c r="O12" i="4" s="1"/>
  <c r="J12" i="4"/>
  <c r="Q12" i="4"/>
  <c r="V12" i="4" s="1"/>
  <c r="R12" i="4"/>
  <c r="S12" i="4"/>
  <c r="X12" i="4" s="1"/>
  <c r="T12" i="4"/>
  <c r="Y12" i="4" s="1"/>
  <c r="B13" i="4"/>
  <c r="C13" i="4"/>
  <c r="F13" i="4"/>
  <c r="L13" i="4" s="1"/>
  <c r="G13" i="4"/>
  <c r="M13" i="4" s="1"/>
  <c r="H13" i="4"/>
  <c r="N13" i="4" s="1"/>
  <c r="I13" i="4"/>
  <c r="O13" i="4" s="1"/>
  <c r="J13" i="4"/>
  <c r="Q13" i="4"/>
  <c r="R13" i="4"/>
  <c r="W13" i="4" s="1"/>
  <c r="S13" i="4"/>
  <c r="X13" i="4" s="1"/>
  <c r="T13" i="4"/>
  <c r="Y13" i="4" s="1"/>
  <c r="B14" i="4"/>
  <c r="C14" i="4"/>
  <c r="F14" i="4"/>
  <c r="L14" i="4" s="1"/>
  <c r="G14" i="4"/>
  <c r="H14" i="4"/>
  <c r="N14" i="4" s="1"/>
  <c r="I14" i="4"/>
  <c r="O14" i="4" s="1"/>
  <c r="J14" i="4"/>
  <c r="Q14" i="4"/>
  <c r="V14" i="4" s="1"/>
  <c r="R14" i="4"/>
  <c r="W14" i="4" s="1"/>
  <c r="S14" i="4"/>
  <c r="X14" i="4" s="1"/>
  <c r="T14" i="4"/>
  <c r="Y14" i="4" s="1"/>
  <c r="B15" i="4"/>
  <c r="C15" i="4"/>
  <c r="F15" i="4"/>
  <c r="G15" i="4"/>
  <c r="M15" i="4" s="1"/>
  <c r="H15" i="4"/>
  <c r="N15" i="4" s="1"/>
  <c r="I15" i="4"/>
  <c r="O15" i="4" s="1"/>
  <c r="J15" i="4"/>
  <c r="Q15" i="4"/>
  <c r="R15" i="4"/>
  <c r="S15" i="4"/>
  <c r="X15" i="4" s="1"/>
  <c r="T15" i="4"/>
  <c r="Y15" i="4" s="1"/>
  <c r="B16" i="4"/>
  <c r="C16" i="4"/>
  <c r="F16" i="4"/>
  <c r="L16" i="4" s="1"/>
  <c r="G16" i="4"/>
  <c r="H16" i="4"/>
  <c r="N16" i="4" s="1"/>
  <c r="I16" i="4"/>
  <c r="O16" i="4" s="1"/>
  <c r="J16" i="4"/>
  <c r="Q16" i="4"/>
  <c r="R16" i="4"/>
  <c r="W16" i="4" s="1"/>
  <c r="S16" i="4"/>
  <c r="X16" i="4" s="1"/>
  <c r="T16" i="4"/>
  <c r="Y16" i="4" s="1"/>
  <c r="B17" i="4"/>
  <c r="C17" i="4"/>
  <c r="F17" i="4"/>
  <c r="L17" i="4" s="1"/>
  <c r="G17" i="4"/>
  <c r="M17" i="4" s="1"/>
  <c r="H17" i="4"/>
  <c r="N17" i="4" s="1"/>
  <c r="I17" i="4"/>
  <c r="O17" i="4" s="1"/>
  <c r="J17" i="4"/>
  <c r="Q17" i="4"/>
  <c r="R17" i="4"/>
  <c r="W17" i="4" s="1"/>
  <c r="S17" i="4"/>
  <c r="X17" i="4" s="1"/>
  <c r="T17" i="4"/>
  <c r="Y17" i="4" s="1"/>
  <c r="B18" i="4"/>
  <c r="C18" i="4"/>
  <c r="F18" i="4"/>
  <c r="G18" i="4"/>
  <c r="M18" i="4" s="1"/>
  <c r="H18" i="4"/>
  <c r="N18" i="4" s="1"/>
  <c r="I18" i="4"/>
  <c r="O18" i="4" s="1"/>
  <c r="J18" i="4"/>
  <c r="Q18" i="4"/>
  <c r="V18" i="4" s="1"/>
  <c r="R18" i="4"/>
  <c r="W18" i="4" s="1"/>
  <c r="S18" i="4"/>
  <c r="X18" i="4" s="1"/>
  <c r="T18" i="4"/>
  <c r="Y18" i="4" s="1"/>
  <c r="B19" i="4"/>
  <c r="C19" i="4"/>
  <c r="F19" i="4"/>
  <c r="L19" i="4" s="1"/>
  <c r="G19" i="4"/>
  <c r="M19" i="4" s="1"/>
  <c r="H19" i="4"/>
  <c r="N19" i="4" s="1"/>
  <c r="I19" i="4"/>
  <c r="O19" i="4" s="1"/>
  <c r="J19" i="4"/>
  <c r="Q19" i="4"/>
  <c r="R19" i="4"/>
  <c r="W19" i="4" s="1"/>
  <c r="S19" i="4"/>
  <c r="X19" i="4" s="1"/>
  <c r="T19" i="4"/>
  <c r="Y19" i="4" s="1"/>
  <c r="B20" i="4"/>
  <c r="C20" i="4"/>
  <c r="F20" i="4"/>
  <c r="G20" i="4"/>
  <c r="M20" i="4" s="1"/>
  <c r="H20" i="4"/>
  <c r="N20" i="4" s="1"/>
  <c r="I20" i="4"/>
  <c r="O20" i="4" s="1"/>
  <c r="J20" i="4"/>
  <c r="Q20" i="4"/>
  <c r="R20" i="4"/>
  <c r="W20" i="4" s="1"/>
  <c r="S20" i="4"/>
  <c r="X20" i="4" s="1"/>
  <c r="T20" i="4"/>
  <c r="Y20" i="4" s="1"/>
  <c r="B21" i="4"/>
  <c r="C21" i="4"/>
  <c r="F21" i="4"/>
  <c r="G21" i="4"/>
  <c r="M21" i="4" s="1"/>
  <c r="H21" i="4"/>
  <c r="N21" i="4" s="1"/>
  <c r="I21" i="4"/>
  <c r="O21" i="4" s="1"/>
  <c r="J21" i="4"/>
  <c r="Q21" i="4"/>
  <c r="R21" i="4"/>
  <c r="W21" i="4" s="1"/>
  <c r="S21" i="4"/>
  <c r="X21" i="4" s="1"/>
  <c r="T21" i="4"/>
  <c r="Y21" i="4" s="1"/>
  <c r="B22" i="4"/>
  <c r="C22" i="4"/>
  <c r="F22" i="4"/>
  <c r="G22" i="4"/>
  <c r="M22" i="4" s="1"/>
  <c r="H22" i="4"/>
  <c r="N22" i="4" s="1"/>
  <c r="I22" i="4"/>
  <c r="O22" i="4" s="1"/>
  <c r="J22" i="4"/>
  <c r="Q22" i="4"/>
  <c r="R22" i="4"/>
  <c r="W22" i="4" s="1"/>
  <c r="S22" i="4"/>
  <c r="X22" i="4" s="1"/>
  <c r="T22" i="4"/>
  <c r="Y22" i="4" s="1"/>
  <c r="B23" i="4"/>
  <c r="C23" i="4"/>
  <c r="F23" i="4"/>
  <c r="G23" i="4"/>
  <c r="M23" i="4" s="1"/>
  <c r="H23" i="4"/>
  <c r="N23" i="4" s="1"/>
  <c r="I23" i="4"/>
  <c r="O23" i="4" s="1"/>
  <c r="J23" i="4"/>
  <c r="Q23" i="4"/>
  <c r="R23" i="4"/>
  <c r="W23" i="4" s="1"/>
  <c r="S23" i="4"/>
  <c r="X23" i="4" s="1"/>
  <c r="T23" i="4"/>
  <c r="Y23" i="4" s="1"/>
  <c r="B24" i="4"/>
  <c r="C24" i="4"/>
  <c r="F24" i="4"/>
  <c r="L24" i="4" s="1"/>
  <c r="G24" i="4"/>
  <c r="H24" i="4"/>
  <c r="N24" i="4" s="1"/>
  <c r="I24" i="4"/>
  <c r="O24" i="4" s="1"/>
  <c r="J24" i="4"/>
  <c r="Q24" i="4"/>
  <c r="V24" i="4" s="1"/>
  <c r="R24" i="4"/>
  <c r="W24" i="4" s="1"/>
  <c r="S24" i="4"/>
  <c r="X24" i="4" s="1"/>
  <c r="T24" i="4"/>
  <c r="Y24" i="4" s="1"/>
  <c r="B25" i="4"/>
  <c r="C25" i="4"/>
  <c r="F25" i="4"/>
  <c r="G25" i="4"/>
  <c r="M25" i="4" s="1"/>
  <c r="H25" i="4"/>
  <c r="N25" i="4" s="1"/>
  <c r="I25" i="4"/>
  <c r="O25" i="4" s="1"/>
  <c r="J25" i="4"/>
  <c r="Q25" i="4"/>
  <c r="V25" i="4" s="1"/>
  <c r="R25" i="4"/>
  <c r="W25" i="4" s="1"/>
  <c r="S25" i="4"/>
  <c r="T25" i="4"/>
  <c r="Y25" i="4" s="1"/>
  <c r="B26" i="4"/>
  <c r="C26" i="4"/>
  <c r="F26" i="4"/>
  <c r="G26" i="4"/>
  <c r="M26" i="4" s="1"/>
  <c r="H26" i="4"/>
  <c r="N26" i="4" s="1"/>
  <c r="I26" i="4"/>
  <c r="O26" i="4" s="1"/>
  <c r="J26" i="4"/>
  <c r="Q26" i="4"/>
  <c r="R26" i="4"/>
  <c r="S26" i="4"/>
  <c r="X26" i="4" s="1"/>
  <c r="T26" i="4"/>
  <c r="Y26" i="4" s="1"/>
  <c r="B27" i="4"/>
  <c r="C27" i="4"/>
  <c r="F27" i="4"/>
  <c r="L27" i="4" s="1"/>
  <c r="G27" i="4"/>
  <c r="H27" i="4"/>
  <c r="N27" i="4" s="1"/>
  <c r="I27" i="4"/>
  <c r="O27" i="4" s="1"/>
  <c r="J27" i="4"/>
  <c r="Q27" i="4"/>
  <c r="R27" i="4"/>
  <c r="W27" i="4" s="1"/>
  <c r="S27" i="4"/>
  <c r="X27" i="4" s="1"/>
  <c r="T27" i="4"/>
  <c r="Y27" i="4" s="1"/>
  <c r="B28" i="4"/>
  <c r="C28" i="4"/>
  <c r="F28" i="4"/>
  <c r="L28" i="4" s="1"/>
  <c r="G28" i="4"/>
  <c r="M28" i="4" s="1"/>
  <c r="H28" i="4"/>
  <c r="N28" i="4" s="1"/>
  <c r="I28" i="4"/>
  <c r="O28" i="4" s="1"/>
  <c r="J28" i="4"/>
  <c r="Q28" i="4"/>
  <c r="R28" i="4"/>
  <c r="W28" i="4" s="1"/>
  <c r="S28" i="4"/>
  <c r="X28" i="4" s="1"/>
  <c r="T28" i="4"/>
  <c r="Y28" i="4" s="1"/>
  <c r="B29" i="4"/>
  <c r="C29" i="4"/>
  <c r="F29" i="4"/>
  <c r="L29" i="4" s="1"/>
  <c r="G29" i="4"/>
  <c r="H29" i="4"/>
  <c r="N29" i="4" s="1"/>
  <c r="I29" i="4"/>
  <c r="O29" i="4" s="1"/>
  <c r="J29" i="4"/>
  <c r="Q29" i="4"/>
  <c r="V29" i="4" s="1"/>
  <c r="R29" i="4"/>
  <c r="W29" i="4" s="1"/>
  <c r="S29" i="4"/>
  <c r="X29" i="4" s="1"/>
  <c r="T29" i="4"/>
  <c r="Y29" i="4" s="1"/>
  <c r="B30" i="4"/>
  <c r="C30" i="4"/>
  <c r="F30" i="4"/>
  <c r="G30" i="4"/>
  <c r="M30" i="4" s="1"/>
  <c r="H30" i="4"/>
  <c r="N30" i="4" s="1"/>
  <c r="I30" i="4"/>
  <c r="O30" i="4" s="1"/>
  <c r="J30" i="4"/>
  <c r="Q30" i="4"/>
  <c r="R30" i="4"/>
  <c r="W30" i="4" s="1"/>
  <c r="S30" i="4"/>
  <c r="X30" i="4" s="1"/>
  <c r="T30" i="4"/>
  <c r="Y30" i="4" s="1"/>
  <c r="B31" i="4"/>
  <c r="C31" i="4"/>
  <c r="F31" i="4"/>
  <c r="G31" i="4"/>
  <c r="M31" i="4" s="1"/>
  <c r="H31" i="4"/>
  <c r="N31" i="4" s="1"/>
  <c r="I31" i="4"/>
  <c r="O31" i="4" s="1"/>
  <c r="J31" i="4"/>
  <c r="Q31" i="4"/>
  <c r="R31" i="4"/>
  <c r="W31" i="4" s="1"/>
  <c r="S31" i="4"/>
  <c r="X31" i="4" s="1"/>
  <c r="T31" i="4"/>
  <c r="Y31" i="4" s="1"/>
  <c r="B32" i="4"/>
  <c r="C32" i="4"/>
  <c r="F32" i="4"/>
  <c r="L32" i="4" s="1"/>
  <c r="G32" i="4"/>
  <c r="M32" i="4" s="1"/>
  <c r="H32" i="4"/>
  <c r="I32" i="4"/>
  <c r="O32" i="4" s="1"/>
  <c r="J32" i="4"/>
  <c r="Q32" i="4"/>
  <c r="R32" i="4"/>
  <c r="W32" i="4" s="1"/>
  <c r="S32" i="4"/>
  <c r="X32" i="4" s="1"/>
  <c r="T32" i="4"/>
  <c r="Y32" i="4" s="1"/>
  <c r="B33" i="4"/>
  <c r="C33" i="4"/>
  <c r="F33" i="4"/>
  <c r="L33" i="4" s="1"/>
  <c r="G33" i="4"/>
  <c r="H33" i="4"/>
  <c r="N33" i="4" s="1"/>
  <c r="I33" i="4"/>
  <c r="O33" i="4" s="1"/>
  <c r="J33" i="4"/>
  <c r="Q33" i="4"/>
  <c r="V33" i="4" s="1"/>
  <c r="R33" i="4"/>
  <c r="W33" i="4" s="1"/>
  <c r="S33" i="4"/>
  <c r="X33" i="4" s="1"/>
  <c r="T33" i="4"/>
  <c r="Y33" i="4" s="1"/>
  <c r="B34" i="4"/>
  <c r="C34" i="4"/>
  <c r="F34" i="4"/>
  <c r="G34" i="4"/>
  <c r="M34" i="4" s="1"/>
  <c r="H34" i="4"/>
  <c r="N34" i="4" s="1"/>
  <c r="I34" i="4"/>
  <c r="O34" i="4" s="1"/>
  <c r="J34" i="4"/>
  <c r="Q34" i="4"/>
  <c r="V34" i="4" s="1"/>
  <c r="R34" i="4"/>
  <c r="W34" i="4" s="1"/>
  <c r="S34" i="4"/>
  <c r="X34" i="4" s="1"/>
  <c r="T34" i="4"/>
  <c r="Y34" i="4" s="1"/>
  <c r="B35" i="4"/>
  <c r="C35" i="4"/>
  <c r="F35" i="4"/>
  <c r="G35" i="4"/>
  <c r="M35" i="4" s="1"/>
  <c r="H35" i="4"/>
  <c r="N35" i="4" s="1"/>
  <c r="I35" i="4"/>
  <c r="O35" i="4" s="1"/>
  <c r="J35" i="4"/>
  <c r="Q35" i="4"/>
  <c r="R35" i="4"/>
  <c r="W35" i="4" s="1"/>
  <c r="S35" i="4"/>
  <c r="X35" i="4" s="1"/>
  <c r="T35" i="4"/>
  <c r="Y35" i="4" s="1"/>
  <c r="B36" i="4"/>
  <c r="C36" i="4"/>
  <c r="F36" i="4"/>
  <c r="G36" i="4"/>
  <c r="M36" i="4" s="1"/>
  <c r="H36" i="4"/>
  <c r="N36" i="4" s="1"/>
  <c r="I36" i="4"/>
  <c r="O36" i="4" s="1"/>
  <c r="J36" i="4"/>
  <c r="Q36" i="4"/>
  <c r="R36" i="4"/>
  <c r="W36" i="4" s="1"/>
  <c r="S36" i="4"/>
  <c r="T36" i="4"/>
  <c r="Y36" i="4" s="1"/>
  <c r="B37" i="4"/>
  <c r="C37" i="4"/>
  <c r="F37" i="4"/>
  <c r="L37" i="4" s="1"/>
  <c r="G37" i="4"/>
  <c r="H37" i="4"/>
  <c r="N37" i="4" s="1"/>
  <c r="I37" i="4"/>
  <c r="O37" i="4" s="1"/>
  <c r="J37" i="4"/>
  <c r="Q37" i="4"/>
  <c r="V37" i="4" s="1"/>
  <c r="R37" i="4"/>
  <c r="W37" i="4" s="1"/>
  <c r="S37" i="4"/>
  <c r="T37" i="4"/>
  <c r="Y37" i="4" s="1"/>
  <c r="B38" i="4"/>
  <c r="C38" i="4"/>
  <c r="F38" i="4"/>
  <c r="G38" i="4"/>
  <c r="M38" i="4" s="1"/>
  <c r="H38" i="4"/>
  <c r="N38" i="4" s="1"/>
  <c r="I38" i="4"/>
  <c r="O38" i="4" s="1"/>
  <c r="J38" i="4"/>
  <c r="Q38" i="4"/>
  <c r="V38" i="4" s="1"/>
  <c r="R38" i="4"/>
  <c r="W38" i="4" s="1"/>
  <c r="S38" i="4"/>
  <c r="X38" i="4" s="1"/>
  <c r="T38" i="4"/>
  <c r="Y38" i="4" s="1"/>
  <c r="B39" i="4"/>
  <c r="C39" i="4"/>
  <c r="F39" i="4"/>
  <c r="G39" i="4"/>
  <c r="M39" i="4" s="1"/>
  <c r="H39" i="4"/>
  <c r="N39" i="4" s="1"/>
  <c r="I39" i="4"/>
  <c r="O39" i="4" s="1"/>
  <c r="J39" i="4"/>
  <c r="Q39" i="4"/>
  <c r="R39" i="4"/>
  <c r="W39" i="4" s="1"/>
  <c r="S39" i="4"/>
  <c r="X39" i="4" s="1"/>
  <c r="T39" i="4"/>
  <c r="Y39" i="4" s="1"/>
  <c r="B40" i="4"/>
  <c r="C40" i="4"/>
  <c r="F40" i="4"/>
  <c r="G40" i="4"/>
  <c r="M40" i="4" s="1"/>
  <c r="H40" i="4"/>
  <c r="I40" i="4"/>
  <c r="O40" i="4" s="1"/>
  <c r="J40" i="4"/>
  <c r="Q40" i="4"/>
  <c r="R40" i="4"/>
  <c r="W40" i="4" s="1"/>
  <c r="S40" i="4"/>
  <c r="X40" i="4" s="1"/>
  <c r="T40" i="4"/>
  <c r="Y40" i="4" s="1"/>
  <c r="B41" i="4"/>
  <c r="C41" i="4"/>
  <c r="F41" i="4"/>
  <c r="L41" i="4" s="1"/>
  <c r="G41" i="4"/>
  <c r="M41" i="4" s="1"/>
  <c r="H41" i="4"/>
  <c r="N41" i="4" s="1"/>
  <c r="I41" i="4"/>
  <c r="O41" i="4" s="1"/>
  <c r="J41" i="4"/>
  <c r="Q41" i="4"/>
  <c r="V41" i="4" s="1"/>
  <c r="R41" i="4"/>
  <c r="W41" i="4" s="1"/>
  <c r="S41" i="4"/>
  <c r="X41" i="4" s="1"/>
  <c r="T41" i="4"/>
  <c r="Y41" i="4" s="1"/>
  <c r="B42" i="4"/>
  <c r="C42" i="4"/>
  <c r="F42" i="4"/>
  <c r="L42" i="4" s="1"/>
  <c r="G42" i="4"/>
  <c r="M42" i="4" s="1"/>
  <c r="H42" i="4"/>
  <c r="N42" i="4" s="1"/>
  <c r="I42" i="4"/>
  <c r="O42" i="4" s="1"/>
  <c r="J42" i="4"/>
  <c r="Q42" i="4"/>
  <c r="V42" i="4" s="1"/>
  <c r="R42" i="4"/>
  <c r="W42" i="4" s="1"/>
  <c r="S42" i="4"/>
  <c r="X42" i="4" s="1"/>
  <c r="T42" i="4"/>
  <c r="Y42" i="4" s="1"/>
  <c r="B43" i="4"/>
  <c r="C43" i="4"/>
  <c r="F43" i="4"/>
  <c r="G43" i="4"/>
  <c r="M43" i="4" s="1"/>
  <c r="H43" i="4"/>
  <c r="N43" i="4" s="1"/>
  <c r="I43" i="4"/>
  <c r="O43" i="4" s="1"/>
  <c r="J43" i="4"/>
  <c r="Q43" i="4"/>
  <c r="V43" i="4" s="1"/>
  <c r="R43" i="4"/>
  <c r="S43" i="4"/>
  <c r="X43" i="4" s="1"/>
  <c r="T43" i="4"/>
  <c r="Y43" i="4" s="1"/>
  <c r="B44" i="4"/>
  <c r="C44" i="4"/>
  <c r="F44" i="4"/>
  <c r="G44" i="4"/>
  <c r="M44" i="4" s="1"/>
  <c r="H44" i="4"/>
  <c r="N44" i="4" s="1"/>
  <c r="I44" i="4"/>
  <c r="O44" i="4" s="1"/>
  <c r="J44" i="4"/>
  <c r="Q44" i="4"/>
  <c r="V44" i="4" s="1"/>
  <c r="R44" i="4"/>
  <c r="W44" i="4" s="1"/>
  <c r="S44" i="4"/>
  <c r="X44" i="4" s="1"/>
  <c r="T44" i="4"/>
  <c r="Y44" i="4" s="1"/>
  <c r="B45" i="4"/>
  <c r="C45" i="4"/>
  <c r="F45" i="4"/>
  <c r="L45" i="4" s="1"/>
  <c r="G45" i="4"/>
  <c r="M45" i="4" s="1"/>
  <c r="H45" i="4"/>
  <c r="N45" i="4" s="1"/>
  <c r="I45" i="4"/>
  <c r="O45" i="4" s="1"/>
  <c r="J45" i="4"/>
  <c r="Q45" i="4"/>
  <c r="R45" i="4"/>
  <c r="S45" i="4"/>
  <c r="X45" i="4" s="1"/>
  <c r="T45" i="4"/>
  <c r="Y45" i="4" s="1"/>
  <c r="B46" i="4"/>
  <c r="C46" i="4"/>
  <c r="F46" i="4"/>
  <c r="L46" i="4" s="1"/>
  <c r="G46" i="4"/>
  <c r="M46" i="4" s="1"/>
  <c r="H46" i="4"/>
  <c r="I46" i="4"/>
  <c r="O46" i="4" s="1"/>
  <c r="J46" i="4"/>
  <c r="Q46" i="4"/>
  <c r="R46" i="4"/>
  <c r="W46" i="4" s="1"/>
  <c r="S46" i="4"/>
  <c r="X46" i="4" s="1"/>
  <c r="T46" i="4"/>
  <c r="Y46" i="4" s="1"/>
  <c r="B47" i="4"/>
  <c r="C47" i="4"/>
  <c r="F47" i="4"/>
  <c r="G47" i="4"/>
  <c r="M47" i="4" s="1"/>
  <c r="H47" i="4"/>
  <c r="N47" i="4" s="1"/>
  <c r="I47" i="4"/>
  <c r="O47" i="4" s="1"/>
  <c r="J47" i="4"/>
  <c r="Q47" i="4"/>
  <c r="V47" i="4" s="1"/>
  <c r="R47" i="4"/>
  <c r="W47" i="4" s="1"/>
  <c r="S47" i="4"/>
  <c r="X47" i="4" s="1"/>
  <c r="T47" i="4"/>
  <c r="Y47" i="4" s="1"/>
  <c r="B48" i="4"/>
  <c r="C48" i="4"/>
  <c r="F48" i="4"/>
  <c r="G48" i="4"/>
  <c r="M48" i="4" s="1"/>
  <c r="H48" i="4"/>
  <c r="N48" i="4" s="1"/>
  <c r="I48" i="4"/>
  <c r="O48" i="4" s="1"/>
  <c r="J48" i="4"/>
  <c r="Q48" i="4"/>
  <c r="R48" i="4"/>
  <c r="W48" i="4" s="1"/>
  <c r="S48" i="4"/>
  <c r="X48" i="4" s="1"/>
  <c r="T48" i="4"/>
  <c r="Y48" i="4" s="1"/>
  <c r="B49" i="4"/>
  <c r="C49" i="4"/>
  <c r="F49" i="4"/>
  <c r="G49" i="4"/>
  <c r="M49" i="4" s="1"/>
  <c r="H49" i="4"/>
  <c r="N49" i="4" s="1"/>
  <c r="I49" i="4"/>
  <c r="O49" i="4" s="1"/>
  <c r="J49" i="4"/>
  <c r="Q49" i="4"/>
  <c r="R49" i="4"/>
  <c r="W49" i="4" s="1"/>
  <c r="S49" i="4"/>
  <c r="X49" i="4" s="1"/>
  <c r="T49" i="4"/>
  <c r="Y49" i="4" s="1"/>
  <c r="B50" i="4"/>
  <c r="C50" i="4"/>
  <c r="F50" i="4"/>
  <c r="L50" i="4" s="1"/>
  <c r="G50" i="4"/>
  <c r="M50" i="4" s="1"/>
  <c r="H50" i="4"/>
  <c r="N50" i="4" s="1"/>
  <c r="I50" i="4"/>
  <c r="O50" i="4" s="1"/>
  <c r="J50" i="4"/>
  <c r="Q50" i="4"/>
  <c r="R50" i="4"/>
  <c r="S50" i="4"/>
  <c r="X50" i="4" s="1"/>
  <c r="T50" i="4"/>
  <c r="Y50" i="4" s="1"/>
  <c r="B51" i="4"/>
  <c r="C51" i="4"/>
  <c r="F51" i="4"/>
  <c r="L51" i="4" s="1"/>
  <c r="G51" i="4"/>
  <c r="M51" i="4" s="1"/>
  <c r="H51" i="4"/>
  <c r="N51" i="4" s="1"/>
  <c r="I51" i="4"/>
  <c r="O51" i="4" s="1"/>
  <c r="J51" i="4"/>
  <c r="Q51" i="4"/>
  <c r="V51" i="4" s="1"/>
  <c r="R51" i="4"/>
  <c r="W51" i="4" s="1"/>
  <c r="S51" i="4"/>
  <c r="X51" i="4" s="1"/>
  <c r="T51" i="4"/>
  <c r="Y51" i="4" s="1"/>
  <c r="B52" i="4"/>
  <c r="C52" i="4"/>
  <c r="F52" i="4"/>
  <c r="G52" i="4"/>
  <c r="M52" i="4" s="1"/>
  <c r="H52" i="4"/>
  <c r="N52" i="4" s="1"/>
  <c r="I52" i="4"/>
  <c r="O52" i="4" s="1"/>
  <c r="J52" i="4"/>
  <c r="Q52" i="4"/>
  <c r="V52" i="4" s="1"/>
  <c r="R52" i="4"/>
  <c r="S52" i="4"/>
  <c r="X52" i="4" s="1"/>
  <c r="T52" i="4"/>
  <c r="Y52" i="4" s="1"/>
  <c r="B53" i="4"/>
  <c r="C53" i="4"/>
  <c r="F53" i="4"/>
  <c r="G53" i="4"/>
  <c r="M53" i="4" s="1"/>
  <c r="H53" i="4"/>
  <c r="N53" i="4" s="1"/>
  <c r="I53" i="4"/>
  <c r="O53" i="4" s="1"/>
  <c r="J53" i="4"/>
  <c r="Q53" i="4"/>
  <c r="V53" i="4" s="1"/>
  <c r="R53" i="4"/>
  <c r="S53" i="4"/>
  <c r="X53" i="4" s="1"/>
  <c r="T53" i="4"/>
  <c r="Y53" i="4" s="1"/>
  <c r="B54" i="4"/>
  <c r="C54" i="4"/>
  <c r="F54" i="4"/>
  <c r="G54" i="4"/>
  <c r="M54" i="4" s="1"/>
  <c r="H54" i="4"/>
  <c r="N54" i="4" s="1"/>
  <c r="I54" i="4"/>
  <c r="O54" i="4" s="1"/>
  <c r="J54" i="4"/>
  <c r="Q54" i="4"/>
  <c r="R54" i="4"/>
  <c r="S54" i="4"/>
  <c r="X54" i="4" s="1"/>
  <c r="T54" i="4"/>
  <c r="Y54" i="4" s="1"/>
  <c r="B55" i="4"/>
  <c r="C55" i="4"/>
  <c r="F55" i="4"/>
  <c r="L55" i="4" s="1"/>
  <c r="G55" i="4"/>
  <c r="M55" i="4" s="1"/>
  <c r="H55" i="4"/>
  <c r="N55" i="4" s="1"/>
  <c r="I55" i="4"/>
  <c r="O55" i="4" s="1"/>
  <c r="J55" i="4"/>
  <c r="Q55" i="4"/>
  <c r="V55" i="4" s="1"/>
  <c r="R55" i="4"/>
  <c r="W55" i="4" s="1"/>
  <c r="S55" i="4"/>
  <c r="X55" i="4" s="1"/>
  <c r="T55" i="4"/>
  <c r="Y55" i="4" s="1"/>
  <c r="B56" i="4"/>
  <c r="C56" i="4"/>
  <c r="F56" i="4"/>
  <c r="G56" i="4"/>
  <c r="M56" i="4" s="1"/>
  <c r="H56" i="4"/>
  <c r="N56" i="4" s="1"/>
  <c r="I56" i="4"/>
  <c r="O56" i="4" s="1"/>
  <c r="J56" i="4"/>
  <c r="Q56" i="4"/>
  <c r="V56" i="4" s="1"/>
  <c r="R56" i="4"/>
  <c r="W56" i="4" s="1"/>
  <c r="S56" i="4"/>
  <c r="X56" i="4" s="1"/>
  <c r="T56" i="4"/>
  <c r="Y56" i="4" s="1"/>
  <c r="B57" i="4"/>
  <c r="C57" i="4"/>
  <c r="F57" i="4"/>
  <c r="L57" i="4" s="1"/>
  <c r="G57" i="4"/>
  <c r="H57" i="4"/>
  <c r="N57" i="4" s="1"/>
  <c r="I57" i="4"/>
  <c r="O57" i="4" s="1"/>
  <c r="J57" i="4"/>
  <c r="Q57" i="4"/>
  <c r="V57" i="4" s="1"/>
  <c r="R57" i="4"/>
  <c r="W57" i="4" s="1"/>
  <c r="S57" i="4"/>
  <c r="X57" i="4" s="1"/>
  <c r="T57" i="4"/>
  <c r="Y57" i="4" s="1"/>
  <c r="B58" i="4"/>
  <c r="C58" i="4"/>
  <c r="F58" i="4"/>
  <c r="G58" i="4"/>
  <c r="H58" i="4"/>
  <c r="N58" i="4" s="1"/>
  <c r="I58" i="4"/>
  <c r="O58" i="4" s="1"/>
  <c r="J58" i="4"/>
  <c r="Q58" i="4"/>
  <c r="R58" i="4"/>
  <c r="W58" i="4" s="1"/>
  <c r="S58" i="4"/>
  <c r="X58" i="4" s="1"/>
  <c r="T58" i="4"/>
  <c r="Y58" i="4" s="1"/>
  <c r="B59" i="4"/>
  <c r="C59" i="4"/>
  <c r="F59" i="4"/>
  <c r="G59" i="4"/>
  <c r="M59" i="4" s="1"/>
  <c r="H59" i="4"/>
  <c r="N59" i="4" s="1"/>
  <c r="I59" i="4"/>
  <c r="O59" i="4" s="1"/>
  <c r="J59" i="4"/>
  <c r="Q59" i="4"/>
  <c r="R59" i="4"/>
  <c r="W59" i="4" s="1"/>
  <c r="S59" i="4"/>
  <c r="X59" i="4" s="1"/>
  <c r="T59" i="4"/>
  <c r="Y59" i="4" s="1"/>
  <c r="B60" i="4"/>
  <c r="C60" i="4"/>
  <c r="F60" i="4"/>
  <c r="G60" i="4"/>
  <c r="M60" i="4" s="1"/>
  <c r="H60" i="4"/>
  <c r="N60" i="4" s="1"/>
  <c r="I60" i="4"/>
  <c r="O60" i="4" s="1"/>
  <c r="J60" i="4"/>
  <c r="Q60" i="4"/>
  <c r="V60" i="4" s="1"/>
  <c r="R60" i="4"/>
  <c r="W60" i="4" s="1"/>
  <c r="S60" i="4"/>
  <c r="X60" i="4" s="1"/>
  <c r="T60" i="4"/>
  <c r="Y60" i="4" s="1"/>
  <c r="B61" i="4"/>
  <c r="C61" i="4"/>
  <c r="F61" i="4"/>
  <c r="L61" i="4" s="1"/>
  <c r="G61" i="4"/>
  <c r="M61" i="4" s="1"/>
  <c r="H61" i="4"/>
  <c r="N61" i="4" s="1"/>
  <c r="I61" i="4"/>
  <c r="O61" i="4" s="1"/>
  <c r="J61" i="4"/>
  <c r="Q61" i="4"/>
  <c r="V61" i="4" s="1"/>
  <c r="R61" i="4"/>
  <c r="W61" i="4" s="1"/>
  <c r="S61" i="4"/>
  <c r="T61" i="4"/>
  <c r="Y61" i="4" s="1"/>
  <c r="B62" i="4"/>
  <c r="C62" i="4"/>
  <c r="F62" i="4"/>
  <c r="G62" i="4"/>
  <c r="M62" i="4" s="1"/>
  <c r="H62" i="4"/>
  <c r="N62" i="4" s="1"/>
  <c r="I62" i="4"/>
  <c r="O62" i="4" s="1"/>
  <c r="J62" i="4"/>
  <c r="Q62" i="4"/>
  <c r="V62" i="4" s="1"/>
  <c r="R62" i="4"/>
  <c r="S62" i="4"/>
  <c r="X62" i="4" s="1"/>
  <c r="T62" i="4"/>
  <c r="Y62" i="4" s="1"/>
  <c r="B63" i="4"/>
  <c r="C63" i="4"/>
  <c r="F63" i="4"/>
  <c r="G63" i="4"/>
  <c r="M63" i="4" s="1"/>
  <c r="H63" i="4"/>
  <c r="N63" i="4" s="1"/>
  <c r="I63" i="4"/>
  <c r="O63" i="4" s="1"/>
  <c r="J63" i="4"/>
  <c r="Q63" i="4"/>
  <c r="R63" i="4"/>
  <c r="W63" i="4" s="1"/>
  <c r="S63" i="4"/>
  <c r="X63" i="4" s="1"/>
  <c r="T63" i="4"/>
  <c r="Y63" i="4" s="1"/>
  <c r="B64" i="4"/>
  <c r="C64" i="4"/>
  <c r="F64" i="4"/>
  <c r="G64" i="4"/>
  <c r="M64" i="4" s="1"/>
  <c r="H64" i="4"/>
  <c r="N64" i="4" s="1"/>
  <c r="I64" i="4"/>
  <c r="O64" i="4" s="1"/>
  <c r="J64" i="4"/>
  <c r="Q64" i="4"/>
  <c r="R64" i="4"/>
  <c r="W64" i="4" s="1"/>
  <c r="S64" i="4"/>
  <c r="X64" i="4" s="1"/>
  <c r="T64" i="4"/>
  <c r="Y64" i="4" s="1"/>
  <c r="B65" i="4"/>
  <c r="C65" i="4"/>
  <c r="F65" i="4"/>
  <c r="L65" i="4" s="1"/>
  <c r="G65" i="4"/>
  <c r="M65" i="4" s="1"/>
  <c r="H65" i="4"/>
  <c r="N65" i="4" s="1"/>
  <c r="I65" i="4"/>
  <c r="O65" i="4" s="1"/>
  <c r="J65" i="4"/>
  <c r="Q65" i="4"/>
  <c r="R65" i="4"/>
  <c r="W65" i="4" s="1"/>
  <c r="S65" i="4"/>
  <c r="X65" i="4" s="1"/>
  <c r="T65" i="4"/>
  <c r="Y65" i="4" s="1"/>
  <c r="B66" i="4"/>
  <c r="C66" i="4"/>
  <c r="F66" i="4"/>
  <c r="L66" i="4" s="1"/>
  <c r="G66" i="4"/>
  <c r="M66" i="4" s="1"/>
  <c r="H66" i="4"/>
  <c r="N66" i="4" s="1"/>
  <c r="I66" i="4"/>
  <c r="O66" i="4" s="1"/>
  <c r="J66" i="4"/>
  <c r="Q66" i="4"/>
  <c r="R66" i="4"/>
  <c r="W66" i="4" s="1"/>
  <c r="S66" i="4"/>
  <c r="X66" i="4" s="1"/>
  <c r="T66" i="4"/>
  <c r="Y66" i="4" s="1"/>
  <c r="B67" i="4"/>
  <c r="C67" i="4"/>
  <c r="F67" i="4"/>
  <c r="L67" i="4" s="1"/>
  <c r="G67" i="4"/>
  <c r="M67" i="4" s="1"/>
  <c r="H67" i="4"/>
  <c r="N67" i="4" s="1"/>
  <c r="I67" i="4"/>
  <c r="O67" i="4" s="1"/>
  <c r="J67" i="4"/>
  <c r="Q67" i="4"/>
  <c r="R67" i="4"/>
  <c r="W67" i="4" s="1"/>
  <c r="S67" i="4"/>
  <c r="X67" i="4" s="1"/>
  <c r="T67" i="4"/>
  <c r="Y67" i="4" s="1"/>
  <c r="B68" i="4"/>
  <c r="C68" i="4"/>
  <c r="F68" i="4"/>
  <c r="L68" i="4" s="1"/>
  <c r="G68" i="4"/>
  <c r="M68" i="4" s="1"/>
  <c r="H68" i="4"/>
  <c r="I68" i="4"/>
  <c r="O68" i="4" s="1"/>
  <c r="J68" i="4"/>
  <c r="Q68" i="4"/>
  <c r="R68" i="4"/>
  <c r="W68" i="4" s="1"/>
  <c r="S68" i="4"/>
  <c r="X68" i="4" s="1"/>
  <c r="T68" i="4"/>
  <c r="Y68" i="4" s="1"/>
  <c r="B69" i="4"/>
  <c r="C69" i="4"/>
  <c r="F69" i="4"/>
  <c r="G69" i="4"/>
  <c r="H69" i="4"/>
  <c r="N69" i="4" s="1"/>
  <c r="I69" i="4"/>
  <c r="O69" i="4" s="1"/>
  <c r="J69" i="4"/>
  <c r="Q69" i="4"/>
  <c r="R69" i="4"/>
  <c r="W69" i="4" s="1"/>
  <c r="S69" i="4"/>
  <c r="X69" i="4" s="1"/>
  <c r="T69" i="4"/>
  <c r="Y69" i="4" s="1"/>
  <c r="B70" i="4"/>
  <c r="C70" i="4"/>
  <c r="F70" i="4"/>
  <c r="L70" i="4" s="1"/>
  <c r="G70" i="4"/>
  <c r="H70" i="4"/>
  <c r="N70" i="4" s="1"/>
  <c r="I70" i="4"/>
  <c r="O70" i="4" s="1"/>
  <c r="J70" i="4"/>
  <c r="Q70" i="4"/>
  <c r="V70" i="4" s="1"/>
  <c r="R70" i="4"/>
  <c r="W70" i="4" s="1"/>
  <c r="S70" i="4"/>
  <c r="X70" i="4" s="1"/>
  <c r="T70" i="4"/>
  <c r="Y70" i="4" s="1"/>
  <c r="B71" i="4"/>
  <c r="C71" i="4"/>
  <c r="F71" i="4"/>
  <c r="G71" i="4"/>
  <c r="M71" i="4" s="1"/>
  <c r="H71" i="4"/>
  <c r="N71" i="4" s="1"/>
  <c r="I71" i="4"/>
  <c r="O71" i="4" s="1"/>
  <c r="J71" i="4"/>
  <c r="Q71" i="4"/>
  <c r="V71" i="4" s="1"/>
  <c r="R71" i="4"/>
  <c r="W71" i="4" s="1"/>
  <c r="S71" i="4"/>
  <c r="X71" i="4" s="1"/>
  <c r="T71" i="4"/>
  <c r="Y71" i="4" s="1"/>
  <c r="B72" i="4"/>
  <c r="C72" i="4"/>
  <c r="F72" i="4"/>
  <c r="G72" i="4"/>
  <c r="M72" i="4" s="1"/>
  <c r="H72" i="4"/>
  <c r="N72" i="4" s="1"/>
  <c r="I72" i="4"/>
  <c r="O72" i="4" s="1"/>
  <c r="J72" i="4"/>
  <c r="Q72" i="4"/>
  <c r="V72" i="4" s="1"/>
  <c r="R72" i="4"/>
  <c r="W72" i="4" s="1"/>
  <c r="S72" i="4"/>
  <c r="T72" i="4"/>
  <c r="Y72" i="4" s="1"/>
  <c r="B73" i="4"/>
  <c r="C73" i="4"/>
  <c r="F73" i="4"/>
  <c r="G73" i="4"/>
  <c r="M73" i="4" s="1"/>
  <c r="H73" i="4"/>
  <c r="N73" i="4" s="1"/>
  <c r="I73" i="4"/>
  <c r="O73" i="4" s="1"/>
  <c r="J73" i="4"/>
  <c r="Q73" i="4"/>
  <c r="R73" i="4"/>
  <c r="W73" i="4" s="1"/>
  <c r="S73" i="4"/>
  <c r="X73" i="4" s="1"/>
  <c r="T73" i="4"/>
  <c r="Y73" i="4" s="1"/>
  <c r="B74" i="4"/>
  <c r="C74" i="4"/>
  <c r="F74" i="4"/>
  <c r="L74" i="4" s="1"/>
  <c r="G74" i="4"/>
  <c r="M74" i="4" s="1"/>
  <c r="H74" i="4"/>
  <c r="N74" i="4" s="1"/>
  <c r="I74" i="4"/>
  <c r="O74" i="4" s="1"/>
  <c r="J74" i="4"/>
  <c r="Q74" i="4"/>
  <c r="V74" i="4" s="1"/>
  <c r="R74" i="4"/>
  <c r="S74" i="4"/>
  <c r="X74" i="4" s="1"/>
  <c r="T74" i="4"/>
  <c r="Y74" i="4" s="1"/>
  <c r="B75" i="4"/>
  <c r="C75" i="4"/>
  <c r="F75" i="4"/>
  <c r="G75" i="4"/>
  <c r="M75" i="4" s="1"/>
  <c r="H75" i="4"/>
  <c r="N75" i="4" s="1"/>
  <c r="I75" i="4"/>
  <c r="O75" i="4" s="1"/>
  <c r="J75" i="4"/>
  <c r="Q75" i="4"/>
  <c r="R75" i="4"/>
  <c r="W75" i="4" s="1"/>
  <c r="S75" i="4"/>
  <c r="X75" i="4" s="1"/>
  <c r="T75" i="4"/>
  <c r="Y75" i="4" s="1"/>
  <c r="B76" i="4"/>
  <c r="C76" i="4"/>
  <c r="F76" i="4"/>
  <c r="G76" i="4"/>
  <c r="M76" i="4" s="1"/>
  <c r="H76" i="4"/>
  <c r="N76" i="4" s="1"/>
  <c r="I76" i="4"/>
  <c r="O76" i="4" s="1"/>
  <c r="J76" i="4"/>
  <c r="Q76" i="4"/>
  <c r="V76" i="4" s="1"/>
  <c r="R76" i="4"/>
  <c r="S76" i="4"/>
  <c r="X76" i="4" s="1"/>
  <c r="T76" i="4"/>
  <c r="Y76" i="4" s="1"/>
  <c r="B77" i="4"/>
  <c r="C77" i="4"/>
  <c r="F77" i="4"/>
  <c r="G77" i="4"/>
  <c r="M77" i="4" s="1"/>
  <c r="H77" i="4"/>
  <c r="N77" i="4" s="1"/>
  <c r="I77" i="4"/>
  <c r="O77" i="4" s="1"/>
  <c r="J77" i="4"/>
  <c r="Q77" i="4"/>
  <c r="R77" i="4"/>
  <c r="W77" i="4" s="1"/>
  <c r="S77" i="4"/>
  <c r="X77" i="4" s="1"/>
  <c r="T77" i="4"/>
  <c r="Y77" i="4" s="1"/>
  <c r="B78" i="4"/>
  <c r="C78" i="4"/>
  <c r="F78" i="4"/>
  <c r="L78" i="4" s="1"/>
  <c r="G78" i="4"/>
  <c r="M78" i="4" s="1"/>
  <c r="H78" i="4"/>
  <c r="N78" i="4" s="1"/>
  <c r="I78" i="4"/>
  <c r="O78" i="4" s="1"/>
  <c r="J78" i="4"/>
  <c r="Q78" i="4"/>
  <c r="R78" i="4"/>
  <c r="W78" i="4" s="1"/>
  <c r="S78" i="4"/>
  <c r="X78" i="4" s="1"/>
  <c r="T78" i="4"/>
  <c r="Y78" i="4" s="1"/>
  <c r="B79" i="4"/>
  <c r="C79" i="4"/>
  <c r="F79" i="4"/>
  <c r="L79" i="4" s="1"/>
  <c r="G79" i="4"/>
  <c r="H79" i="4"/>
  <c r="N79" i="4" s="1"/>
  <c r="I79" i="4"/>
  <c r="O79" i="4" s="1"/>
  <c r="J79" i="4"/>
  <c r="Q79" i="4"/>
  <c r="V79" i="4" s="1"/>
  <c r="R79" i="4"/>
  <c r="S79" i="4"/>
  <c r="X79" i="4" s="1"/>
  <c r="T79" i="4"/>
  <c r="Y79" i="4" s="1"/>
  <c r="B80" i="4"/>
  <c r="C80" i="4"/>
  <c r="F80" i="4"/>
  <c r="L80" i="4" s="1"/>
  <c r="G80" i="4"/>
  <c r="H80" i="4"/>
  <c r="N80" i="4" s="1"/>
  <c r="I80" i="4"/>
  <c r="O80" i="4" s="1"/>
  <c r="J80" i="4"/>
  <c r="Q80" i="4"/>
  <c r="V80" i="4" s="1"/>
  <c r="R80" i="4"/>
  <c r="W80" i="4" s="1"/>
  <c r="S80" i="4"/>
  <c r="X80" i="4" s="1"/>
  <c r="T80" i="4"/>
  <c r="Y80" i="4" s="1"/>
  <c r="B81" i="4"/>
  <c r="C81" i="4"/>
  <c r="F81" i="4"/>
  <c r="G81" i="4"/>
  <c r="M81" i="4" s="1"/>
  <c r="H81" i="4"/>
  <c r="N81" i="4" s="1"/>
  <c r="I81" i="4"/>
  <c r="O81" i="4" s="1"/>
  <c r="J81" i="4"/>
  <c r="Q81" i="4"/>
  <c r="V81" i="4" s="1"/>
  <c r="R81" i="4"/>
  <c r="S81" i="4"/>
  <c r="X81" i="4" s="1"/>
  <c r="T81" i="4"/>
  <c r="Y81" i="4" s="1"/>
  <c r="B82" i="4"/>
  <c r="C82" i="4"/>
  <c r="F82" i="4"/>
  <c r="G82" i="4"/>
  <c r="M82" i="4" s="1"/>
  <c r="H82" i="4"/>
  <c r="N82" i="4" s="1"/>
  <c r="I82" i="4"/>
  <c r="O82" i="4" s="1"/>
  <c r="J82" i="4"/>
  <c r="Q82" i="4"/>
  <c r="V82" i="4" s="1"/>
  <c r="R82" i="4"/>
  <c r="W82" i="4" s="1"/>
  <c r="S82" i="4"/>
  <c r="T82" i="4"/>
  <c r="Y82" i="4" s="1"/>
  <c r="B83" i="4"/>
  <c r="C83" i="4"/>
  <c r="F83" i="4"/>
  <c r="G83" i="4"/>
  <c r="M83" i="4" s="1"/>
  <c r="H83" i="4"/>
  <c r="N83" i="4" s="1"/>
  <c r="I83" i="4"/>
  <c r="O83" i="4" s="1"/>
  <c r="J83" i="4"/>
  <c r="Q83" i="4"/>
  <c r="R83" i="4"/>
  <c r="W83" i="4" s="1"/>
  <c r="S83" i="4"/>
  <c r="X83" i="4" s="1"/>
  <c r="T83" i="4"/>
  <c r="Y83" i="4" s="1"/>
  <c r="B84" i="4"/>
  <c r="C84" i="4"/>
  <c r="F84" i="4"/>
  <c r="G84" i="4"/>
  <c r="M84" i="4" s="1"/>
  <c r="H84" i="4"/>
  <c r="N84" i="4" s="1"/>
  <c r="I84" i="4"/>
  <c r="O84" i="4" s="1"/>
  <c r="J84" i="4"/>
  <c r="Q84" i="4"/>
  <c r="R84" i="4"/>
  <c r="W84" i="4" s="1"/>
  <c r="S84" i="4"/>
  <c r="X84" i="4" s="1"/>
  <c r="T84" i="4"/>
  <c r="Y84" i="4" s="1"/>
  <c r="B85" i="4"/>
  <c r="C85" i="4"/>
  <c r="F85" i="4"/>
  <c r="G85" i="4"/>
  <c r="M85" i="4" s="1"/>
  <c r="H85" i="4"/>
  <c r="N85" i="4" s="1"/>
  <c r="I85" i="4"/>
  <c r="O85" i="4" s="1"/>
  <c r="J85" i="4"/>
  <c r="Q85" i="4"/>
  <c r="V85" i="4" s="1"/>
  <c r="R85" i="4"/>
  <c r="W85" i="4" s="1"/>
  <c r="S85" i="4"/>
  <c r="X85" i="4" s="1"/>
  <c r="T85" i="4"/>
  <c r="Y85" i="4" s="1"/>
  <c r="B86" i="4"/>
  <c r="C86" i="4"/>
  <c r="F86" i="4"/>
  <c r="G86" i="4"/>
  <c r="M86" i="4" s="1"/>
  <c r="H86" i="4"/>
  <c r="I86" i="4"/>
  <c r="O86" i="4" s="1"/>
  <c r="J86" i="4"/>
  <c r="Q86" i="4"/>
  <c r="R86" i="4"/>
  <c r="W86" i="4" s="1"/>
  <c r="S86" i="4"/>
  <c r="X86" i="4" s="1"/>
  <c r="T86" i="4"/>
  <c r="Y86" i="4" s="1"/>
  <c r="B87" i="4"/>
  <c r="C87" i="4"/>
  <c r="F87" i="4"/>
  <c r="G87" i="4"/>
  <c r="M87" i="4" s="1"/>
  <c r="H87" i="4"/>
  <c r="I87" i="4"/>
  <c r="O87" i="4" s="1"/>
  <c r="J87" i="4"/>
  <c r="Q87" i="4"/>
  <c r="R87" i="4"/>
  <c r="W87" i="4" s="1"/>
  <c r="S87" i="4"/>
  <c r="T87" i="4"/>
  <c r="Y87" i="4" s="1"/>
  <c r="B88" i="4"/>
  <c r="C88" i="4"/>
  <c r="F88" i="4"/>
  <c r="G88" i="4"/>
  <c r="M88" i="4" s="1"/>
  <c r="H88" i="4"/>
  <c r="N88" i="4" s="1"/>
  <c r="I88" i="4"/>
  <c r="O88" i="4" s="1"/>
  <c r="J88" i="4"/>
  <c r="Q88" i="4"/>
  <c r="V88" i="4" s="1"/>
  <c r="R88" i="4"/>
  <c r="W88" i="4" s="1"/>
  <c r="S88" i="4"/>
  <c r="T88" i="4"/>
  <c r="Y88" i="4" s="1"/>
  <c r="B89" i="4"/>
  <c r="C89" i="4"/>
  <c r="F89" i="4"/>
  <c r="G89" i="4"/>
  <c r="M89" i="4" s="1"/>
  <c r="H89" i="4"/>
  <c r="N89" i="4" s="1"/>
  <c r="I89" i="4"/>
  <c r="O89" i="4" s="1"/>
  <c r="J89" i="4"/>
  <c r="Q89" i="4"/>
  <c r="R89" i="4"/>
  <c r="W89" i="4" s="1"/>
  <c r="S89" i="4"/>
  <c r="X89" i="4" s="1"/>
  <c r="T89" i="4"/>
  <c r="Y89" i="4" s="1"/>
  <c r="B90" i="4"/>
  <c r="C90" i="4"/>
  <c r="F90" i="4"/>
  <c r="G90" i="4"/>
  <c r="M90" i="4" s="1"/>
  <c r="H90" i="4"/>
  <c r="I90" i="4"/>
  <c r="O90" i="4" s="1"/>
  <c r="J90" i="4"/>
  <c r="Q90" i="4"/>
  <c r="V90" i="4" s="1"/>
  <c r="R90" i="4"/>
  <c r="W90" i="4" s="1"/>
  <c r="S90" i="4"/>
  <c r="X90" i="4" s="1"/>
  <c r="T90" i="4"/>
  <c r="Y90" i="4" s="1"/>
  <c r="B91" i="4"/>
  <c r="C91" i="4"/>
  <c r="F91" i="4"/>
  <c r="G91" i="4"/>
  <c r="M91" i="4" s="1"/>
  <c r="H91" i="4"/>
  <c r="N91" i="4" s="1"/>
  <c r="I91" i="4"/>
  <c r="O91" i="4" s="1"/>
  <c r="J91" i="4"/>
  <c r="Q91" i="4"/>
  <c r="R91" i="4"/>
  <c r="W91" i="4" s="1"/>
  <c r="S91" i="4"/>
  <c r="X91" i="4" s="1"/>
  <c r="T91" i="4"/>
  <c r="Y91" i="4" s="1"/>
  <c r="B92" i="4"/>
  <c r="C92" i="4"/>
  <c r="F92" i="4"/>
  <c r="G92" i="4"/>
  <c r="M92" i="4" s="1"/>
  <c r="H92" i="4"/>
  <c r="N92" i="4" s="1"/>
  <c r="I92" i="4"/>
  <c r="O92" i="4" s="1"/>
  <c r="J92" i="4"/>
  <c r="Q92" i="4"/>
  <c r="R92" i="4"/>
  <c r="W92" i="4" s="1"/>
  <c r="S92" i="4"/>
  <c r="X92" i="4" s="1"/>
  <c r="T92" i="4"/>
  <c r="Y92" i="4" s="1"/>
  <c r="B93" i="4"/>
  <c r="C93" i="4"/>
  <c r="F93" i="4"/>
  <c r="G93" i="4"/>
  <c r="M93" i="4" s="1"/>
  <c r="H93" i="4"/>
  <c r="N93" i="4" s="1"/>
  <c r="I93" i="4"/>
  <c r="O93" i="4" s="1"/>
  <c r="J93" i="4"/>
  <c r="Q93" i="4"/>
  <c r="V93" i="4" s="1"/>
  <c r="R93" i="4"/>
  <c r="W93" i="4" s="1"/>
  <c r="S93" i="4"/>
  <c r="X93" i="4" s="1"/>
  <c r="T93" i="4"/>
  <c r="Y93" i="4" s="1"/>
  <c r="B94" i="4"/>
  <c r="C94" i="4"/>
  <c r="F94" i="4"/>
  <c r="G94" i="4"/>
  <c r="M94" i="4" s="1"/>
  <c r="H94" i="4"/>
  <c r="N94" i="4" s="1"/>
  <c r="I94" i="4"/>
  <c r="O94" i="4" s="1"/>
  <c r="J94" i="4"/>
  <c r="Q94" i="4"/>
  <c r="V94" i="4" s="1"/>
  <c r="R94" i="4"/>
  <c r="S94" i="4"/>
  <c r="X94" i="4" s="1"/>
  <c r="T94" i="4"/>
  <c r="Y94" i="4" s="1"/>
  <c r="B95" i="4"/>
  <c r="C95" i="4"/>
  <c r="F95" i="4"/>
  <c r="G95" i="4"/>
  <c r="M95" i="4" s="1"/>
  <c r="H95" i="4"/>
  <c r="N95" i="4" s="1"/>
  <c r="I95" i="4"/>
  <c r="O95" i="4" s="1"/>
  <c r="J95" i="4"/>
  <c r="Q95" i="4"/>
  <c r="V95" i="4" s="1"/>
  <c r="R95" i="4"/>
  <c r="W95" i="4" s="1"/>
  <c r="S95" i="4"/>
  <c r="X95" i="4" s="1"/>
  <c r="T95" i="4"/>
  <c r="Y95" i="4" s="1"/>
  <c r="B96" i="4"/>
  <c r="C96" i="4"/>
  <c r="F96" i="4"/>
  <c r="G96" i="4"/>
  <c r="M96" i="4" s="1"/>
  <c r="H96" i="4"/>
  <c r="N96" i="4" s="1"/>
  <c r="I96" i="4"/>
  <c r="O96" i="4" s="1"/>
  <c r="J96" i="4"/>
  <c r="Q96" i="4"/>
  <c r="R96" i="4"/>
  <c r="S96" i="4"/>
  <c r="X96" i="4" s="1"/>
  <c r="T96" i="4"/>
  <c r="Y96" i="4" s="1"/>
  <c r="B97" i="4"/>
  <c r="C97" i="4"/>
  <c r="F97" i="4"/>
  <c r="L97" i="4" s="1"/>
  <c r="G97" i="4"/>
  <c r="M97" i="4" s="1"/>
  <c r="H97" i="4"/>
  <c r="I97" i="4"/>
  <c r="O97" i="4" s="1"/>
  <c r="J97" i="4"/>
  <c r="Q97" i="4"/>
  <c r="R97" i="4"/>
  <c r="W97" i="4" s="1"/>
  <c r="S97" i="4"/>
  <c r="X97" i="4" s="1"/>
  <c r="T97" i="4"/>
  <c r="Y97" i="4" s="1"/>
  <c r="B98" i="4"/>
  <c r="C98" i="4"/>
  <c r="F98" i="4"/>
  <c r="G98" i="4"/>
  <c r="M98" i="4" s="1"/>
  <c r="H98" i="4"/>
  <c r="N98" i="4" s="1"/>
  <c r="I98" i="4"/>
  <c r="O98" i="4" s="1"/>
  <c r="J98" i="4"/>
  <c r="Q98" i="4"/>
  <c r="R98" i="4"/>
  <c r="W98" i="4" s="1"/>
  <c r="S98" i="4"/>
  <c r="X98" i="4" s="1"/>
  <c r="T98" i="4"/>
  <c r="Y98" i="4" s="1"/>
  <c r="B99" i="4"/>
  <c r="C99" i="4"/>
  <c r="F99" i="4"/>
  <c r="G99" i="4"/>
  <c r="M99" i="4" s="1"/>
  <c r="H99" i="4"/>
  <c r="N99" i="4" s="1"/>
  <c r="I99" i="4"/>
  <c r="O99" i="4" s="1"/>
  <c r="J99" i="4"/>
  <c r="Q99" i="4"/>
  <c r="V99" i="4" s="1"/>
  <c r="R99" i="4"/>
  <c r="W99" i="4" s="1"/>
  <c r="S99" i="4"/>
  <c r="T99" i="4"/>
  <c r="Y99" i="4" s="1"/>
  <c r="B100" i="4"/>
  <c r="C100" i="4"/>
  <c r="F100" i="4"/>
  <c r="G100" i="4"/>
  <c r="M100" i="4" s="1"/>
  <c r="H100" i="4"/>
  <c r="N100" i="4" s="1"/>
  <c r="I100" i="4"/>
  <c r="O100" i="4" s="1"/>
  <c r="J100" i="4"/>
  <c r="Q100" i="4"/>
  <c r="R100" i="4"/>
  <c r="W100" i="4" s="1"/>
  <c r="S100" i="4"/>
  <c r="X100" i="4" s="1"/>
  <c r="T100" i="4"/>
  <c r="Y100" i="4" s="1"/>
  <c r="B101" i="4"/>
  <c r="C101" i="4"/>
  <c r="F101" i="4"/>
  <c r="L101" i="4" s="1"/>
  <c r="G101" i="4"/>
  <c r="M101" i="4" s="1"/>
  <c r="H101" i="4"/>
  <c r="N101" i="4" s="1"/>
  <c r="I101" i="4"/>
  <c r="O101" i="4" s="1"/>
  <c r="J101" i="4"/>
  <c r="Q101" i="4"/>
  <c r="R101" i="4"/>
  <c r="W101" i="4" s="1"/>
  <c r="S101" i="4"/>
  <c r="X101" i="4" s="1"/>
  <c r="T101" i="4"/>
  <c r="Y101" i="4" s="1"/>
  <c r="B102" i="4"/>
  <c r="C102" i="4"/>
  <c r="F102" i="4"/>
  <c r="G102" i="4"/>
  <c r="M102" i="4" s="1"/>
  <c r="H102" i="4"/>
  <c r="N102" i="4" s="1"/>
  <c r="I102" i="4"/>
  <c r="O102" i="4" s="1"/>
  <c r="J102" i="4"/>
  <c r="Q102" i="4"/>
  <c r="R102" i="4"/>
  <c r="W102" i="4" s="1"/>
  <c r="S102" i="4"/>
  <c r="X102" i="4" s="1"/>
  <c r="T102" i="4"/>
  <c r="Y102" i="4" s="1"/>
  <c r="B103" i="4"/>
  <c r="C103" i="4"/>
  <c r="F103" i="4"/>
  <c r="L103" i="4" s="1"/>
  <c r="G103" i="4"/>
  <c r="M103" i="4" s="1"/>
  <c r="H103" i="4"/>
  <c r="N103" i="4" s="1"/>
  <c r="I103" i="4"/>
  <c r="O103" i="4" s="1"/>
  <c r="J103" i="4"/>
  <c r="Q103" i="4"/>
  <c r="V103" i="4" s="1"/>
  <c r="R103" i="4"/>
  <c r="S103" i="4"/>
  <c r="X103" i="4" s="1"/>
  <c r="T103" i="4"/>
  <c r="Y103" i="4" s="1"/>
  <c r="B104" i="4"/>
  <c r="C104" i="4"/>
  <c r="F104" i="4"/>
  <c r="G104" i="4"/>
  <c r="M104" i="4" s="1"/>
  <c r="H104" i="4"/>
  <c r="N104" i="4" s="1"/>
  <c r="I104" i="4"/>
  <c r="O104" i="4" s="1"/>
  <c r="J104" i="4"/>
  <c r="Q104" i="4"/>
  <c r="V104" i="4" s="1"/>
  <c r="R104" i="4"/>
  <c r="S104" i="4"/>
  <c r="X104" i="4" s="1"/>
  <c r="T104" i="4"/>
  <c r="Y104" i="4" s="1"/>
  <c r="B105" i="4"/>
  <c r="C105" i="4"/>
  <c r="F105" i="4"/>
  <c r="G105" i="4"/>
  <c r="M105" i="4" s="1"/>
  <c r="H105" i="4"/>
  <c r="N105" i="4" s="1"/>
  <c r="I105" i="4"/>
  <c r="O105" i="4" s="1"/>
  <c r="J105" i="4"/>
  <c r="Q105" i="4"/>
  <c r="R105" i="4"/>
  <c r="S105" i="4"/>
  <c r="X105" i="4" s="1"/>
  <c r="T105" i="4"/>
  <c r="Y105" i="4" s="1"/>
  <c r="B106" i="4"/>
  <c r="C106" i="4"/>
  <c r="F106" i="4"/>
  <c r="L106" i="4" s="1"/>
  <c r="G106" i="4"/>
  <c r="M106" i="4" s="1"/>
  <c r="H106" i="4"/>
  <c r="N106" i="4" s="1"/>
  <c r="I106" i="4"/>
  <c r="O106" i="4" s="1"/>
  <c r="J106" i="4"/>
  <c r="Q106" i="4"/>
  <c r="R106" i="4"/>
  <c r="W106" i="4" s="1"/>
  <c r="S106" i="4"/>
  <c r="X106" i="4" s="1"/>
  <c r="T106" i="4"/>
  <c r="Y106" i="4" s="1"/>
  <c r="B107" i="4"/>
  <c r="C107" i="4"/>
  <c r="F107" i="4"/>
  <c r="G107" i="4"/>
  <c r="M107" i="4" s="1"/>
  <c r="H107" i="4"/>
  <c r="N107" i="4" s="1"/>
  <c r="I107" i="4"/>
  <c r="O107" i="4" s="1"/>
  <c r="J107" i="4"/>
  <c r="Q107" i="4"/>
  <c r="V107" i="4" s="1"/>
  <c r="R107" i="4"/>
  <c r="W107" i="4" s="1"/>
  <c r="S107" i="4"/>
  <c r="X107" i="4" s="1"/>
  <c r="T107" i="4"/>
  <c r="Y107" i="4" s="1"/>
  <c r="B108" i="4"/>
  <c r="C108" i="4"/>
  <c r="F108" i="4"/>
  <c r="G108" i="4"/>
  <c r="M108" i="4" s="1"/>
  <c r="H108" i="4"/>
  <c r="N108" i="4" s="1"/>
  <c r="I108" i="4"/>
  <c r="O108" i="4" s="1"/>
  <c r="J108" i="4"/>
  <c r="Q108" i="4"/>
  <c r="V108" i="4" s="1"/>
  <c r="R108" i="4"/>
  <c r="W108" i="4" s="1"/>
  <c r="S108" i="4"/>
  <c r="X108" i="4" s="1"/>
  <c r="T108" i="4"/>
  <c r="Y108" i="4" s="1"/>
  <c r="B109" i="4"/>
  <c r="C109" i="4"/>
  <c r="F109" i="4"/>
  <c r="G109" i="4"/>
  <c r="M109" i="4" s="1"/>
  <c r="H109" i="4"/>
  <c r="N109" i="4" s="1"/>
  <c r="I109" i="4"/>
  <c r="O109" i="4" s="1"/>
  <c r="J109" i="4"/>
  <c r="Q109" i="4"/>
  <c r="R109" i="4"/>
  <c r="W109" i="4" s="1"/>
  <c r="S109" i="4"/>
  <c r="X109" i="4" s="1"/>
  <c r="T109" i="4"/>
  <c r="Y109" i="4" s="1"/>
  <c r="B110" i="4"/>
  <c r="C110" i="4"/>
  <c r="F110" i="4"/>
  <c r="G110" i="4"/>
  <c r="M110" i="4" s="1"/>
  <c r="H110" i="4"/>
  <c r="N110" i="4" s="1"/>
  <c r="I110" i="4"/>
  <c r="O110" i="4" s="1"/>
  <c r="J110" i="4"/>
  <c r="Q110" i="4"/>
  <c r="R110" i="4"/>
  <c r="W110" i="4" s="1"/>
  <c r="S110" i="4"/>
  <c r="X110" i="4" s="1"/>
  <c r="T110" i="4"/>
  <c r="Y110" i="4" s="1"/>
  <c r="B111" i="4"/>
  <c r="C111" i="4"/>
  <c r="F111" i="4"/>
  <c r="L111" i="4" s="1"/>
  <c r="G111" i="4"/>
  <c r="M111" i="4" s="1"/>
  <c r="H111" i="4"/>
  <c r="N111" i="4" s="1"/>
  <c r="I111" i="4"/>
  <c r="O111" i="4" s="1"/>
  <c r="J111" i="4"/>
  <c r="Q111" i="4"/>
  <c r="V111" i="4" s="1"/>
  <c r="R111" i="4"/>
  <c r="W111" i="4" s="1"/>
  <c r="S111" i="4"/>
  <c r="X111" i="4" s="1"/>
  <c r="T111" i="4"/>
  <c r="Y111" i="4" s="1"/>
  <c r="B112" i="4"/>
  <c r="C112" i="4"/>
  <c r="F112" i="4"/>
  <c r="G112" i="4"/>
  <c r="M112" i="4" s="1"/>
  <c r="H112" i="4"/>
  <c r="N112" i="4" s="1"/>
  <c r="I112" i="4"/>
  <c r="O112" i="4" s="1"/>
  <c r="J112" i="4"/>
  <c r="Q112" i="4"/>
  <c r="V112" i="4" s="1"/>
  <c r="R112" i="4"/>
  <c r="W112" i="4" s="1"/>
  <c r="S112" i="4"/>
  <c r="X112" i="4" s="1"/>
  <c r="T112" i="4"/>
  <c r="Y112" i="4" s="1"/>
  <c r="B113" i="4"/>
  <c r="C113" i="4"/>
  <c r="F113" i="4"/>
  <c r="G113" i="4"/>
  <c r="M113" i="4" s="1"/>
  <c r="H113" i="4"/>
  <c r="N113" i="4" s="1"/>
  <c r="I113" i="4"/>
  <c r="O113" i="4" s="1"/>
  <c r="J113" i="4"/>
  <c r="Q113" i="4"/>
  <c r="V113" i="4" s="1"/>
  <c r="R113" i="4"/>
  <c r="W113" i="4" s="1"/>
  <c r="S113" i="4"/>
  <c r="X113" i="4" s="1"/>
  <c r="T113" i="4"/>
  <c r="Y113" i="4" s="1"/>
  <c r="B114" i="4"/>
  <c r="C114" i="4"/>
  <c r="F114" i="4"/>
  <c r="G114" i="4"/>
  <c r="M114" i="4" s="1"/>
  <c r="H114" i="4"/>
  <c r="N114" i="4" s="1"/>
  <c r="I114" i="4"/>
  <c r="O114" i="4" s="1"/>
  <c r="J114" i="4"/>
  <c r="Q114" i="4"/>
  <c r="R114" i="4"/>
  <c r="W114" i="4" s="1"/>
  <c r="S114" i="4"/>
  <c r="X114" i="4" s="1"/>
  <c r="T114" i="4"/>
  <c r="Y114" i="4" s="1"/>
  <c r="B115" i="4"/>
  <c r="C115" i="4"/>
  <c r="F115" i="4"/>
  <c r="L115" i="4" s="1"/>
  <c r="G115" i="4"/>
  <c r="H115" i="4"/>
  <c r="N115" i="4" s="1"/>
  <c r="I115" i="4"/>
  <c r="O115" i="4" s="1"/>
  <c r="J115" i="4"/>
  <c r="Q115" i="4"/>
  <c r="R115" i="4"/>
  <c r="W115" i="4" s="1"/>
  <c r="S115" i="4"/>
  <c r="X115" i="4" s="1"/>
  <c r="T115" i="4"/>
  <c r="Y115" i="4" s="1"/>
  <c r="B116" i="4"/>
  <c r="C116" i="4"/>
  <c r="F116" i="4"/>
  <c r="L116" i="4" s="1"/>
  <c r="G116" i="4"/>
  <c r="M116" i="4" s="1"/>
  <c r="H116" i="4"/>
  <c r="N116" i="4" s="1"/>
  <c r="I116" i="4"/>
  <c r="O116" i="4" s="1"/>
  <c r="J116" i="4"/>
  <c r="Q116" i="4"/>
  <c r="R116" i="4"/>
  <c r="W116" i="4" s="1"/>
  <c r="S116" i="4"/>
  <c r="X116" i="4" s="1"/>
  <c r="T116" i="4"/>
  <c r="Y116" i="4" s="1"/>
  <c r="B117" i="4"/>
  <c r="C117" i="4"/>
  <c r="F117" i="4"/>
  <c r="G117" i="4"/>
  <c r="M117" i="4" s="1"/>
  <c r="H117" i="4"/>
  <c r="N117" i="4" s="1"/>
  <c r="I117" i="4"/>
  <c r="O117" i="4" s="1"/>
  <c r="J117" i="4"/>
  <c r="Q117" i="4"/>
  <c r="V117" i="4" s="1"/>
  <c r="R117" i="4"/>
  <c r="S117" i="4"/>
  <c r="X117" i="4" s="1"/>
  <c r="T117" i="4"/>
  <c r="Y117" i="4" s="1"/>
  <c r="B118" i="4"/>
  <c r="C118" i="4"/>
  <c r="F118" i="4"/>
  <c r="G118" i="4"/>
  <c r="H118" i="4"/>
  <c r="N118" i="4" s="1"/>
  <c r="I118" i="4"/>
  <c r="O118" i="4" s="1"/>
  <c r="J118" i="4"/>
  <c r="Q118" i="4"/>
  <c r="R118" i="4"/>
  <c r="W118" i="4" s="1"/>
  <c r="S118" i="4"/>
  <c r="X118" i="4" s="1"/>
  <c r="T118" i="4"/>
  <c r="Y118" i="4" s="1"/>
  <c r="B119" i="4"/>
  <c r="C119" i="4"/>
  <c r="F119" i="4"/>
  <c r="L119" i="4" s="1"/>
  <c r="G119" i="4"/>
  <c r="H119" i="4"/>
  <c r="N119" i="4" s="1"/>
  <c r="I119" i="4"/>
  <c r="O119" i="4" s="1"/>
  <c r="J119" i="4"/>
  <c r="Q119" i="4"/>
  <c r="R119" i="4"/>
  <c r="W119" i="4" s="1"/>
  <c r="S119" i="4"/>
  <c r="X119" i="4" s="1"/>
  <c r="T119" i="4"/>
  <c r="Y119" i="4" s="1"/>
  <c r="B120" i="4"/>
  <c r="C120" i="4"/>
  <c r="F120" i="4"/>
  <c r="G120" i="4"/>
  <c r="M120" i="4" s="1"/>
  <c r="H120" i="4"/>
  <c r="N120" i="4" s="1"/>
  <c r="I120" i="4"/>
  <c r="O120" i="4" s="1"/>
  <c r="J120" i="4"/>
  <c r="Q120" i="4"/>
  <c r="R120" i="4"/>
  <c r="S120" i="4"/>
  <c r="X120" i="4" s="1"/>
  <c r="T120" i="4"/>
  <c r="Y120" i="4" s="1"/>
  <c r="B121" i="4"/>
  <c r="C121" i="4"/>
  <c r="F121" i="4"/>
  <c r="L121" i="4" s="1"/>
  <c r="G121" i="4"/>
  <c r="M121" i="4" s="1"/>
  <c r="H121" i="4"/>
  <c r="N121" i="4" s="1"/>
  <c r="I121" i="4"/>
  <c r="O121" i="4" s="1"/>
  <c r="J121" i="4"/>
  <c r="Q121" i="4"/>
  <c r="R121" i="4"/>
  <c r="W121" i="4" s="1"/>
  <c r="S121" i="4"/>
  <c r="X121" i="4" s="1"/>
  <c r="T121" i="4"/>
  <c r="Y121" i="4" s="1"/>
  <c r="B122" i="4"/>
  <c r="C122" i="4"/>
  <c r="F122" i="4"/>
  <c r="L122" i="4" s="1"/>
  <c r="G122" i="4"/>
  <c r="H122" i="4"/>
  <c r="N122" i="4" s="1"/>
  <c r="I122" i="4"/>
  <c r="O122" i="4" s="1"/>
  <c r="J122" i="4"/>
  <c r="Q122" i="4"/>
  <c r="R122" i="4"/>
  <c r="W122" i="4" s="1"/>
  <c r="S122" i="4"/>
  <c r="X122" i="4" s="1"/>
  <c r="T122" i="4"/>
  <c r="Y122" i="4" s="1"/>
  <c r="B123" i="4"/>
  <c r="C123" i="4"/>
  <c r="F123" i="4"/>
  <c r="L123" i="4" s="1"/>
  <c r="G123" i="4"/>
  <c r="M123" i="4" s="1"/>
  <c r="H123" i="4"/>
  <c r="N123" i="4" s="1"/>
  <c r="I123" i="4"/>
  <c r="O123" i="4" s="1"/>
  <c r="J123" i="4"/>
  <c r="Q123" i="4"/>
  <c r="V123" i="4" s="1"/>
  <c r="R123" i="4"/>
  <c r="S123" i="4"/>
  <c r="X123" i="4" s="1"/>
  <c r="T123" i="4"/>
  <c r="Y123" i="4" s="1"/>
  <c r="B124" i="4"/>
  <c r="C124" i="4"/>
  <c r="F124" i="4"/>
  <c r="L124" i="4" s="1"/>
  <c r="G124" i="4"/>
  <c r="H124" i="4"/>
  <c r="N124" i="4" s="1"/>
  <c r="I124" i="4"/>
  <c r="O124" i="4" s="1"/>
  <c r="J124" i="4"/>
  <c r="Q124" i="4"/>
  <c r="R124" i="4"/>
  <c r="W124" i="4" s="1"/>
  <c r="S124" i="4"/>
  <c r="X124" i="4" s="1"/>
  <c r="T124" i="4"/>
  <c r="Y124" i="4" s="1"/>
  <c r="B125" i="4"/>
  <c r="C125" i="4"/>
  <c r="F125" i="4"/>
  <c r="L125" i="4" s="1"/>
  <c r="G125" i="4"/>
  <c r="M125" i="4" s="1"/>
  <c r="H125" i="4"/>
  <c r="N125" i="4" s="1"/>
  <c r="I125" i="4"/>
  <c r="O125" i="4" s="1"/>
  <c r="J125" i="4"/>
  <c r="Q125" i="4"/>
  <c r="V125" i="4" s="1"/>
  <c r="R125" i="4"/>
  <c r="W125" i="4" s="1"/>
  <c r="S125" i="4"/>
  <c r="X125" i="4" s="1"/>
  <c r="T125" i="4"/>
  <c r="Y125" i="4" s="1"/>
  <c r="B126" i="4"/>
  <c r="C126" i="4"/>
  <c r="F126" i="4"/>
  <c r="G126" i="4"/>
  <c r="M126" i="4" s="1"/>
  <c r="H126" i="4"/>
  <c r="N126" i="4" s="1"/>
  <c r="I126" i="4"/>
  <c r="O126" i="4" s="1"/>
  <c r="J126" i="4"/>
  <c r="Q126" i="4"/>
  <c r="V126" i="4" s="1"/>
  <c r="R126" i="4"/>
  <c r="S126" i="4"/>
  <c r="X126" i="4" s="1"/>
  <c r="T126" i="4"/>
  <c r="Y126" i="4" s="1"/>
  <c r="B127" i="4"/>
  <c r="C127" i="4"/>
  <c r="F127" i="4"/>
  <c r="G127" i="4"/>
  <c r="M127" i="4" s="1"/>
  <c r="H127" i="4"/>
  <c r="N127" i="4" s="1"/>
  <c r="I127" i="4"/>
  <c r="O127" i="4" s="1"/>
  <c r="J127" i="4"/>
  <c r="Q127" i="4"/>
  <c r="V127" i="4" s="1"/>
  <c r="R127" i="4"/>
  <c r="W127" i="4" s="1"/>
  <c r="S127" i="4"/>
  <c r="T127" i="4"/>
  <c r="Y127" i="4" s="1"/>
  <c r="B128" i="4"/>
  <c r="C128" i="4"/>
  <c r="F128" i="4"/>
  <c r="G128" i="4"/>
  <c r="M128" i="4" s="1"/>
  <c r="H128" i="4"/>
  <c r="N128" i="4" s="1"/>
  <c r="I128" i="4"/>
  <c r="O128" i="4" s="1"/>
  <c r="J128" i="4"/>
  <c r="Q128" i="4"/>
  <c r="V128" i="4" s="1"/>
  <c r="R128" i="4"/>
  <c r="W128" i="4" s="1"/>
  <c r="S128" i="4"/>
  <c r="X128" i="4" s="1"/>
  <c r="T128" i="4"/>
  <c r="Y128" i="4" s="1"/>
  <c r="B129" i="4"/>
  <c r="C129" i="4"/>
  <c r="F129" i="4"/>
  <c r="L129" i="4" s="1"/>
  <c r="G129" i="4"/>
  <c r="M129" i="4" s="1"/>
  <c r="H129" i="4"/>
  <c r="N129" i="4" s="1"/>
  <c r="I129" i="4"/>
  <c r="O129" i="4" s="1"/>
  <c r="J129" i="4"/>
  <c r="Q129" i="4"/>
  <c r="V129" i="4" s="1"/>
  <c r="R129" i="4"/>
  <c r="S129" i="4"/>
  <c r="X129" i="4" s="1"/>
  <c r="T129" i="4"/>
  <c r="Y129" i="4" s="1"/>
  <c r="B130" i="4"/>
  <c r="C130" i="4"/>
  <c r="F130" i="4"/>
  <c r="G130" i="4"/>
  <c r="M130" i="4" s="1"/>
  <c r="H130" i="4"/>
  <c r="N130" i="4" s="1"/>
  <c r="I130" i="4"/>
  <c r="O130" i="4" s="1"/>
  <c r="J130" i="4"/>
  <c r="Q130" i="4"/>
  <c r="V130" i="4" s="1"/>
  <c r="R130" i="4"/>
  <c r="W130" i="4" s="1"/>
  <c r="S130" i="4"/>
  <c r="X130" i="4" s="1"/>
  <c r="T130" i="4"/>
  <c r="Y130" i="4" s="1"/>
  <c r="B131" i="4"/>
  <c r="C131" i="4"/>
  <c r="F131" i="4"/>
  <c r="G131" i="4"/>
  <c r="M131" i="4" s="1"/>
  <c r="H131" i="4"/>
  <c r="N131" i="4" s="1"/>
  <c r="I131" i="4"/>
  <c r="O131" i="4" s="1"/>
  <c r="J131" i="4"/>
  <c r="Q131" i="4"/>
  <c r="V131" i="4" s="1"/>
  <c r="R131" i="4"/>
  <c r="W131" i="4" s="1"/>
  <c r="S131" i="4"/>
  <c r="X131" i="4" s="1"/>
  <c r="T131" i="4"/>
  <c r="Y131" i="4" s="1"/>
  <c r="B132" i="4"/>
  <c r="C132" i="4"/>
  <c r="F132" i="4"/>
  <c r="G132" i="4"/>
  <c r="M132" i="4" s="1"/>
  <c r="H132" i="4"/>
  <c r="N132" i="4" s="1"/>
  <c r="I132" i="4"/>
  <c r="O132" i="4" s="1"/>
  <c r="J132" i="4"/>
  <c r="Q132" i="4"/>
  <c r="V132" i="4" s="1"/>
  <c r="R132" i="4"/>
  <c r="W132" i="4" s="1"/>
  <c r="S132" i="4"/>
  <c r="T132" i="4"/>
  <c r="Y132" i="4" s="1"/>
  <c r="B133" i="4"/>
  <c r="C133" i="4"/>
  <c r="F133" i="4"/>
  <c r="L133" i="4" s="1"/>
  <c r="G133" i="4"/>
  <c r="M133" i="4" s="1"/>
  <c r="H133" i="4"/>
  <c r="N133" i="4" s="1"/>
  <c r="I133" i="4"/>
  <c r="O133" i="4" s="1"/>
  <c r="J133" i="4"/>
  <c r="Q133" i="4"/>
  <c r="V133" i="4" s="1"/>
  <c r="R133" i="4"/>
  <c r="S133" i="4"/>
  <c r="X133" i="4" s="1"/>
  <c r="T133" i="4"/>
  <c r="Y133" i="4" s="1"/>
  <c r="B134" i="4"/>
  <c r="C134" i="4"/>
  <c r="F134" i="4"/>
  <c r="L134" i="4" s="1"/>
  <c r="G134" i="4"/>
  <c r="M134" i="4" s="1"/>
  <c r="H134" i="4"/>
  <c r="N134" i="4" s="1"/>
  <c r="I134" i="4"/>
  <c r="O134" i="4" s="1"/>
  <c r="J134" i="4"/>
  <c r="Q134" i="4"/>
  <c r="R134" i="4"/>
  <c r="W134" i="4" s="1"/>
  <c r="S134" i="4"/>
  <c r="X134" i="4" s="1"/>
  <c r="T134" i="4"/>
  <c r="Y134" i="4" s="1"/>
  <c r="B135" i="4"/>
  <c r="C135" i="4"/>
  <c r="F135" i="4"/>
  <c r="L135" i="4" s="1"/>
  <c r="G135" i="4"/>
  <c r="M135" i="4" s="1"/>
  <c r="H135" i="4"/>
  <c r="N135" i="4" s="1"/>
  <c r="I135" i="4"/>
  <c r="O135" i="4" s="1"/>
  <c r="J135" i="4"/>
  <c r="Q135" i="4"/>
  <c r="R135" i="4"/>
  <c r="S135" i="4"/>
  <c r="X135" i="4" s="1"/>
  <c r="T135" i="4"/>
  <c r="Y135" i="4" s="1"/>
  <c r="B136" i="4"/>
  <c r="C136" i="4"/>
  <c r="F136" i="4"/>
  <c r="G136" i="4"/>
  <c r="M136" i="4" s="1"/>
  <c r="H136" i="4"/>
  <c r="N136" i="4" s="1"/>
  <c r="I136" i="4"/>
  <c r="O136" i="4" s="1"/>
  <c r="J136" i="4"/>
  <c r="Q136" i="4"/>
  <c r="R136" i="4"/>
  <c r="W136" i="4" s="1"/>
  <c r="S136" i="4"/>
  <c r="X136" i="4" s="1"/>
  <c r="T136" i="4"/>
  <c r="Y136" i="4" s="1"/>
  <c r="B137" i="4"/>
  <c r="C137" i="4"/>
  <c r="F137" i="4"/>
  <c r="G137" i="4"/>
  <c r="M137" i="4" s="1"/>
  <c r="H137" i="4"/>
  <c r="N137" i="4" s="1"/>
  <c r="I137" i="4"/>
  <c r="O137" i="4" s="1"/>
  <c r="J137" i="4"/>
  <c r="Q137" i="4"/>
  <c r="R137" i="4"/>
  <c r="W137" i="4" s="1"/>
  <c r="S137" i="4"/>
  <c r="X137" i="4" s="1"/>
  <c r="T137" i="4"/>
  <c r="Y137" i="4" s="1"/>
  <c r="B138" i="4"/>
  <c r="C138" i="4"/>
  <c r="F138" i="4"/>
  <c r="L138" i="4" s="1"/>
  <c r="G138" i="4"/>
  <c r="M138" i="4" s="1"/>
  <c r="H138" i="4"/>
  <c r="N138" i="4" s="1"/>
  <c r="I138" i="4"/>
  <c r="O138" i="4" s="1"/>
  <c r="J138" i="4"/>
  <c r="Q138" i="4"/>
  <c r="V138" i="4" s="1"/>
  <c r="R138" i="4"/>
  <c r="W138" i="4" s="1"/>
  <c r="S138" i="4"/>
  <c r="X138" i="4" s="1"/>
  <c r="T138" i="4"/>
  <c r="Y138" i="4" s="1"/>
  <c r="B139" i="4"/>
  <c r="C139" i="4"/>
  <c r="F139" i="4"/>
  <c r="L139" i="4" s="1"/>
  <c r="G139" i="4"/>
  <c r="M139" i="4" s="1"/>
  <c r="H139" i="4"/>
  <c r="N139" i="4" s="1"/>
  <c r="I139" i="4"/>
  <c r="O139" i="4" s="1"/>
  <c r="J139" i="4"/>
  <c r="Q139" i="4"/>
  <c r="R139" i="4"/>
  <c r="W139" i="4" s="1"/>
  <c r="S139" i="4"/>
  <c r="X139" i="4" s="1"/>
  <c r="T139" i="4"/>
  <c r="Y139" i="4" s="1"/>
  <c r="B140" i="4"/>
  <c r="C140" i="4"/>
  <c r="F140" i="4"/>
  <c r="G140" i="4"/>
  <c r="M140" i="4" s="1"/>
  <c r="H140" i="4"/>
  <c r="N140" i="4" s="1"/>
  <c r="I140" i="4"/>
  <c r="O140" i="4" s="1"/>
  <c r="J140" i="4"/>
  <c r="Q140" i="4"/>
  <c r="R140" i="4"/>
  <c r="W140" i="4" s="1"/>
  <c r="S140" i="4"/>
  <c r="X140" i="4" s="1"/>
  <c r="T140" i="4"/>
  <c r="Y140" i="4" s="1"/>
  <c r="B141" i="4"/>
  <c r="C141" i="4"/>
  <c r="F141" i="4"/>
  <c r="L141" i="4" s="1"/>
  <c r="G141" i="4"/>
  <c r="M141" i="4" s="1"/>
  <c r="H141" i="4"/>
  <c r="N141" i="4" s="1"/>
  <c r="I141" i="4"/>
  <c r="O141" i="4" s="1"/>
  <c r="J141" i="4"/>
  <c r="Q141" i="4"/>
  <c r="V141" i="4" s="1"/>
  <c r="R141" i="4"/>
  <c r="W141" i="4" s="1"/>
  <c r="S141" i="4"/>
  <c r="T141" i="4"/>
  <c r="Y141" i="4" s="1"/>
  <c r="B142" i="4"/>
  <c r="C142" i="4"/>
  <c r="F142" i="4"/>
  <c r="L142" i="4" s="1"/>
  <c r="G142" i="4"/>
  <c r="M142" i="4" s="1"/>
  <c r="H142" i="4"/>
  <c r="N142" i="4" s="1"/>
  <c r="I142" i="4"/>
  <c r="O142" i="4" s="1"/>
  <c r="J142" i="4"/>
  <c r="Q142" i="4"/>
  <c r="R142" i="4"/>
  <c r="W142" i="4" s="1"/>
  <c r="S142" i="4"/>
  <c r="X142" i="4" s="1"/>
  <c r="T142" i="4"/>
  <c r="Y142" i="4" s="1"/>
  <c r="B143" i="4"/>
  <c r="C143" i="4"/>
  <c r="F143" i="4"/>
  <c r="L143" i="4" s="1"/>
  <c r="G143" i="4"/>
  <c r="M143" i="4" s="1"/>
  <c r="H143" i="4"/>
  <c r="N143" i="4" s="1"/>
  <c r="I143" i="4"/>
  <c r="O143" i="4" s="1"/>
  <c r="J143" i="4"/>
  <c r="Q143" i="4"/>
  <c r="V143" i="4" s="1"/>
  <c r="R143" i="4"/>
  <c r="W143" i="4" s="1"/>
  <c r="S143" i="4"/>
  <c r="X143" i="4" s="1"/>
  <c r="T143" i="4"/>
  <c r="Y143" i="4" s="1"/>
  <c r="B144" i="4"/>
  <c r="C144" i="4"/>
  <c r="F144" i="4"/>
  <c r="L144" i="4" s="1"/>
  <c r="G144" i="4"/>
  <c r="M144" i="4" s="1"/>
  <c r="H144" i="4"/>
  <c r="I144" i="4"/>
  <c r="O144" i="4" s="1"/>
  <c r="J144" i="4"/>
  <c r="Q144" i="4"/>
  <c r="R144" i="4"/>
  <c r="W144" i="4" s="1"/>
  <c r="S144" i="4"/>
  <c r="X144" i="4" s="1"/>
  <c r="T144" i="4"/>
  <c r="Y144" i="4" s="1"/>
  <c r="B145" i="4"/>
  <c r="C145" i="4"/>
  <c r="F145" i="4"/>
  <c r="G145" i="4"/>
  <c r="M145" i="4" s="1"/>
  <c r="H145" i="4"/>
  <c r="N145" i="4" s="1"/>
  <c r="I145" i="4"/>
  <c r="O145" i="4" s="1"/>
  <c r="J145" i="4"/>
  <c r="Q145" i="4"/>
  <c r="R145" i="4"/>
  <c r="W145" i="4" s="1"/>
  <c r="S145" i="4"/>
  <c r="X145" i="4" s="1"/>
  <c r="T145" i="4"/>
  <c r="Y145" i="4" s="1"/>
  <c r="B146" i="4"/>
  <c r="C146" i="4"/>
  <c r="F146" i="4"/>
  <c r="L146" i="4" s="1"/>
  <c r="G146" i="4"/>
  <c r="H146" i="4"/>
  <c r="N146" i="4" s="1"/>
  <c r="I146" i="4"/>
  <c r="O146" i="4" s="1"/>
  <c r="J146" i="4"/>
  <c r="Q146" i="4"/>
  <c r="R146" i="4"/>
  <c r="W146" i="4" s="1"/>
  <c r="S146" i="4"/>
  <c r="X146" i="4" s="1"/>
  <c r="T146" i="4"/>
  <c r="Y146" i="4" s="1"/>
  <c r="B147" i="4"/>
  <c r="C147" i="4"/>
  <c r="F147" i="4"/>
  <c r="G147" i="4"/>
  <c r="M147" i="4" s="1"/>
  <c r="H147" i="4"/>
  <c r="N147" i="4" s="1"/>
  <c r="I147" i="4"/>
  <c r="O147" i="4" s="1"/>
  <c r="J147" i="4"/>
  <c r="Q147" i="4"/>
  <c r="R147" i="4"/>
  <c r="W147" i="4" s="1"/>
  <c r="S147" i="4"/>
  <c r="X147" i="4" s="1"/>
  <c r="T147" i="4"/>
  <c r="Y147" i="4" s="1"/>
  <c r="B148" i="4"/>
  <c r="C148" i="4"/>
  <c r="F148" i="4"/>
  <c r="G148" i="4"/>
  <c r="M148" i="4" s="1"/>
  <c r="H148" i="4"/>
  <c r="N148" i="4" s="1"/>
  <c r="I148" i="4"/>
  <c r="O148" i="4" s="1"/>
  <c r="J148" i="4"/>
  <c r="Q148" i="4"/>
  <c r="R148" i="4"/>
  <c r="W148" i="4" s="1"/>
  <c r="S148" i="4"/>
  <c r="X148" i="4" s="1"/>
  <c r="T148" i="4"/>
  <c r="Y148" i="4" s="1"/>
  <c r="B149" i="4"/>
  <c r="C149" i="4"/>
  <c r="F149" i="4"/>
  <c r="G149" i="4"/>
  <c r="M149" i="4" s="1"/>
  <c r="H149" i="4"/>
  <c r="N149" i="4" s="1"/>
  <c r="I149" i="4"/>
  <c r="O149" i="4" s="1"/>
  <c r="J149" i="4"/>
  <c r="Q149" i="4"/>
  <c r="V149" i="4" s="1"/>
  <c r="R149" i="4"/>
  <c r="S149" i="4"/>
  <c r="X149" i="4" s="1"/>
  <c r="T149" i="4"/>
  <c r="Y149" i="4" s="1"/>
  <c r="B150" i="4"/>
  <c r="C150" i="4"/>
  <c r="F150" i="4"/>
  <c r="G150" i="4"/>
  <c r="M150" i="4" s="1"/>
  <c r="H150" i="4"/>
  <c r="N150" i="4" s="1"/>
  <c r="I150" i="4"/>
  <c r="O150" i="4" s="1"/>
  <c r="J150" i="4"/>
  <c r="Q150" i="4"/>
  <c r="V150" i="4" s="1"/>
  <c r="R150" i="4"/>
  <c r="W150" i="4" s="1"/>
  <c r="S150" i="4"/>
  <c r="X150" i="4" s="1"/>
  <c r="T150" i="4"/>
  <c r="Y150" i="4" s="1"/>
  <c r="B151" i="4"/>
  <c r="C151" i="4"/>
  <c r="F151" i="4"/>
  <c r="G151" i="4"/>
  <c r="M151" i="4" s="1"/>
  <c r="H151" i="4"/>
  <c r="N151" i="4" s="1"/>
  <c r="I151" i="4"/>
  <c r="O151" i="4" s="1"/>
  <c r="J151" i="4"/>
  <c r="Q151" i="4"/>
  <c r="R151" i="4"/>
  <c r="W151" i="4" s="1"/>
  <c r="S151" i="4"/>
  <c r="X151" i="4" s="1"/>
  <c r="T151" i="4"/>
  <c r="Y151" i="4" s="1"/>
  <c r="B152" i="4"/>
  <c r="C152" i="4"/>
  <c r="F152" i="4"/>
  <c r="L152" i="4" s="1"/>
  <c r="G152" i="4"/>
  <c r="M152" i="4" s="1"/>
  <c r="H152" i="4"/>
  <c r="N152" i="4" s="1"/>
  <c r="I152" i="4"/>
  <c r="O152" i="4" s="1"/>
  <c r="J152" i="4"/>
  <c r="Q152" i="4"/>
  <c r="R152" i="4"/>
  <c r="W152" i="4" s="1"/>
  <c r="S152" i="4"/>
  <c r="X152" i="4" s="1"/>
  <c r="T152" i="4"/>
  <c r="Y152" i="4" s="1"/>
  <c r="B153" i="4"/>
  <c r="C153" i="4"/>
  <c r="F153" i="4"/>
  <c r="G153" i="4"/>
  <c r="M153" i="4" s="1"/>
  <c r="H153" i="4"/>
  <c r="N153" i="4" s="1"/>
  <c r="I153" i="4"/>
  <c r="O153" i="4" s="1"/>
  <c r="J153" i="4"/>
  <c r="Q153" i="4"/>
  <c r="R153" i="4"/>
  <c r="W153" i="4" s="1"/>
  <c r="S153" i="4"/>
  <c r="X153" i="4" s="1"/>
  <c r="T153" i="4"/>
  <c r="Y153" i="4" s="1"/>
  <c r="B154" i="4"/>
  <c r="C154" i="4"/>
  <c r="F154" i="4"/>
  <c r="L154" i="4" s="1"/>
  <c r="G154" i="4"/>
  <c r="M154" i="4" s="1"/>
  <c r="H154" i="4"/>
  <c r="N154" i="4" s="1"/>
  <c r="I154" i="4"/>
  <c r="O154" i="4" s="1"/>
  <c r="J154" i="4"/>
  <c r="Q154" i="4"/>
  <c r="R154" i="4"/>
  <c r="W154" i="4" s="1"/>
  <c r="S154" i="4"/>
  <c r="X154" i="4" s="1"/>
  <c r="T154" i="4"/>
  <c r="Y154" i="4" s="1"/>
  <c r="B155" i="4"/>
  <c r="C155" i="4"/>
  <c r="F155" i="4"/>
  <c r="L155" i="4" s="1"/>
  <c r="G155" i="4"/>
  <c r="M155" i="4" s="1"/>
  <c r="H155" i="4"/>
  <c r="N155" i="4" s="1"/>
  <c r="I155" i="4"/>
  <c r="O155" i="4" s="1"/>
  <c r="J155" i="4"/>
  <c r="Q155" i="4"/>
  <c r="R155" i="4"/>
  <c r="W155" i="4" s="1"/>
  <c r="S155" i="4"/>
  <c r="X155" i="4" s="1"/>
  <c r="T155" i="4"/>
  <c r="Y155" i="4" s="1"/>
  <c r="B156" i="4"/>
  <c r="C156" i="4"/>
  <c r="F156" i="4"/>
  <c r="G156" i="4"/>
  <c r="M156" i="4" s="1"/>
  <c r="H156" i="4"/>
  <c r="N156" i="4" s="1"/>
  <c r="I156" i="4"/>
  <c r="O156" i="4" s="1"/>
  <c r="J156" i="4"/>
  <c r="Q156" i="4"/>
  <c r="V156" i="4" s="1"/>
  <c r="R156" i="4"/>
  <c r="W156" i="4" s="1"/>
  <c r="S156" i="4"/>
  <c r="X156" i="4" s="1"/>
  <c r="T156" i="4"/>
  <c r="Y156" i="4" s="1"/>
  <c r="B157" i="4"/>
  <c r="C157" i="4"/>
  <c r="F157" i="4"/>
  <c r="L157" i="4" s="1"/>
  <c r="G157" i="4"/>
  <c r="M157" i="4" s="1"/>
  <c r="H157" i="4"/>
  <c r="N157" i="4" s="1"/>
  <c r="I157" i="4"/>
  <c r="O157" i="4" s="1"/>
  <c r="J157" i="4"/>
  <c r="Q157" i="4"/>
  <c r="V157" i="4" s="1"/>
  <c r="R157" i="4"/>
  <c r="W157" i="4" s="1"/>
  <c r="S157" i="4"/>
  <c r="X157" i="4" s="1"/>
  <c r="T157" i="4"/>
  <c r="Y157" i="4" s="1"/>
  <c r="B158" i="4"/>
  <c r="C158" i="4"/>
  <c r="F158" i="4"/>
  <c r="L158" i="4" s="1"/>
  <c r="G158" i="4"/>
  <c r="M158" i="4" s="1"/>
  <c r="H158" i="4"/>
  <c r="N158" i="4" s="1"/>
  <c r="I158" i="4"/>
  <c r="O158" i="4" s="1"/>
  <c r="J158" i="4"/>
  <c r="Q158" i="4"/>
  <c r="R158" i="4"/>
  <c r="W158" i="4" s="1"/>
  <c r="S158" i="4"/>
  <c r="X158" i="4" s="1"/>
  <c r="T158" i="4"/>
  <c r="Y158" i="4" s="1"/>
  <c r="B159" i="4"/>
  <c r="C159" i="4"/>
  <c r="F159" i="4"/>
  <c r="L159" i="4" s="1"/>
  <c r="G159" i="4"/>
  <c r="H159" i="4"/>
  <c r="N159" i="4" s="1"/>
  <c r="I159" i="4"/>
  <c r="O159" i="4" s="1"/>
  <c r="J159" i="4"/>
  <c r="Q159" i="4"/>
  <c r="R159" i="4"/>
  <c r="W159" i="4" s="1"/>
  <c r="S159" i="4"/>
  <c r="X159" i="4" s="1"/>
  <c r="T159" i="4"/>
  <c r="Y159" i="4" s="1"/>
  <c r="B160" i="4"/>
  <c r="C160" i="4"/>
  <c r="F160" i="4"/>
  <c r="L160" i="4" s="1"/>
  <c r="G160" i="4"/>
  <c r="M160" i="4" s="1"/>
  <c r="H160" i="4"/>
  <c r="N160" i="4" s="1"/>
  <c r="I160" i="4"/>
  <c r="O160" i="4" s="1"/>
  <c r="J160" i="4"/>
  <c r="Q160" i="4"/>
  <c r="V160" i="4" s="1"/>
  <c r="R160" i="4"/>
  <c r="S160" i="4"/>
  <c r="X160" i="4" s="1"/>
  <c r="T160" i="4"/>
  <c r="Y160" i="4" s="1"/>
  <c r="B161" i="4"/>
  <c r="C161" i="4"/>
  <c r="F161" i="4"/>
  <c r="L161" i="4" s="1"/>
  <c r="G161" i="4"/>
  <c r="M161" i="4" s="1"/>
  <c r="H161" i="4"/>
  <c r="N161" i="4" s="1"/>
  <c r="I161" i="4"/>
  <c r="O161" i="4" s="1"/>
  <c r="J161" i="4"/>
  <c r="Q161" i="4"/>
  <c r="R161" i="4"/>
  <c r="W161" i="4" s="1"/>
  <c r="S161" i="4"/>
  <c r="X161" i="4" s="1"/>
  <c r="T161" i="4"/>
  <c r="Y161" i="4" s="1"/>
  <c r="B162" i="4"/>
  <c r="C162" i="4"/>
  <c r="F162" i="4"/>
  <c r="G162" i="4"/>
  <c r="M162" i="4" s="1"/>
  <c r="H162" i="4"/>
  <c r="N162" i="4" s="1"/>
  <c r="I162" i="4"/>
  <c r="O162" i="4" s="1"/>
  <c r="J162" i="4"/>
  <c r="Q162" i="4"/>
  <c r="R162" i="4"/>
  <c r="W162" i="4" s="1"/>
  <c r="S162" i="4"/>
  <c r="X162" i="4" s="1"/>
  <c r="T162" i="4"/>
  <c r="Y162" i="4" s="1"/>
  <c r="B163" i="4"/>
  <c r="C163" i="4"/>
  <c r="F163" i="4"/>
  <c r="G163" i="4"/>
  <c r="M163" i="4" s="1"/>
  <c r="H163" i="4"/>
  <c r="N163" i="4" s="1"/>
  <c r="I163" i="4"/>
  <c r="O163" i="4" s="1"/>
  <c r="J163" i="4"/>
  <c r="Q163" i="4"/>
  <c r="R163" i="4"/>
  <c r="W163" i="4" s="1"/>
  <c r="S163" i="4"/>
  <c r="X163" i="4" s="1"/>
  <c r="T163" i="4"/>
  <c r="Y163" i="4" s="1"/>
  <c r="B164" i="4"/>
  <c r="C164" i="4"/>
  <c r="F164" i="4"/>
  <c r="G164" i="4"/>
  <c r="M164" i="4" s="1"/>
  <c r="H164" i="4"/>
  <c r="N164" i="4" s="1"/>
  <c r="I164" i="4"/>
  <c r="O164" i="4" s="1"/>
  <c r="J164" i="4"/>
  <c r="Q164" i="4"/>
  <c r="R164" i="4"/>
  <c r="W164" i="4" s="1"/>
  <c r="S164" i="4"/>
  <c r="T164" i="4"/>
  <c r="Y164" i="4" s="1"/>
  <c r="B165" i="4"/>
  <c r="C165" i="4"/>
  <c r="F165" i="4"/>
  <c r="G165" i="4"/>
  <c r="M165" i="4" s="1"/>
  <c r="H165" i="4"/>
  <c r="N165" i="4" s="1"/>
  <c r="I165" i="4"/>
  <c r="O165" i="4" s="1"/>
  <c r="J165" i="4"/>
  <c r="Q165" i="4"/>
  <c r="R165" i="4"/>
  <c r="W165" i="4" s="1"/>
  <c r="S165" i="4"/>
  <c r="X165" i="4" s="1"/>
  <c r="T165" i="4"/>
  <c r="Y165" i="4" s="1"/>
  <c r="B166" i="4"/>
  <c r="C166" i="4"/>
  <c r="F166" i="4"/>
  <c r="L166" i="4" s="1"/>
  <c r="G166" i="4"/>
  <c r="M166" i="4" s="1"/>
  <c r="H166" i="4"/>
  <c r="N166" i="4" s="1"/>
  <c r="I166" i="4"/>
  <c r="O166" i="4" s="1"/>
  <c r="J166" i="4"/>
  <c r="Q166" i="4"/>
  <c r="R166" i="4"/>
  <c r="W166" i="4" s="1"/>
  <c r="S166" i="4"/>
  <c r="X166" i="4" s="1"/>
  <c r="T166" i="4"/>
  <c r="Y166" i="4" s="1"/>
  <c r="B167" i="4"/>
  <c r="C167" i="4"/>
  <c r="F167" i="4"/>
  <c r="L167" i="4" s="1"/>
  <c r="G167" i="4"/>
  <c r="H167" i="4"/>
  <c r="N167" i="4" s="1"/>
  <c r="I167" i="4"/>
  <c r="O167" i="4" s="1"/>
  <c r="J167" i="4"/>
  <c r="Q167" i="4"/>
  <c r="V167" i="4" s="1"/>
  <c r="R167" i="4"/>
  <c r="W167" i="4" s="1"/>
  <c r="S167" i="4"/>
  <c r="T167" i="4"/>
  <c r="Y167" i="4" s="1"/>
  <c r="B168" i="4"/>
  <c r="C168" i="4"/>
  <c r="F168" i="4"/>
  <c r="G168" i="4"/>
  <c r="M168" i="4" s="1"/>
  <c r="H168" i="4"/>
  <c r="N168" i="4" s="1"/>
  <c r="I168" i="4"/>
  <c r="O168" i="4" s="1"/>
  <c r="J168" i="4"/>
  <c r="Q168" i="4"/>
  <c r="R168" i="4"/>
  <c r="W168" i="4" s="1"/>
  <c r="S168" i="4"/>
  <c r="X168" i="4" s="1"/>
  <c r="T168" i="4"/>
  <c r="Y168" i="4" s="1"/>
  <c r="B169" i="4"/>
  <c r="C169" i="4"/>
  <c r="F169" i="4"/>
  <c r="L169" i="4" s="1"/>
  <c r="G169" i="4"/>
  <c r="M169" i="4" s="1"/>
  <c r="H169" i="4"/>
  <c r="N169" i="4" s="1"/>
  <c r="I169" i="4"/>
  <c r="O169" i="4" s="1"/>
  <c r="J169" i="4"/>
  <c r="Q169" i="4"/>
  <c r="R169" i="4"/>
  <c r="S169" i="4"/>
  <c r="X169" i="4" s="1"/>
  <c r="T169" i="4"/>
  <c r="Y169" i="4" s="1"/>
  <c r="B170" i="4"/>
  <c r="C170" i="4"/>
  <c r="F170" i="4"/>
  <c r="L170" i="4" s="1"/>
  <c r="G170" i="4"/>
  <c r="H170" i="4"/>
  <c r="N170" i="4" s="1"/>
  <c r="I170" i="4"/>
  <c r="O170" i="4" s="1"/>
  <c r="J170" i="4"/>
  <c r="Q170" i="4"/>
  <c r="R170" i="4"/>
  <c r="W170" i="4" s="1"/>
  <c r="S170" i="4"/>
  <c r="X170" i="4" s="1"/>
  <c r="T170" i="4"/>
  <c r="Y170" i="4" s="1"/>
  <c r="B171" i="4"/>
  <c r="C171" i="4"/>
  <c r="F171" i="4"/>
  <c r="G171" i="4"/>
  <c r="M171" i="4" s="1"/>
  <c r="H171" i="4"/>
  <c r="N171" i="4" s="1"/>
  <c r="I171" i="4"/>
  <c r="O171" i="4" s="1"/>
  <c r="J171" i="4"/>
  <c r="Q171" i="4"/>
  <c r="R171" i="4"/>
  <c r="W171" i="4" s="1"/>
  <c r="S171" i="4"/>
  <c r="X171" i="4" s="1"/>
  <c r="T171" i="4"/>
  <c r="Y171" i="4" s="1"/>
  <c r="B172" i="4"/>
  <c r="C172" i="4"/>
  <c r="F172" i="4"/>
  <c r="G172" i="4"/>
  <c r="M172" i="4" s="1"/>
  <c r="H172" i="4"/>
  <c r="N172" i="4" s="1"/>
  <c r="I172" i="4"/>
  <c r="O172" i="4" s="1"/>
  <c r="J172" i="4"/>
  <c r="Q172" i="4"/>
  <c r="R172" i="4"/>
  <c r="W172" i="4" s="1"/>
  <c r="S172" i="4"/>
  <c r="X172" i="4" s="1"/>
  <c r="T172" i="4"/>
  <c r="Y172" i="4" s="1"/>
  <c r="B173" i="4"/>
  <c r="C173" i="4"/>
  <c r="F173" i="4"/>
  <c r="G173" i="4"/>
  <c r="M173" i="4" s="1"/>
  <c r="H173" i="4"/>
  <c r="N173" i="4" s="1"/>
  <c r="I173" i="4"/>
  <c r="O173" i="4" s="1"/>
  <c r="J173" i="4"/>
  <c r="Q173" i="4"/>
  <c r="R173" i="4"/>
  <c r="W173" i="4" s="1"/>
  <c r="S173" i="4"/>
  <c r="X173" i="4" s="1"/>
  <c r="T173" i="4"/>
  <c r="Y173" i="4" s="1"/>
  <c r="B174" i="4"/>
  <c r="C174" i="4"/>
  <c r="F174" i="4"/>
  <c r="G174" i="4"/>
  <c r="M174" i="4" s="1"/>
  <c r="H174" i="4"/>
  <c r="N174" i="4" s="1"/>
  <c r="I174" i="4"/>
  <c r="O174" i="4" s="1"/>
  <c r="J174" i="4"/>
  <c r="Q174" i="4"/>
  <c r="R174" i="4"/>
  <c r="W174" i="4" s="1"/>
  <c r="S174" i="4"/>
  <c r="X174" i="4" s="1"/>
  <c r="T174" i="4"/>
  <c r="Y174" i="4" s="1"/>
  <c r="B175" i="4"/>
  <c r="C175" i="4"/>
  <c r="F175" i="4"/>
  <c r="G175" i="4"/>
  <c r="M175" i="4" s="1"/>
  <c r="H175" i="4"/>
  <c r="N175" i="4" s="1"/>
  <c r="I175" i="4"/>
  <c r="O175" i="4" s="1"/>
  <c r="J175" i="4"/>
  <c r="Q175" i="4"/>
  <c r="V175" i="4" s="1"/>
  <c r="R175" i="4"/>
  <c r="W175" i="4" s="1"/>
  <c r="S175" i="4"/>
  <c r="X175" i="4" s="1"/>
  <c r="T175" i="4"/>
  <c r="Y175" i="4" s="1"/>
  <c r="B176" i="4"/>
  <c r="C176" i="4"/>
  <c r="F176" i="4"/>
  <c r="G176" i="4"/>
  <c r="M176" i="4" s="1"/>
  <c r="H176" i="4"/>
  <c r="N176" i="4" s="1"/>
  <c r="I176" i="4"/>
  <c r="O176" i="4" s="1"/>
  <c r="J176" i="4"/>
  <c r="Q176" i="4"/>
  <c r="R176" i="4"/>
  <c r="W176" i="4" s="1"/>
  <c r="S176" i="4"/>
  <c r="X176" i="4" s="1"/>
  <c r="T176" i="4"/>
  <c r="Y176" i="4" s="1"/>
  <c r="B177" i="4"/>
  <c r="C177" i="4"/>
  <c r="F177" i="4"/>
  <c r="G177" i="4"/>
  <c r="M177" i="4" s="1"/>
  <c r="H177" i="4"/>
  <c r="N177" i="4" s="1"/>
  <c r="I177" i="4"/>
  <c r="O177" i="4" s="1"/>
  <c r="J177" i="4"/>
  <c r="Q177" i="4"/>
  <c r="R177" i="4"/>
  <c r="W177" i="4" s="1"/>
  <c r="S177" i="4"/>
  <c r="X177" i="4" s="1"/>
  <c r="T177" i="4"/>
  <c r="Y177" i="4" s="1"/>
  <c r="B178" i="4"/>
  <c r="C178" i="4"/>
  <c r="F178" i="4"/>
  <c r="G178" i="4"/>
  <c r="M178" i="4" s="1"/>
  <c r="H178" i="4"/>
  <c r="N178" i="4" s="1"/>
  <c r="I178" i="4"/>
  <c r="O178" i="4" s="1"/>
  <c r="J178" i="4"/>
  <c r="Q178" i="4"/>
  <c r="R178" i="4"/>
  <c r="W178" i="4" s="1"/>
  <c r="S178" i="4"/>
  <c r="X178" i="4" s="1"/>
  <c r="T178" i="4"/>
  <c r="Y178" i="4" s="1"/>
  <c r="B179" i="4"/>
  <c r="C179" i="4"/>
  <c r="F179" i="4"/>
  <c r="G179" i="4"/>
  <c r="H179" i="4"/>
  <c r="N179" i="4" s="1"/>
  <c r="I179" i="4"/>
  <c r="O179" i="4" s="1"/>
  <c r="J179" i="4"/>
  <c r="Q179" i="4"/>
  <c r="V179" i="4" s="1"/>
  <c r="R179" i="4"/>
  <c r="W179" i="4" s="1"/>
  <c r="S179" i="4"/>
  <c r="X179" i="4" s="1"/>
  <c r="T179" i="4"/>
  <c r="Y179" i="4" s="1"/>
  <c r="B180" i="4"/>
  <c r="C180" i="4"/>
  <c r="F180" i="4"/>
  <c r="G180" i="4"/>
  <c r="M180" i="4" s="1"/>
  <c r="H180" i="4"/>
  <c r="N180" i="4" s="1"/>
  <c r="I180" i="4"/>
  <c r="O180" i="4" s="1"/>
  <c r="J180" i="4"/>
  <c r="Q180" i="4"/>
  <c r="V180" i="4" s="1"/>
  <c r="R180" i="4"/>
  <c r="S180" i="4"/>
  <c r="X180" i="4" s="1"/>
  <c r="T180" i="4"/>
  <c r="Y180" i="4" s="1"/>
  <c r="B181" i="4"/>
  <c r="C181" i="4"/>
  <c r="F181" i="4"/>
  <c r="G181" i="4"/>
  <c r="M181" i="4" s="1"/>
  <c r="H181" i="4"/>
  <c r="N181" i="4" s="1"/>
  <c r="I181" i="4"/>
  <c r="O181" i="4" s="1"/>
  <c r="J181" i="4"/>
  <c r="Q181" i="4"/>
  <c r="V181" i="4" s="1"/>
  <c r="R181" i="4"/>
  <c r="W181" i="4" s="1"/>
  <c r="S181" i="4"/>
  <c r="X181" i="4" s="1"/>
  <c r="T181" i="4"/>
  <c r="Y181" i="4" s="1"/>
  <c r="B182" i="4"/>
  <c r="C182" i="4"/>
  <c r="F182" i="4"/>
  <c r="G182" i="4"/>
  <c r="M182" i="4" s="1"/>
  <c r="H182" i="4"/>
  <c r="N182" i="4" s="1"/>
  <c r="I182" i="4"/>
  <c r="O182" i="4" s="1"/>
  <c r="J182" i="4"/>
  <c r="Q182" i="4"/>
  <c r="V182" i="4" s="1"/>
  <c r="R182" i="4"/>
  <c r="W182" i="4" s="1"/>
  <c r="S182" i="4"/>
  <c r="X182" i="4" s="1"/>
  <c r="T182" i="4"/>
  <c r="Y182" i="4" s="1"/>
  <c r="B183" i="4"/>
  <c r="C183" i="4"/>
  <c r="F183" i="4"/>
  <c r="G183" i="4"/>
  <c r="M183" i="4" s="1"/>
  <c r="H183" i="4"/>
  <c r="N183" i="4" s="1"/>
  <c r="I183" i="4"/>
  <c r="O183" i="4" s="1"/>
  <c r="J183" i="4"/>
  <c r="Q183" i="4"/>
  <c r="R183" i="4"/>
  <c r="W183" i="4" s="1"/>
  <c r="S183" i="4"/>
  <c r="X183" i="4" s="1"/>
  <c r="T183" i="4"/>
  <c r="Y183" i="4" s="1"/>
  <c r="B184" i="4"/>
  <c r="C184" i="4"/>
  <c r="F184" i="4"/>
  <c r="G184" i="4"/>
  <c r="M184" i="4" s="1"/>
  <c r="H184" i="4"/>
  <c r="N184" i="4" s="1"/>
  <c r="I184" i="4"/>
  <c r="O184" i="4" s="1"/>
  <c r="J184" i="4"/>
  <c r="Q184" i="4"/>
  <c r="R184" i="4"/>
  <c r="W184" i="4" s="1"/>
  <c r="S184" i="4"/>
  <c r="X184" i="4" s="1"/>
  <c r="T184" i="4"/>
  <c r="Y184" i="4" s="1"/>
  <c r="B185" i="4"/>
  <c r="C185" i="4"/>
  <c r="F185" i="4"/>
  <c r="L185" i="4" s="1"/>
  <c r="G185" i="4"/>
  <c r="M185" i="4" s="1"/>
  <c r="H185" i="4"/>
  <c r="N185" i="4" s="1"/>
  <c r="I185" i="4"/>
  <c r="O185" i="4" s="1"/>
  <c r="J185" i="4"/>
  <c r="Q185" i="4"/>
  <c r="R185" i="4"/>
  <c r="W185" i="4" s="1"/>
  <c r="S185" i="4"/>
  <c r="X185" i="4" s="1"/>
  <c r="T185" i="4"/>
  <c r="Y185" i="4" s="1"/>
  <c r="B186" i="4"/>
  <c r="C186" i="4"/>
  <c r="F186" i="4"/>
  <c r="G186" i="4"/>
  <c r="M186" i="4" s="1"/>
  <c r="H186" i="4"/>
  <c r="N186" i="4" s="1"/>
  <c r="I186" i="4"/>
  <c r="O186" i="4" s="1"/>
  <c r="J186" i="4"/>
  <c r="Q186" i="4"/>
  <c r="V186" i="4" s="1"/>
  <c r="R186" i="4"/>
  <c r="W186" i="4" s="1"/>
  <c r="S186" i="4"/>
  <c r="X186" i="4" s="1"/>
  <c r="T186" i="4"/>
  <c r="Y186" i="4" s="1"/>
  <c r="B187" i="4"/>
  <c r="C187" i="4"/>
  <c r="F187" i="4"/>
  <c r="L187" i="4" s="1"/>
  <c r="G187" i="4"/>
  <c r="M187" i="4" s="1"/>
  <c r="H187" i="4"/>
  <c r="N187" i="4" s="1"/>
  <c r="I187" i="4"/>
  <c r="O187" i="4" s="1"/>
  <c r="J187" i="4"/>
  <c r="Q187" i="4"/>
  <c r="V187" i="4" s="1"/>
  <c r="R187" i="4"/>
  <c r="S187" i="4"/>
  <c r="X187" i="4" s="1"/>
  <c r="T187" i="4"/>
  <c r="Y187" i="4" s="1"/>
  <c r="B188" i="4"/>
  <c r="C188" i="4"/>
  <c r="F188" i="4"/>
  <c r="G188" i="4"/>
  <c r="M188" i="4" s="1"/>
  <c r="H188" i="4"/>
  <c r="N188" i="4" s="1"/>
  <c r="I188" i="4"/>
  <c r="O188" i="4" s="1"/>
  <c r="J188" i="4"/>
  <c r="Q188" i="4"/>
  <c r="R188" i="4"/>
  <c r="W188" i="4" s="1"/>
  <c r="S188" i="4"/>
  <c r="X188" i="4" s="1"/>
  <c r="T188" i="4"/>
  <c r="Y188" i="4" s="1"/>
  <c r="B189" i="4"/>
  <c r="C189" i="4"/>
  <c r="F189" i="4"/>
  <c r="G189" i="4"/>
  <c r="M189" i="4" s="1"/>
  <c r="H189" i="4"/>
  <c r="N189" i="4" s="1"/>
  <c r="I189" i="4"/>
  <c r="O189" i="4" s="1"/>
  <c r="J189" i="4"/>
  <c r="Q189" i="4"/>
  <c r="V189" i="4" s="1"/>
  <c r="R189" i="4"/>
  <c r="S189" i="4"/>
  <c r="X189" i="4" s="1"/>
  <c r="T189" i="4"/>
  <c r="Y189" i="4" s="1"/>
  <c r="B190" i="4"/>
  <c r="C190" i="4"/>
  <c r="F190" i="4"/>
  <c r="G190" i="4"/>
  <c r="M190" i="4" s="1"/>
  <c r="H190" i="4"/>
  <c r="N190" i="4" s="1"/>
  <c r="I190" i="4"/>
  <c r="O190" i="4" s="1"/>
  <c r="J190" i="4"/>
  <c r="Q190" i="4"/>
  <c r="V190" i="4" s="1"/>
  <c r="R190" i="4"/>
  <c r="W190" i="4" s="1"/>
  <c r="S190" i="4"/>
  <c r="X190" i="4" s="1"/>
  <c r="T190" i="4"/>
  <c r="Y190" i="4" s="1"/>
  <c r="B191" i="4"/>
  <c r="C191" i="4"/>
  <c r="F191" i="4"/>
  <c r="G191" i="4"/>
  <c r="M191" i="4" s="1"/>
  <c r="H191" i="4"/>
  <c r="N191" i="4" s="1"/>
  <c r="I191" i="4"/>
  <c r="O191" i="4" s="1"/>
  <c r="J191" i="4"/>
  <c r="Q191" i="4"/>
  <c r="V191" i="4" s="1"/>
  <c r="R191" i="4"/>
  <c r="S191" i="4"/>
  <c r="X191" i="4" s="1"/>
  <c r="T191" i="4"/>
  <c r="Y191" i="4" s="1"/>
  <c r="B192" i="4"/>
  <c r="C192" i="4"/>
  <c r="F192" i="4"/>
  <c r="L192" i="4" s="1"/>
  <c r="G192" i="4"/>
  <c r="H192" i="4"/>
  <c r="N192" i="4" s="1"/>
  <c r="I192" i="4"/>
  <c r="O192" i="4" s="1"/>
  <c r="J192" i="4"/>
  <c r="Q192" i="4"/>
  <c r="R192" i="4"/>
  <c r="W192" i="4" s="1"/>
  <c r="S192" i="4"/>
  <c r="X192" i="4" s="1"/>
  <c r="T192" i="4"/>
  <c r="Y192" i="4" s="1"/>
  <c r="B193" i="4"/>
  <c r="C193" i="4"/>
  <c r="F193" i="4"/>
  <c r="G193" i="4"/>
  <c r="H193" i="4"/>
  <c r="N193" i="4" s="1"/>
  <c r="I193" i="4"/>
  <c r="O193" i="4" s="1"/>
  <c r="J193" i="4"/>
  <c r="Q193" i="4"/>
  <c r="R193" i="4"/>
  <c r="W193" i="4" s="1"/>
  <c r="S193" i="4"/>
  <c r="T193" i="4"/>
  <c r="Y193" i="4" s="1"/>
  <c r="B194" i="4"/>
  <c r="C194" i="4"/>
  <c r="F194" i="4"/>
  <c r="G194" i="4"/>
  <c r="M194" i="4" s="1"/>
  <c r="H194" i="4"/>
  <c r="N194" i="4" s="1"/>
  <c r="I194" i="4"/>
  <c r="O194" i="4" s="1"/>
  <c r="J194" i="4"/>
  <c r="Q194" i="4"/>
  <c r="R194" i="4"/>
  <c r="W194" i="4" s="1"/>
  <c r="S194" i="4"/>
  <c r="X194" i="4" s="1"/>
  <c r="T194" i="4"/>
  <c r="Y194" i="4" s="1"/>
  <c r="B195" i="4"/>
  <c r="C195" i="4"/>
  <c r="F195" i="4"/>
  <c r="G195" i="4"/>
  <c r="M195" i="4" s="1"/>
  <c r="H195" i="4"/>
  <c r="N195" i="4" s="1"/>
  <c r="I195" i="4"/>
  <c r="O195" i="4" s="1"/>
  <c r="J195" i="4"/>
  <c r="Q195" i="4"/>
  <c r="R195" i="4"/>
  <c r="W195" i="4" s="1"/>
  <c r="S195" i="4"/>
  <c r="X195" i="4" s="1"/>
  <c r="T195" i="4"/>
  <c r="Y195" i="4" s="1"/>
  <c r="B196" i="4"/>
  <c r="C196" i="4"/>
  <c r="F196" i="4"/>
  <c r="G196" i="4"/>
  <c r="M196" i="4" s="1"/>
  <c r="H196" i="4"/>
  <c r="N196" i="4" s="1"/>
  <c r="I196" i="4"/>
  <c r="O196" i="4" s="1"/>
  <c r="J196" i="4"/>
  <c r="Q196" i="4"/>
  <c r="R196" i="4"/>
  <c r="S196" i="4"/>
  <c r="X196" i="4" s="1"/>
  <c r="T196" i="4"/>
  <c r="Y196" i="4" s="1"/>
  <c r="B197" i="4"/>
  <c r="C197" i="4"/>
  <c r="F197" i="4"/>
  <c r="L197" i="4" s="1"/>
  <c r="G197" i="4"/>
  <c r="M197" i="4" s="1"/>
  <c r="H197" i="4"/>
  <c r="I197" i="4"/>
  <c r="O197" i="4" s="1"/>
  <c r="J197" i="4"/>
  <c r="Q197" i="4"/>
  <c r="V197" i="4" s="1"/>
  <c r="R197" i="4"/>
  <c r="S197" i="4"/>
  <c r="X197" i="4" s="1"/>
  <c r="T197" i="4"/>
  <c r="Y197" i="4" s="1"/>
  <c r="B198" i="4"/>
  <c r="C198" i="4"/>
  <c r="F198" i="4"/>
  <c r="G198" i="4"/>
  <c r="M198" i="4" s="1"/>
  <c r="H198" i="4"/>
  <c r="N198" i="4" s="1"/>
  <c r="I198" i="4"/>
  <c r="O198" i="4" s="1"/>
  <c r="J198" i="4"/>
  <c r="Q198" i="4"/>
  <c r="R198" i="4"/>
  <c r="W198" i="4" s="1"/>
  <c r="S198" i="4"/>
  <c r="T198" i="4"/>
  <c r="Y198" i="4" s="1"/>
  <c r="B199" i="4"/>
  <c r="C199" i="4"/>
  <c r="F199" i="4"/>
  <c r="G199" i="4"/>
  <c r="M199" i="4" s="1"/>
  <c r="H199" i="4"/>
  <c r="N199" i="4" s="1"/>
  <c r="I199" i="4"/>
  <c r="O199" i="4" s="1"/>
  <c r="J199" i="4"/>
  <c r="Q199" i="4"/>
  <c r="V199" i="4" s="1"/>
  <c r="R199" i="4"/>
  <c r="W199" i="4" s="1"/>
  <c r="S199" i="4"/>
  <c r="X199" i="4" s="1"/>
  <c r="T199" i="4"/>
  <c r="Y199" i="4" s="1"/>
  <c r="B200" i="4"/>
  <c r="C200" i="4"/>
  <c r="F200" i="4"/>
  <c r="G200" i="4"/>
  <c r="M200" i="4" s="1"/>
  <c r="H200" i="4"/>
  <c r="N200" i="4" s="1"/>
  <c r="I200" i="4"/>
  <c r="O200" i="4" s="1"/>
  <c r="J200" i="4"/>
  <c r="Q200" i="4"/>
  <c r="V200" i="4" s="1"/>
  <c r="R200" i="4"/>
  <c r="W200" i="4" s="1"/>
  <c r="S200" i="4"/>
  <c r="X200" i="4" s="1"/>
  <c r="T200" i="4"/>
  <c r="Y200" i="4" s="1"/>
  <c r="B201" i="4"/>
  <c r="C201" i="4"/>
  <c r="F201" i="4"/>
  <c r="G201" i="4"/>
  <c r="M201" i="4" s="1"/>
  <c r="H201" i="4"/>
  <c r="N201" i="4" s="1"/>
  <c r="I201" i="4"/>
  <c r="O201" i="4" s="1"/>
  <c r="J201" i="4"/>
  <c r="Q201" i="4"/>
  <c r="V201" i="4" s="1"/>
  <c r="R201" i="4"/>
  <c r="S201" i="4"/>
  <c r="X201" i="4" s="1"/>
  <c r="T201" i="4"/>
  <c r="Y201" i="4" s="1"/>
  <c r="B202" i="4"/>
  <c r="C202" i="4"/>
  <c r="F202" i="4"/>
  <c r="G202" i="4"/>
  <c r="M202" i="4" s="1"/>
  <c r="H202" i="4"/>
  <c r="N202" i="4" s="1"/>
  <c r="I202" i="4"/>
  <c r="O202" i="4" s="1"/>
  <c r="J202" i="4"/>
  <c r="Q202" i="4"/>
  <c r="R202" i="4"/>
  <c r="W202" i="4" s="1"/>
  <c r="S202" i="4"/>
  <c r="X202" i="4" s="1"/>
  <c r="T202" i="4"/>
  <c r="Y202" i="4" s="1"/>
  <c r="B203" i="4"/>
  <c r="C203" i="4"/>
  <c r="F203" i="4"/>
  <c r="G203" i="4"/>
  <c r="M203" i="4" s="1"/>
  <c r="H203" i="4"/>
  <c r="N203" i="4" s="1"/>
  <c r="I203" i="4"/>
  <c r="O203" i="4" s="1"/>
  <c r="J203" i="4"/>
  <c r="Q203" i="4"/>
  <c r="V203" i="4" s="1"/>
  <c r="R203" i="4"/>
  <c r="W203" i="4" s="1"/>
  <c r="S203" i="4"/>
  <c r="T203" i="4"/>
  <c r="Y203" i="4" s="1"/>
  <c r="B204" i="4"/>
  <c r="C204" i="4"/>
  <c r="F204" i="4"/>
  <c r="G204" i="4"/>
  <c r="M204" i="4" s="1"/>
  <c r="H204" i="4"/>
  <c r="N204" i="4" s="1"/>
  <c r="I204" i="4"/>
  <c r="O204" i="4" s="1"/>
  <c r="J204" i="4"/>
  <c r="Q204" i="4"/>
  <c r="R204" i="4"/>
  <c r="W204" i="4" s="1"/>
  <c r="S204" i="4"/>
  <c r="X204" i="4" s="1"/>
  <c r="T204" i="4"/>
  <c r="Y204" i="4" s="1"/>
  <c r="B205" i="4"/>
  <c r="C205" i="4"/>
  <c r="F205" i="4"/>
  <c r="L205" i="4" s="1"/>
  <c r="G205" i="4"/>
  <c r="M205" i="4" s="1"/>
  <c r="H205" i="4"/>
  <c r="N205" i="4" s="1"/>
  <c r="I205" i="4"/>
  <c r="O205" i="4" s="1"/>
  <c r="J205" i="4"/>
  <c r="Q205" i="4"/>
  <c r="V205" i="4" s="1"/>
  <c r="R205" i="4"/>
  <c r="W205" i="4" s="1"/>
  <c r="S205" i="4"/>
  <c r="X205" i="4" s="1"/>
  <c r="T205" i="4"/>
  <c r="Y205" i="4" s="1"/>
  <c r="B206" i="4"/>
  <c r="C206" i="4"/>
  <c r="F206" i="4"/>
  <c r="L206" i="4" s="1"/>
  <c r="G206" i="4"/>
  <c r="M206" i="4" s="1"/>
  <c r="H206" i="4"/>
  <c r="N206" i="4" s="1"/>
  <c r="I206" i="4"/>
  <c r="O206" i="4" s="1"/>
  <c r="J206" i="4"/>
  <c r="Q206" i="4"/>
  <c r="R206" i="4"/>
  <c r="W206" i="4" s="1"/>
  <c r="S206" i="4"/>
  <c r="X206" i="4" s="1"/>
  <c r="T206" i="4"/>
  <c r="Y206" i="4" s="1"/>
  <c r="B207" i="4"/>
  <c r="C207" i="4"/>
  <c r="F207" i="4"/>
  <c r="G207" i="4"/>
  <c r="M207" i="4" s="1"/>
  <c r="H207" i="4"/>
  <c r="N207" i="4" s="1"/>
  <c r="I207" i="4"/>
  <c r="O207" i="4" s="1"/>
  <c r="J207" i="4"/>
  <c r="Q207" i="4"/>
  <c r="R207" i="4"/>
  <c r="W207" i="4" s="1"/>
  <c r="S207" i="4"/>
  <c r="X207" i="4" s="1"/>
  <c r="T207" i="4"/>
  <c r="Y207" i="4" s="1"/>
  <c r="B208" i="4"/>
  <c r="C208" i="4"/>
  <c r="F208" i="4"/>
  <c r="L208" i="4" s="1"/>
  <c r="G208" i="4"/>
  <c r="M208" i="4" s="1"/>
  <c r="H208" i="4"/>
  <c r="N208" i="4" s="1"/>
  <c r="I208" i="4"/>
  <c r="O208" i="4" s="1"/>
  <c r="J208" i="4"/>
  <c r="Q208" i="4"/>
  <c r="R208" i="4"/>
  <c r="W208" i="4" s="1"/>
  <c r="S208" i="4"/>
  <c r="T208" i="4"/>
  <c r="Y208" i="4" s="1"/>
  <c r="B209" i="4"/>
  <c r="C209" i="4"/>
  <c r="F209" i="4"/>
  <c r="L209" i="4" s="1"/>
  <c r="G209" i="4"/>
  <c r="H209" i="4"/>
  <c r="N209" i="4" s="1"/>
  <c r="I209" i="4"/>
  <c r="O209" i="4" s="1"/>
  <c r="J209" i="4"/>
  <c r="Q209" i="4"/>
  <c r="R209" i="4"/>
  <c r="W209" i="4" s="1"/>
  <c r="S209" i="4"/>
  <c r="X209" i="4" s="1"/>
  <c r="T209" i="4"/>
  <c r="Y209" i="4" s="1"/>
  <c r="B210" i="4"/>
  <c r="C210" i="4"/>
  <c r="F210" i="4"/>
  <c r="L210" i="4" s="1"/>
  <c r="G210" i="4"/>
  <c r="M210" i="4" s="1"/>
  <c r="H210" i="4"/>
  <c r="I210" i="4"/>
  <c r="O210" i="4" s="1"/>
  <c r="J210" i="4"/>
  <c r="Q210" i="4"/>
  <c r="R210" i="4"/>
  <c r="W210" i="4" s="1"/>
  <c r="S210" i="4"/>
  <c r="X210" i="4" s="1"/>
  <c r="T210" i="4"/>
  <c r="Y210" i="4" s="1"/>
  <c r="B211" i="4"/>
  <c r="C211" i="4"/>
  <c r="F211" i="4"/>
  <c r="G211" i="4"/>
  <c r="M211" i="4" s="1"/>
  <c r="H211" i="4"/>
  <c r="N211" i="4" s="1"/>
  <c r="I211" i="4"/>
  <c r="O211" i="4" s="1"/>
  <c r="J211" i="4"/>
  <c r="Q211" i="4"/>
  <c r="R211" i="4"/>
  <c r="W211" i="4" s="1"/>
  <c r="S211" i="4"/>
  <c r="X211" i="4" s="1"/>
  <c r="T211" i="4"/>
  <c r="Y211" i="4" s="1"/>
  <c r="B212" i="4"/>
  <c r="C212" i="4"/>
  <c r="F212" i="4"/>
  <c r="G212" i="4"/>
  <c r="M212" i="4" s="1"/>
  <c r="H212" i="4"/>
  <c r="N212" i="4" s="1"/>
  <c r="I212" i="4"/>
  <c r="O212" i="4" s="1"/>
  <c r="J212" i="4"/>
  <c r="Q212" i="4"/>
  <c r="R212" i="4"/>
  <c r="W212" i="4" s="1"/>
  <c r="S212" i="4"/>
  <c r="X212" i="4" s="1"/>
  <c r="T212" i="4"/>
  <c r="Y212" i="4" s="1"/>
  <c r="B213" i="4"/>
  <c r="C213" i="4"/>
  <c r="F213" i="4"/>
  <c r="L213" i="4" s="1"/>
  <c r="G213" i="4"/>
  <c r="M213" i="4" s="1"/>
  <c r="H213" i="4"/>
  <c r="N213" i="4" s="1"/>
  <c r="I213" i="4"/>
  <c r="O213" i="4" s="1"/>
  <c r="J213" i="4"/>
  <c r="Q213" i="4"/>
  <c r="V213" i="4" s="1"/>
  <c r="R213" i="4"/>
  <c r="W213" i="4" s="1"/>
  <c r="S213" i="4"/>
  <c r="X213" i="4" s="1"/>
  <c r="T213" i="4"/>
  <c r="Y213" i="4" s="1"/>
  <c r="B214" i="4"/>
  <c r="C214" i="4"/>
  <c r="F214" i="4"/>
  <c r="L214" i="4" s="1"/>
  <c r="G214" i="4"/>
  <c r="M214" i="4" s="1"/>
  <c r="H214" i="4"/>
  <c r="N214" i="4" s="1"/>
  <c r="I214" i="4"/>
  <c r="O214" i="4" s="1"/>
  <c r="J214" i="4"/>
  <c r="Q214" i="4"/>
  <c r="V214" i="4" s="1"/>
  <c r="R214" i="4"/>
  <c r="S214" i="4"/>
  <c r="X214" i="4" s="1"/>
  <c r="T214" i="4"/>
  <c r="Y214" i="4" s="1"/>
  <c r="B215" i="4"/>
  <c r="C215" i="4"/>
  <c r="F215" i="4"/>
  <c r="G215" i="4"/>
  <c r="M215" i="4" s="1"/>
  <c r="H215" i="4"/>
  <c r="N215" i="4" s="1"/>
  <c r="I215" i="4"/>
  <c r="O215" i="4" s="1"/>
  <c r="J215" i="4"/>
  <c r="Q215" i="4"/>
  <c r="R215" i="4"/>
  <c r="W215" i="4" s="1"/>
  <c r="S215" i="4"/>
  <c r="X215" i="4" s="1"/>
  <c r="T215" i="4"/>
  <c r="Y215" i="4" s="1"/>
  <c r="B216" i="4"/>
  <c r="C216" i="4"/>
  <c r="F216" i="4"/>
  <c r="G216" i="4"/>
  <c r="M216" i="4" s="1"/>
  <c r="H216" i="4"/>
  <c r="N216" i="4" s="1"/>
  <c r="I216" i="4"/>
  <c r="O216" i="4" s="1"/>
  <c r="J216" i="4"/>
  <c r="Q216" i="4"/>
  <c r="R216" i="4"/>
  <c r="W216" i="4" s="1"/>
  <c r="S216" i="4"/>
  <c r="X216" i="4" s="1"/>
  <c r="T216" i="4"/>
  <c r="Y216" i="4" s="1"/>
  <c r="B217" i="4"/>
  <c r="C217" i="4"/>
  <c r="F217" i="4"/>
  <c r="L217" i="4" s="1"/>
  <c r="G217" i="4"/>
  <c r="H217" i="4"/>
  <c r="N217" i="4" s="1"/>
  <c r="I217" i="4"/>
  <c r="O217" i="4" s="1"/>
  <c r="J217" i="4"/>
  <c r="Q217" i="4"/>
  <c r="V217" i="4" s="1"/>
  <c r="R217" i="4"/>
  <c r="W217" i="4" s="1"/>
  <c r="S217" i="4"/>
  <c r="T217" i="4"/>
  <c r="Y217" i="4" s="1"/>
  <c r="B218" i="4"/>
  <c r="C218" i="4"/>
  <c r="F218" i="4"/>
  <c r="G218" i="4"/>
  <c r="H218" i="4"/>
  <c r="N218" i="4" s="1"/>
  <c r="I218" i="4"/>
  <c r="O218" i="4" s="1"/>
  <c r="J218" i="4"/>
  <c r="Q218" i="4"/>
  <c r="R218" i="4"/>
  <c r="W218" i="4" s="1"/>
  <c r="S218" i="4"/>
  <c r="X218" i="4" s="1"/>
  <c r="T218" i="4"/>
  <c r="Y218" i="4" s="1"/>
  <c r="B219" i="4"/>
  <c r="C219" i="4"/>
  <c r="F219" i="4"/>
  <c r="L219" i="4" s="1"/>
  <c r="G219" i="4"/>
  <c r="M219" i="4" s="1"/>
  <c r="H219" i="4"/>
  <c r="N219" i="4" s="1"/>
  <c r="I219" i="4"/>
  <c r="O219" i="4" s="1"/>
  <c r="J219" i="4"/>
  <c r="Q219" i="4"/>
  <c r="V219" i="4" s="1"/>
  <c r="R219" i="4"/>
  <c r="W219" i="4" s="1"/>
  <c r="S219" i="4"/>
  <c r="T219" i="4"/>
  <c r="Y219" i="4" s="1"/>
  <c r="B220" i="4"/>
  <c r="C220" i="4"/>
  <c r="F220" i="4"/>
  <c r="G220" i="4"/>
  <c r="M220" i="4" s="1"/>
  <c r="H220" i="4"/>
  <c r="N220" i="4" s="1"/>
  <c r="I220" i="4"/>
  <c r="O220" i="4" s="1"/>
  <c r="J220" i="4"/>
  <c r="Q220" i="4"/>
  <c r="R220" i="4"/>
  <c r="W220" i="4" s="1"/>
  <c r="S220" i="4"/>
  <c r="X220" i="4" s="1"/>
  <c r="T220" i="4"/>
  <c r="Y220" i="4" s="1"/>
  <c r="B221" i="4"/>
  <c r="C221" i="4"/>
  <c r="F221" i="4"/>
  <c r="L221" i="4" s="1"/>
  <c r="G221" i="4"/>
  <c r="M221" i="4" s="1"/>
  <c r="H221" i="4"/>
  <c r="N221" i="4" s="1"/>
  <c r="I221" i="4"/>
  <c r="O221" i="4" s="1"/>
  <c r="J221" i="4"/>
  <c r="Q221" i="4"/>
  <c r="R221" i="4"/>
  <c r="W221" i="4" s="1"/>
  <c r="S221" i="4"/>
  <c r="X221" i="4" s="1"/>
  <c r="T221" i="4"/>
  <c r="Y221" i="4" s="1"/>
  <c r="B222" i="4"/>
  <c r="C222" i="4"/>
  <c r="F222" i="4"/>
  <c r="L222" i="4" s="1"/>
  <c r="G222" i="4"/>
  <c r="M222" i="4" s="1"/>
  <c r="H222" i="4"/>
  <c r="N222" i="4" s="1"/>
  <c r="I222" i="4"/>
  <c r="O222" i="4" s="1"/>
  <c r="J222" i="4"/>
  <c r="Q222" i="4"/>
  <c r="R222" i="4"/>
  <c r="W222" i="4" s="1"/>
  <c r="S222" i="4"/>
  <c r="X222" i="4" s="1"/>
  <c r="T222" i="4"/>
  <c r="Y222" i="4" s="1"/>
  <c r="B223" i="4"/>
  <c r="C223" i="4"/>
  <c r="F223" i="4"/>
  <c r="L223" i="4" s="1"/>
  <c r="G223" i="4"/>
  <c r="M223" i="4" s="1"/>
  <c r="H223" i="4"/>
  <c r="N223" i="4" s="1"/>
  <c r="I223" i="4"/>
  <c r="O223" i="4" s="1"/>
  <c r="J223" i="4"/>
  <c r="Q223" i="4"/>
  <c r="R223" i="4"/>
  <c r="W223" i="4" s="1"/>
  <c r="S223" i="4"/>
  <c r="X223" i="4" s="1"/>
  <c r="T223" i="4"/>
  <c r="Y223" i="4" s="1"/>
  <c r="B224" i="4"/>
  <c r="C224" i="4"/>
  <c r="F224" i="4"/>
  <c r="L224" i="4" s="1"/>
  <c r="G224" i="4"/>
  <c r="M224" i="4" s="1"/>
  <c r="H224" i="4"/>
  <c r="N224" i="4" s="1"/>
  <c r="I224" i="4"/>
  <c r="O224" i="4" s="1"/>
  <c r="J224" i="4"/>
  <c r="Q224" i="4"/>
  <c r="R224" i="4"/>
  <c r="W224" i="4" s="1"/>
  <c r="S224" i="4"/>
  <c r="T224" i="4"/>
  <c r="Y224" i="4" s="1"/>
  <c r="B225" i="4"/>
  <c r="C225" i="4"/>
  <c r="F225" i="4"/>
  <c r="G225" i="4"/>
  <c r="M225" i="4" s="1"/>
  <c r="H225" i="4"/>
  <c r="N225" i="4" s="1"/>
  <c r="I225" i="4"/>
  <c r="O225" i="4" s="1"/>
  <c r="J225" i="4"/>
  <c r="Q225" i="4"/>
  <c r="R225" i="4"/>
  <c r="W225" i="4" s="1"/>
  <c r="S225" i="4"/>
  <c r="X225" i="4" s="1"/>
  <c r="T225" i="4"/>
  <c r="Y225" i="4" s="1"/>
  <c r="B226" i="4"/>
  <c r="C226" i="4"/>
  <c r="F226" i="4"/>
  <c r="G226" i="4"/>
  <c r="M226" i="4" s="1"/>
  <c r="H226" i="4"/>
  <c r="N226" i="4" s="1"/>
  <c r="I226" i="4"/>
  <c r="O226" i="4" s="1"/>
  <c r="J226" i="4"/>
  <c r="Q226" i="4"/>
  <c r="V226" i="4" s="1"/>
  <c r="R226" i="4"/>
  <c r="S226" i="4"/>
  <c r="X226" i="4" s="1"/>
  <c r="T226" i="4"/>
  <c r="Y226" i="4" s="1"/>
  <c r="B227" i="4"/>
  <c r="C227" i="4"/>
  <c r="F227" i="4"/>
  <c r="L227" i="4" s="1"/>
  <c r="G227" i="4"/>
  <c r="M227" i="4" s="1"/>
  <c r="H227" i="4"/>
  <c r="N227" i="4" s="1"/>
  <c r="I227" i="4"/>
  <c r="O227" i="4" s="1"/>
  <c r="J227" i="4"/>
  <c r="Q227" i="4"/>
  <c r="V227" i="4" s="1"/>
  <c r="R227" i="4"/>
  <c r="W227" i="4" s="1"/>
  <c r="S227" i="4"/>
  <c r="T227" i="4"/>
  <c r="Y227" i="4" s="1"/>
  <c r="B228" i="4"/>
  <c r="C228" i="4"/>
  <c r="F228" i="4"/>
  <c r="G228" i="4"/>
  <c r="M228" i="4" s="1"/>
  <c r="H228" i="4"/>
  <c r="N228" i="4" s="1"/>
  <c r="I228" i="4"/>
  <c r="O228" i="4" s="1"/>
  <c r="J228" i="4"/>
  <c r="Q228" i="4"/>
  <c r="R228" i="4"/>
  <c r="W228" i="4" s="1"/>
  <c r="S228" i="4"/>
  <c r="X228" i="4" s="1"/>
  <c r="T228" i="4"/>
  <c r="Y228" i="4" s="1"/>
  <c r="B229" i="4"/>
  <c r="C229" i="4"/>
  <c r="F229" i="4"/>
  <c r="L229" i="4" s="1"/>
  <c r="G229" i="4"/>
  <c r="M229" i="4" s="1"/>
  <c r="H229" i="4"/>
  <c r="N229" i="4" s="1"/>
  <c r="I229" i="4"/>
  <c r="O229" i="4" s="1"/>
  <c r="J229" i="4"/>
  <c r="Q229" i="4"/>
  <c r="V229" i="4" s="1"/>
  <c r="R229" i="4"/>
  <c r="W229" i="4" s="1"/>
  <c r="S229" i="4"/>
  <c r="X229" i="4" s="1"/>
  <c r="T229" i="4"/>
  <c r="Y229" i="4" s="1"/>
  <c r="B230" i="4"/>
  <c r="C230" i="4"/>
  <c r="F230" i="4"/>
  <c r="G230" i="4"/>
  <c r="H230" i="4"/>
  <c r="N230" i="4" s="1"/>
  <c r="I230" i="4"/>
  <c r="O230" i="4" s="1"/>
  <c r="J230" i="4"/>
  <c r="Q230" i="4"/>
  <c r="R230" i="4"/>
  <c r="W230" i="4" s="1"/>
  <c r="S230" i="4"/>
  <c r="X230" i="4" s="1"/>
  <c r="T230" i="4"/>
  <c r="Y230" i="4" s="1"/>
  <c r="B231" i="4"/>
  <c r="C231" i="4"/>
  <c r="F231" i="4"/>
  <c r="L231" i="4" s="1"/>
  <c r="G231" i="4"/>
  <c r="H231" i="4"/>
  <c r="N231" i="4" s="1"/>
  <c r="I231" i="4"/>
  <c r="O231" i="4" s="1"/>
  <c r="J231" i="4"/>
  <c r="Q231" i="4"/>
  <c r="V231" i="4" s="1"/>
  <c r="R231" i="4"/>
  <c r="S231" i="4"/>
  <c r="X231" i="4" s="1"/>
  <c r="T231" i="4"/>
  <c r="Y231" i="4" s="1"/>
  <c r="B232" i="4"/>
  <c r="C232" i="4"/>
  <c r="F232" i="4"/>
  <c r="L232" i="4" s="1"/>
  <c r="G232" i="4"/>
  <c r="M232" i="4" s="1"/>
  <c r="H232" i="4"/>
  <c r="N232" i="4" s="1"/>
  <c r="I232" i="4"/>
  <c r="O232" i="4" s="1"/>
  <c r="J232" i="4"/>
  <c r="Q232" i="4"/>
  <c r="V232" i="4" s="1"/>
  <c r="R232" i="4"/>
  <c r="W232" i="4" s="1"/>
  <c r="S232" i="4"/>
  <c r="X232" i="4" s="1"/>
  <c r="T232" i="4"/>
  <c r="Y232" i="4" s="1"/>
  <c r="B233" i="4"/>
  <c r="C233" i="4"/>
  <c r="F233" i="4"/>
  <c r="L233" i="4" s="1"/>
  <c r="G233" i="4"/>
  <c r="M233" i="4" s="1"/>
  <c r="H233" i="4"/>
  <c r="I233" i="4"/>
  <c r="O233" i="4" s="1"/>
  <c r="J233" i="4"/>
  <c r="Q233" i="4"/>
  <c r="R233" i="4"/>
  <c r="W233" i="4" s="1"/>
  <c r="S233" i="4"/>
  <c r="X233" i="4" s="1"/>
  <c r="T233" i="4"/>
  <c r="Y233" i="4" s="1"/>
  <c r="B234" i="4"/>
  <c r="C234" i="4"/>
  <c r="F234" i="4"/>
  <c r="L234" i="4" s="1"/>
  <c r="G234" i="4"/>
  <c r="M234" i="4" s="1"/>
  <c r="H234" i="4"/>
  <c r="I234" i="4"/>
  <c r="O234" i="4" s="1"/>
  <c r="J234" i="4"/>
  <c r="Q234" i="4"/>
  <c r="R234" i="4"/>
  <c r="W234" i="4" s="1"/>
  <c r="S234" i="4"/>
  <c r="X234" i="4" s="1"/>
  <c r="T234" i="4"/>
  <c r="Y234" i="4" s="1"/>
  <c r="B235" i="4"/>
  <c r="C235" i="4"/>
  <c r="F235" i="4"/>
  <c r="L235" i="4" s="1"/>
  <c r="G235" i="4"/>
  <c r="M235" i="4" s="1"/>
  <c r="H235" i="4"/>
  <c r="N235" i="4" s="1"/>
  <c r="I235" i="4"/>
  <c r="O235" i="4" s="1"/>
  <c r="J235" i="4"/>
  <c r="Q235" i="4"/>
  <c r="R235" i="4"/>
  <c r="W235" i="4" s="1"/>
  <c r="S235" i="4"/>
  <c r="X235" i="4" s="1"/>
  <c r="T235" i="4"/>
  <c r="Y235" i="4" s="1"/>
  <c r="B236" i="4"/>
  <c r="C236" i="4"/>
  <c r="F236" i="4"/>
  <c r="L236" i="4" s="1"/>
  <c r="G236" i="4"/>
  <c r="M236" i="4" s="1"/>
  <c r="H236" i="4"/>
  <c r="N236" i="4" s="1"/>
  <c r="I236" i="4"/>
  <c r="O236" i="4" s="1"/>
  <c r="J236" i="4"/>
  <c r="Q236" i="4"/>
  <c r="R236" i="4"/>
  <c r="S236" i="4"/>
  <c r="X236" i="4" s="1"/>
  <c r="T236" i="4"/>
  <c r="Y236" i="4" s="1"/>
  <c r="B237" i="4"/>
  <c r="C237" i="4"/>
  <c r="F237" i="4"/>
  <c r="L237" i="4" s="1"/>
  <c r="G237" i="4"/>
  <c r="M237" i="4" s="1"/>
  <c r="H237" i="4"/>
  <c r="N237" i="4" s="1"/>
  <c r="I237" i="4"/>
  <c r="O237" i="4" s="1"/>
  <c r="J237" i="4"/>
  <c r="Q237" i="4"/>
  <c r="R237" i="4"/>
  <c r="W237" i="4" s="1"/>
  <c r="S237" i="4"/>
  <c r="X237" i="4" s="1"/>
  <c r="T237" i="4"/>
  <c r="Y237" i="4" s="1"/>
  <c r="B238" i="4"/>
  <c r="C238" i="4"/>
  <c r="F238" i="4"/>
  <c r="G238" i="4"/>
  <c r="H238" i="4"/>
  <c r="N238" i="4" s="1"/>
  <c r="I238" i="4"/>
  <c r="O238" i="4" s="1"/>
  <c r="J238" i="4"/>
  <c r="Q238" i="4"/>
  <c r="R238" i="4"/>
  <c r="W238" i="4" s="1"/>
  <c r="S238" i="4"/>
  <c r="X238" i="4" s="1"/>
  <c r="T238" i="4"/>
  <c r="Y238" i="4" s="1"/>
  <c r="B239" i="4"/>
  <c r="C239" i="4"/>
  <c r="F239" i="4"/>
  <c r="G239" i="4"/>
  <c r="M239" i="4" s="1"/>
  <c r="H239" i="4"/>
  <c r="N239" i="4" s="1"/>
  <c r="I239" i="4"/>
  <c r="O239" i="4" s="1"/>
  <c r="J239" i="4"/>
  <c r="Q239" i="4"/>
  <c r="R239" i="4"/>
  <c r="W239" i="4" s="1"/>
  <c r="S239" i="4"/>
  <c r="X239" i="4" s="1"/>
  <c r="T239" i="4"/>
  <c r="Y239" i="4" s="1"/>
  <c r="B240" i="4"/>
  <c r="C240" i="4"/>
  <c r="F240" i="4"/>
  <c r="G240" i="4"/>
  <c r="M240" i="4" s="1"/>
  <c r="H240" i="4"/>
  <c r="N240" i="4" s="1"/>
  <c r="I240" i="4"/>
  <c r="O240" i="4" s="1"/>
  <c r="J240" i="4"/>
  <c r="Q240" i="4"/>
  <c r="V240" i="4" s="1"/>
  <c r="R240" i="4"/>
  <c r="W240" i="4" s="1"/>
  <c r="S240" i="4"/>
  <c r="X240" i="4" s="1"/>
  <c r="T240" i="4"/>
  <c r="Y240" i="4" s="1"/>
  <c r="B241" i="4"/>
  <c r="C241" i="4"/>
  <c r="F241" i="4"/>
  <c r="G241" i="4"/>
  <c r="M241" i="4" s="1"/>
  <c r="H241" i="4"/>
  <c r="N241" i="4" s="1"/>
  <c r="I241" i="4"/>
  <c r="O241" i="4" s="1"/>
  <c r="J241" i="4"/>
  <c r="Q241" i="4"/>
  <c r="V241" i="4" s="1"/>
  <c r="R241" i="4"/>
  <c r="W241" i="4" s="1"/>
  <c r="S241" i="4"/>
  <c r="X241" i="4" s="1"/>
  <c r="T241" i="4"/>
  <c r="Y241" i="4" s="1"/>
  <c r="B242" i="4"/>
  <c r="C242" i="4"/>
  <c r="F242" i="4"/>
  <c r="G242" i="4"/>
  <c r="M242" i="4" s="1"/>
  <c r="H242" i="4"/>
  <c r="N242" i="4" s="1"/>
  <c r="I242" i="4"/>
  <c r="O242" i="4" s="1"/>
  <c r="J242" i="4"/>
  <c r="Q242" i="4"/>
  <c r="V242" i="4" s="1"/>
  <c r="R242" i="4"/>
  <c r="W242" i="4" s="1"/>
  <c r="S242" i="4"/>
  <c r="X242" i="4" s="1"/>
  <c r="T242" i="4"/>
  <c r="Y242" i="4" s="1"/>
  <c r="B243" i="4"/>
  <c r="C243" i="4"/>
  <c r="F243" i="4"/>
  <c r="L243" i="4" s="1"/>
  <c r="G243" i="4"/>
  <c r="M243" i="4" s="1"/>
  <c r="H243" i="4"/>
  <c r="N243" i="4" s="1"/>
  <c r="I243" i="4"/>
  <c r="O243" i="4" s="1"/>
  <c r="J243" i="4"/>
  <c r="Q243" i="4"/>
  <c r="R243" i="4"/>
  <c r="W243" i="4" s="1"/>
  <c r="S243" i="4"/>
  <c r="X243" i="4" s="1"/>
  <c r="T243" i="4"/>
  <c r="Y243" i="4" s="1"/>
  <c r="B244" i="4"/>
  <c r="C244" i="4"/>
  <c r="F244" i="4"/>
  <c r="G244" i="4"/>
  <c r="M244" i="4" s="1"/>
  <c r="H244" i="4"/>
  <c r="N244" i="4" s="1"/>
  <c r="I244" i="4"/>
  <c r="O244" i="4" s="1"/>
  <c r="J244" i="4"/>
  <c r="Q244" i="4"/>
  <c r="R244" i="4"/>
  <c r="W244" i="4" s="1"/>
  <c r="S244" i="4"/>
  <c r="X244" i="4" s="1"/>
  <c r="T244" i="4"/>
  <c r="Y244" i="4" s="1"/>
  <c r="B245" i="4"/>
  <c r="C245" i="4"/>
  <c r="F245" i="4"/>
  <c r="L245" i="4" s="1"/>
  <c r="G245" i="4"/>
  <c r="M245" i="4" s="1"/>
  <c r="H245" i="4"/>
  <c r="N245" i="4" s="1"/>
  <c r="I245" i="4"/>
  <c r="O245" i="4" s="1"/>
  <c r="J245" i="4"/>
  <c r="Q245" i="4"/>
  <c r="R245" i="4"/>
  <c r="W245" i="4" s="1"/>
  <c r="S245" i="4"/>
  <c r="X245" i="4" s="1"/>
  <c r="T245" i="4"/>
  <c r="Y245" i="4" s="1"/>
  <c r="B246" i="4"/>
  <c r="C246" i="4"/>
  <c r="F246" i="4"/>
  <c r="L246" i="4" s="1"/>
  <c r="G246" i="4"/>
  <c r="M246" i="4" s="1"/>
  <c r="H246" i="4"/>
  <c r="N246" i="4" s="1"/>
  <c r="I246" i="4"/>
  <c r="O246" i="4" s="1"/>
  <c r="J246" i="4"/>
  <c r="Q246" i="4"/>
  <c r="R246" i="4"/>
  <c r="W246" i="4" s="1"/>
  <c r="S246" i="4"/>
  <c r="X246" i="4" s="1"/>
  <c r="T246" i="4"/>
  <c r="Y246" i="4" s="1"/>
  <c r="B247" i="4"/>
  <c r="C247" i="4"/>
  <c r="F247" i="4"/>
  <c r="G247" i="4"/>
  <c r="M247" i="4" s="1"/>
  <c r="H247" i="4"/>
  <c r="N247" i="4" s="1"/>
  <c r="I247" i="4"/>
  <c r="O247" i="4" s="1"/>
  <c r="J247" i="4"/>
  <c r="Q247" i="4"/>
  <c r="V247" i="4" s="1"/>
  <c r="R247" i="4"/>
  <c r="W247" i="4" s="1"/>
  <c r="S247" i="4"/>
  <c r="X247" i="4" s="1"/>
  <c r="T247" i="4"/>
  <c r="Y247" i="4" s="1"/>
  <c r="B248" i="4"/>
  <c r="C248" i="4"/>
  <c r="F248" i="4"/>
  <c r="G248" i="4"/>
  <c r="M248" i="4" s="1"/>
  <c r="H248" i="4"/>
  <c r="N248" i="4" s="1"/>
  <c r="I248" i="4"/>
  <c r="O248" i="4" s="1"/>
  <c r="J248" i="4"/>
  <c r="Q248" i="4"/>
  <c r="R248" i="4"/>
  <c r="W248" i="4" s="1"/>
  <c r="S248" i="4"/>
  <c r="X248" i="4" s="1"/>
  <c r="T248" i="4"/>
  <c r="Y248" i="4" s="1"/>
  <c r="B249" i="4"/>
  <c r="C249" i="4"/>
  <c r="F249" i="4"/>
  <c r="L249" i="4" s="1"/>
  <c r="G249" i="4"/>
  <c r="M249" i="4" s="1"/>
  <c r="H249" i="4"/>
  <c r="N249" i="4" s="1"/>
  <c r="I249" i="4"/>
  <c r="O249" i="4" s="1"/>
  <c r="J249" i="4"/>
  <c r="Q249" i="4"/>
  <c r="R249" i="4"/>
  <c r="S249" i="4"/>
  <c r="X249" i="4" s="1"/>
  <c r="T249" i="4"/>
  <c r="Y249" i="4" s="1"/>
  <c r="B250" i="4"/>
  <c r="C250" i="4"/>
  <c r="F250" i="4"/>
  <c r="L250" i="4" s="1"/>
  <c r="G250" i="4"/>
  <c r="M250" i="4" s="1"/>
  <c r="H250" i="4"/>
  <c r="N250" i="4" s="1"/>
  <c r="I250" i="4"/>
  <c r="O250" i="4" s="1"/>
  <c r="J250" i="4"/>
  <c r="Q250" i="4"/>
  <c r="R250" i="4"/>
  <c r="W250" i="4" s="1"/>
  <c r="S250" i="4"/>
  <c r="X250" i="4" s="1"/>
  <c r="T250" i="4"/>
  <c r="Y250" i="4" s="1"/>
  <c r="B251" i="4"/>
  <c r="C251" i="4"/>
  <c r="F251" i="4"/>
  <c r="L251" i="4" s="1"/>
  <c r="G251" i="4"/>
  <c r="M251" i="4" s="1"/>
  <c r="H251" i="4"/>
  <c r="N251" i="4" s="1"/>
  <c r="I251" i="4"/>
  <c r="O251" i="4" s="1"/>
  <c r="J251" i="4"/>
  <c r="Q251" i="4"/>
  <c r="R251" i="4"/>
  <c r="S251" i="4"/>
  <c r="X251" i="4" s="1"/>
  <c r="T251" i="4"/>
  <c r="Y251" i="4" s="1"/>
  <c r="B252" i="4"/>
  <c r="C252" i="4"/>
  <c r="F252" i="4"/>
  <c r="G252" i="4"/>
  <c r="M252" i="4" s="1"/>
  <c r="H252" i="4"/>
  <c r="N252" i="4" s="1"/>
  <c r="I252" i="4"/>
  <c r="O252" i="4" s="1"/>
  <c r="J252" i="4"/>
  <c r="Q252" i="4"/>
  <c r="R252" i="4"/>
  <c r="W252" i="4" s="1"/>
  <c r="S252" i="4"/>
  <c r="X252" i="4" s="1"/>
  <c r="T252" i="4"/>
  <c r="Y252" i="4" s="1"/>
  <c r="B253" i="4"/>
  <c r="C253" i="4"/>
  <c r="F253" i="4"/>
  <c r="G253" i="4"/>
  <c r="M253" i="4" s="1"/>
  <c r="H253" i="4"/>
  <c r="N253" i="4" s="1"/>
  <c r="I253" i="4"/>
  <c r="O253" i="4" s="1"/>
  <c r="J253" i="4"/>
  <c r="Q253" i="4"/>
  <c r="R253" i="4"/>
  <c r="W253" i="4" s="1"/>
  <c r="S253" i="4"/>
  <c r="X253" i="4" s="1"/>
  <c r="T253" i="4"/>
  <c r="Y253" i="4" s="1"/>
  <c r="B254" i="4"/>
  <c r="C254" i="4"/>
  <c r="F254" i="4"/>
  <c r="G254" i="4"/>
  <c r="M254" i="4" s="1"/>
  <c r="H254" i="4"/>
  <c r="N254" i="4" s="1"/>
  <c r="I254" i="4"/>
  <c r="O254" i="4" s="1"/>
  <c r="J254" i="4"/>
  <c r="Q254" i="4"/>
  <c r="R254" i="4"/>
  <c r="S254" i="4"/>
  <c r="X254" i="4" s="1"/>
  <c r="T254" i="4"/>
  <c r="Y254" i="4" s="1"/>
  <c r="B255" i="4"/>
  <c r="C255" i="4"/>
  <c r="F255" i="4"/>
  <c r="G255" i="4"/>
  <c r="M255" i="4" s="1"/>
  <c r="H255" i="4"/>
  <c r="N255" i="4" s="1"/>
  <c r="I255" i="4"/>
  <c r="O255" i="4" s="1"/>
  <c r="J255" i="4"/>
  <c r="Q255" i="4"/>
  <c r="R255" i="4"/>
  <c r="W255" i="4" s="1"/>
  <c r="S255" i="4"/>
  <c r="X255" i="4" s="1"/>
  <c r="T255" i="4"/>
  <c r="Y255" i="4" s="1"/>
  <c r="B256" i="4"/>
  <c r="C256" i="4"/>
  <c r="F256" i="4"/>
  <c r="L256" i="4" s="1"/>
  <c r="G256" i="4"/>
  <c r="M256" i="4" s="1"/>
  <c r="H256" i="4"/>
  <c r="N256" i="4" s="1"/>
  <c r="I256" i="4"/>
  <c r="O256" i="4" s="1"/>
  <c r="J256" i="4"/>
  <c r="Q256" i="4"/>
  <c r="V256" i="4" s="1"/>
  <c r="R256" i="4"/>
  <c r="W256" i="4" s="1"/>
  <c r="S256" i="4"/>
  <c r="T256" i="4"/>
  <c r="Y256" i="4" s="1"/>
  <c r="B257" i="4"/>
  <c r="C257" i="4"/>
  <c r="F257" i="4"/>
  <c r="G257" i="4"/>
  <c r="M257" i="4" s="1"/>
  <c r="H257" i="4"/>
  <c r="N257" i="4" s="1"/>
  <c r="I257" i="4"/>
  <c r="O257" i="4" s="1"/>
  <c r="J257" i="4"/>
  <c r="Q257" i="4"/>
  <c r="V257" i="4" s="1"/>
  <c r="R257" i="4"/>
  <c r="W257" i="4" s="1"/>
  <c r="S257" i="4"/>
  <c r="X257" i="4" s="1"/>
  <c r="T257" i="4"/>
  <c r="Y257" i="4" s="1"/>
  <c r="B258" i="4"/>
  <c r="C258" i="4"/>
  <c r="F258" i="4"/>
  <c r="L258" i="4" s="1"/>
  <c r="G258" i="4"/>
  <c r="H258" i="4"/>
  <c r="N258" i="4" s="1"/>
  <c r="I258" i="4"/>
  <c r="O258" i="4" s="1"/>
  <c r="J258" i="4"/>
  <c r="Q258" i="4"/>
  <c r="V258" i="4" s="1"/>
  <c r="R258" i="4"/>
  <c r="W258" i="4" s="1"/>
  <c r="S258" i="4"/>
  <c r="X258" i="4" s="1"/>
  <c r="T258" i="4"/>
  <c r="Y258" i="4" s="1"/>
  <c r="B259" i="4"/>
  <c r="C259" i="4"/>
  <c r="F259" i="4"/>
  <c r="L259" i="4" s="1"/>
  <c r="G259" i="4"/>
  <c r="M259" i="4" s="1"/>
  <c r="H259" i="4"/>
  <c r="N259" i="4" s="1"/>
  <c r="I259" i="4"/>
  <c r="O259" i="4" s="1"/>
  <c r="J259" i="4"/>
  <c r="Q259" i="4"/>
  <c r="R259" i="4"/>
  <c r="W259" i="4" s="1"/>
  <c r="S259" i="4"/>
  <c r="X259" i="4" s="1"/>
  <c r="T259" i="4"/>
  <c r="Y259" i="4" s="1"/>
  <c r="B260" i="4"/>
  <c r="C260" i="4"/>
  <c r="F260" i="4"/>
  <c r="G260" i="4"/>
  <c r="M260" i="4" s="1"/>
  <c r="H260" i="4"/>
  <c r="N260" i="4" s="1"/>
  <c r="I260" i="4"/>
  <c r="O260" i="4" s="1"/>
  <c r="J260" i="4"/>
  <c r="Q260" i="4"/>
  <c r="R260" i="4"/>
  <c r="W260" i="4" s="1"/>
  <c r="S260" i="4"/>
  <c r="X260" i="4" s="1"/>
  <c r="T260" i="4"/>
  <c r="Y260" i="4" s="1"/>
  <c r="B261" i="4"/>
  <c r="C261" i="4"/>
  <c r="F261" i="4"/>
  <c r="L261" i="4" s="1"/>
  <c r="G261" i="4"/>
  <c r="M261" i="4" s="1"/>
  <c r="H261" i="4"/>
  <c r="N261" i="4" s="1"/>
  <c r="I261" i="4"/>
  <c r="O261" i="4" s="1"/>
  <c r="J261" i="4"/>
  <c r="Q261" i="4"/>
  <c r="R261" i="4"/>
  <c r="W261" i="4" s="1"/>
  <c r="S261" i="4"/>
  <c r="X261" i="4" s="1"/>
  <c r="T261" i="4"/>
  <c r="Y261" i="4" s="1"/>
  <c r="B262" i="4"/>
  <c r="C262" i="4"/>
  <c r="F262" i="4"/>
  <c r="L262" i="4" s="1"/>
  <c r="G262" i="4"/>
  <c r="M262" i="4" s="1"/>
  <c r="H262" i="4"/>
  <c r="I262" i="4"/>
  <c r="O262" i="4" s="1"/>
  <c r="J262" i="4"/>
  <c r="Q262" i="4"/>
  <c r="R262" i="4"/>
  <c r="W262" i="4" s="1"/>
  <c r="S262" i="4"/>
  <c r="X262" i="4" s="1"/>
  <c r="T262" i="4"/>
  <c r="Y262" i="4" s="1"/>
  <c r="B263" i="4"/>
  <c r="C263" i="4"/>
  <c r="F263" i="4"/>
  <c r="L263" i="4" s="1"/>
  <c r="G263" i="4"/>
  <c r="M263" i="4" s="1"/>
  <c r="H263" i="4"/>
  <c r="N263" i="4" s="1"/>
  <c r="I263" i="4"/>
  <c r="O263" i="4" s="1"/>
  <c r="J263" i="4"/>
  <c r="Q263" i="4"/>
  <c r="R263" i="4"/>
  <c r="W263" i="4" s="1"/>
  <c r="S263" i="4"/>
  <c r="X263" i="4" s="1"/>
  <c r="T263" i="4"/>
  <c r="Y263" i="4" s="1"/>
  <c r="B264" i="4"/>
  <c r="C264" i="4"/>
  <c r="F264" i="4"/>
  <c r="G264" i="4"/>
  <c r="M264" i="4" s="1"/>
  <c r="H264" i="4"/>
  <c r="N264" i="4" s="1"/>
  <c r="I264" i="4"/>
  <c r="O264" i="4" s="1"/>
  <c r="J264" i="4"/>
  <c r="Q264" i="4"/>
  <c r="R264" i="4"/>
  <c r="W264" i="4" s="1"/>
  <c r="S264" i="4"/>
  <c r="T264" i="4"/>
  <c r="Y264" i="4" s="1"/>
  <c r="B265" i="4"/>
  <c r="C265" i="4"/>
  <c r="F265" i="4"/>
  <c r="L265" i="4" s="1"/>
  <c r="G265" i="4"/>
  <c r="M265" i="4" s="1"/>
  <c r="H265" i="4"/>
  <c r="N265" i="4" s="1"/>
  <c r="I265" i="4"/>
  <c r="O265" i="4" s="1"/>
  <c r="J265" i="4"/>
  <c r="Q265" i="4"/>
  <c r="R265" i="4"/>
  <c r="W265" i="4" s="1"/>
  <c r="S265" i="4"/>
  <c r="T265" i="4"/>
  <c r="Y265" i="4" s="1"/>
  <c r="B266" i="4"/>
  <c r="C266" i="4"/>
  <c r="F266" i="4"/>
  <c r="G266" i="4"/>
  <c r="M266" i="4" s="1"/>
  <c r="H266" i="4"/>
  <c r="N266" i="4" s="1"/>
  <c r="I266" i="4"/>
  <c r="O266" i="4" s="1"/>
  <c r="J266" i="4"/>
  <c r="Q266" i="4"/>
  <c r="R266" i="4"/>
  <c r="W266" i="4" s="1"/>
  <c r="S266" i="4"/>
  <c r="X266" i="4" s="1"/>
  <c r="T266" i="4"/>
  <c r="Y266" i="4" s="1"/>
  <c r="B267" i="4"/>
  <c r="C267" i="4"/>
  <c r="F267" i="4"/>
  <c r="G267" i="4"/>
  <c r="M267" i="4" s="1"/>
  <c r="H267" i="4"/>
  <c r="N267" i="4" s="1"/>
  <c r="J267" i="4"/>
  <c r="Q267" i="4"/>
  <c r="R267" i="4"/>
  <c r="W267" i="4" s="1"/>
  <c r="S267" i="4"/>
  <c r="X267" i="4" s="1"/>
  <c r="T267" i="4"/>
  <c r="Y267" i="4" s="1"/>
  <c r="B268" i="4"/>
  <c r="C268" i="4"/>
  <c r="F268" i="4"/>
  <c r="G268" i="4"/>
  <c r="M268" i="4" s="1"/>
  <c r="H268" i="4"/>
  <c r="N268" i="4" s="1"/>
  <c r="I268" i="4"/>
  <c r="O268" i="4" s="1"/>
  <c r="J268" i="4"/>
  <c r="Q268" i="4"/>
  <c r="V268" i="4" s="1"/>
  <c r="R268" i="4"/>
  <c r="W268" i="4" s="1"/>
  <c r="S268" i="4"/>
  <c r="X268" i="4" s="1"/>
  <c r="T268" i="4"/>
  <c r="Y268" i="4" s="1"/>
  <c r="B269" i="4"/>
  <c r="C269" i="4"/>
  <c r="F269" i="4"/>
  <c r="G269" i="4"/>
  <c r="M269" i="4" s="1"/>
  <c r="H269" i="4"/>
  <c r="N269" i="4" s="1"/>
  <c r="I269" i="4"/>
  <c r="O269" i="4" s="1"/>
  <c r="J269" i="4"/>
  <c r="Q269" i="4"/>
  <c r="V269" i="4" s="1"/>
  <c r="R269" i="4"/>
  <c r="W269" i="4" s="1"/>
  <c r="S269" i="4"/>
  <c r="X269" i="4" s="1"/>
  <c r="T269" i="4"/>
  <c r="Y269" i="4" s="1"/>
  <c r="B270" i="4"/>
  <c r="C270" i="4"/>
  <c r="F270" i="4"/>
  <c r="G270" i="4"/>
  <c r="M270" i="4" s="1"/>
  <c r="H270" i="4"/>
  <c r="N270" i="4" s="1"/>
  <c r="I270" i="4"/>
  <c r="O270" i="4" s="1"/>
  <c r="J270" i="4"/>
  <c r="Q270" i="4"/>
  <c r="V270" i="4" s="1"/>
  <c r="R270" i="4"/>
  <c r="S270" i="4"/>
  <c r="X270" i="4" s="1"/>
  <c r="T270" i="4"/>
  <c r="Y270" i="4" s="1"/>
  <c r="B271" i="4"/>
  <c r="C271" i="4"/>
  <c r="F271" i="4"/>
  <c r="L271" i="4" s="1"/>
  <c r="G271" i="4"/>
  <c r="M271" i="4" s="1"/>
  <c r="H271" i="4"/>
  <c r="I271" i="4"/>
  <c r="O271" i="4" s="1"/>
  <c r="J271" i="4"/>
  <c r="Q271" i="4"/>
  <c r="R271" i="4"/>
  <c r="W271" i="4" s="1"/>
  <c r="S271" i="4"/>
  <c r="X271" i="4" s="1"/>
  <c r="T271" i="4"/>
  <c r="Y271" i="4" s="1"/>
  <c r="B272" i="4"/>
  <c r="C272" i="4"/>
  <c r="F272" i="4"/>
  <c r="L272" i="4" s="1"/>
  <c r="G272" i="4"/>
  <c r="M272" i="4" s="1"/>
  <c r="H272" i="4"/>
  <c r="N272" i="4" s="1"/>
  <c r="I272" i="4"/>
  <c r="O272" i="4" s="1"/>
  <c r="J272" i="4"/>
  <c r="Q272" i="4"/>
  <c r="R272" i="4"/>
  <c r="W272" i="4" s="1"/>
  <c r="S272" i="4"/>
  <c r="X272" i="4" s="1"/>
  <c r="T272" i="4"/>
  <c r="Y272" i="4" s="1"/>
  <c r="B273" i="4"/>
  <c r="C273" i="4"/>
  <c r="F273" i="4"/>
  <c r="L273" i="4" s="1"/>
  <c r="G273" i="4"/>
  <c r="M273" i="4" s="1"/>
  <c r="H273" i="4"/>
  <c r="N273" i="4" s="1"/>
  <c r="I273" i="4"/>
  <c r="O273" i="4" s="1"/>
  <c r="J273" i="4"/>
  <c r="Q273" i="4"/>
  <c r="R273" i="4"/>
  <c r="W273" i="4" s="1"/>
  <c r="S273" i="4"/>
  <c r="X273" i="4" s="1"/>
  <c r="T273" i="4"/>
  <c r="Y273" i="4" s="1"/>
  <c r="B274" i="4"/>
  <c r="C274" i="4"/>
  <c r="F274" i="4"/>
  <c r="L274" i="4" s="1"/>
  <c r="G274" i="4"/>
  <c r="M274" i="4" s="1"/>
  <c r="H274" i="4"/>
  <c r="I274" i="4"/>
  <c r="O274" i="4" s="1"/>
  <c r="J274" i="4"/>
  <c r="Q274" i="4"/>
  <c r="R274" i="4"/>
  <c r="W274" i="4" s="1"/>
  <c r="S274" i="4"/>
  <c r="X274" i="4" s="1"/>
  <c r="T274" i="4"/>
  <c r="Y274" i="4" s="1"/>
  <c r="B275" i="4"/>
  <c r="C275" i="4"/>
  <c r="F275" i="4"/>
  <c r="L275" i="4" s="1"/>
  <c r="G275" i="4"/>
  <c r="H275" i="4"/>
  <c r="N275" i="4" s="1"/>
  <c r="I275" i="4"/>
  <c r="O275" i="4" s="1"/>
  <c r="J275" i="4"/>
  <c r="Q275" i="4"/>
  <c r="V275" i="4" s="1"/>
  <c r="R275" i="4"/>
  <c r="W275" i="4" s="1"/>
  <c r="S275" i="4"/>
  <c r="T275" i="4"/>
  <c r="Y275" i="4" s="1"/>
  <c r="B276" i="4"/>
  <c r="C276" i="4"/>
  <c r="F276" i="4"/>
  <c r="L276" i="4" s="1"/>
  <c r="G276" i="4"/>
  <c r="M276" i="4" s="1"/>
  <c r="H276" i="4"/>
  <c r="N276" i="4" s="1"/>
  <c r="I276" i="4"/>
  <c r="O276" i="4" s="1"/>
  <c r="J276" i="4"/>
  <c r="Q276" i="4"/>
  <c r="V276" i="4" s="1"/>
  <c r="R276" i="4"/>
  <c r="W276" i="4" s="1"/>
  <c r="S276" i="4"/>
  <c r="X276" i="4" s="1"/>
  <c r="T276" i="4"/>
  <c r="Y276" i="4" s="1"/>
  <c r="B277" i="4"/>
  <c r="C277" i="4"/>
  <c r="F277" i="4"/>
  <c r="L277" i="4" s="1"/>
  <c r="G277" i="4"/>
  <c r="M277" i="4" s="1"/>
  <c r="H277" i="4"/>
  <c r="N277" i="4" s="1"/>
  <c r="I277" i="4"/>
  <c r="O277" i="4" s="1"/>
  <c r="J277" i="4"/>
  <c r="Q277" i="4"/>
  <c r="R277" i="4"/>
  <c r="W277" i="4" s="1"/>
  <c r="S277" i="4"/>
  <c r="X277" i="4" s="1"/>
  <c r="T277" i="4"/>
  <c r="Y277" i="4" s="1"/>
  <c r="B278" i="4"/>
  <c r="C278" i="4"/>
  <c r="F278" i="4"/>
  <c r="G278" i="4"/>
  <c r="M278" i="4" s="1"/>
  <c r="H278" i="4"/>
  <c r="N278" i="4" s="1"/>
  <c r="I278" i="4"/>
  <c r="O278" i="4" s="1"/>
  <c r="J278" i="4"/>
  <c r="Q278" i="4"/>
  <c r="R278" i="4"/>
  <c r="W278" i="4" s="1"/>
  <c r="S278" i="4"/>
  <c r="X278" i="4" s="1"/>
  <c r="T278" i="4"/>
  <c r="Y278" i="4" s="1"/>
  <c r="B279" i="4"/>
  <c r="C279" i="4"/>
  <c r="F279" i="4"/>
  <c r="G279" i="4"/>
  <c r="M279" i="4" s="1"/>
  <c r="H279" i="4"/>
  <c r="N279" i="4" s="1"/>
  <c r="I279" i="4"/>
  <c r="O279" i="4" s="1"/>
  <c r="J279" i="4"/>
  <c r="Q279" i="4"/>
  <c r="R279" i="4"/>
  <c r="W279" i="4" s="1"/>
  <c r="S279" i="4"/>
  <c r="X279" i="4" s="1"/>
  <c r="T279" i="4"/>
  <c r="Y279" i="4" s="1"/>
  <c r="B280" i="4"/>
  <c r="C280" i="4"/>
  <c r="F280" i="4"/>
  <c r="L280" i="4" s="1"/>
  <c r="G280" i="4"/>
  <c r="M280" i="4" s="1"/>
  <c r="H280" i="4"/>
  <c r="N280" i="4" s="1"/>
  <c r="I280" i="4"/>
  <c r="O280" i="4" s="1"/>
  <c r="J280" i="4"/>
  <c r="Q280" i="4"/>
  <c r="V280" i="4" s="1"/>
  <c r="R280" i="4"/>
  <c r="W280" i="4" s="1"/>
  <c r="S280" i="4"/>
  <c r="X280" i="4" s="1"/>
  <c r="T280" i="4"/>
  <c r="Y280" i="4" s="1"/>
  <c r="B281" i="4"/>
  <c r="C281" i="4"/>
  <c r="F281" i="4"/>
  <c r="G281" i="4"/>
  <c r="M281" i="4" s="1"/>
  <c r="H281" i="4"/>
  <c r="N281" i="4" s="1"/>
  <c r="I281" i="4"/>
  <c r="O281" i="4" s="1"/>
  <c r="J281" i="4"/>
  <c r="Q281" i="4"/>
  <c r="R281" i="4"/>
  <c r="W281" i="4" s="1"/>
  <c r="S281" i="4"/>
  <c r="X281" i="4" s="1"/>
  <c r="T281" i="4"/>
  <c r="Y281" i="4" s="1"/>
  <c r="B282" i="4"/>
  <c r="C282" i="4"/>
  <c r="F282" i="4"/>
  <c r="L282" i="4" s="1"/>
  <c r="G282" i="4"/>
  <c r="M282" i="4" s="1"/>
  <c r="H282" i="4"/>
  <c r="N282" i="4" s="1"/>
  <c r="I282" i="4"/>
  <c r="O282" i="4" s="1"/>
  <c r="J282" i="4"/>
  <c r="Q282" i="4"/>
  <c r="R282" i="4"/>
  <c r="W282" i="4" s="1"/>
  <c r="S282" i="4"/>
  <c r="X282" i="4" s="1"/>
  <c r="T282" i="4"/>
  <c r="Y282" i="4" s="1"/>
  <c r="B283" i="4"/>
  <c r="C283" i="4"/>
  <c r="F283" i="4"/>
  <c r="L283" i="4" s="1"/>
  <c r="G283" i="4"/>
  <c r="M283" i="4" s="1"/>
  <c r="H283" i="4"/>
  <c r="N283" i="4" s="1"/>
  <c r="I283" i="4"/>
  <c r="O283" i="4" s="1"/>
  <c r="J283" i="4"/>
  <c r="Q283" i="4"/>
  <c r="V283" i="4" s="1"/>
  <c r="R283" i="4"/>
  <c r="W283" i="4" s="1"/>
  <c r="S283" i="4"/>
  <c r="X283" i="4" s="1"/>
  <c r="T283" i="4"/>
  <c r="Y283" i="4" s="1"/>
  <c r="B284" i="4"/>
  <c r="C284" i="4"/>
  <c r="F284" i="4"/>
  <c r="L284" i="4" s="1"/>
  <c r="G284" i="4"/>
  <c r="M284" i="4" s="1"/>
  <c r="H284" i="4"/>
  <c r="N284" i="4" s="1"/>
  <c r="I284" i="4"/>
  <c r="O284" i="4" s="1"/>
  <c r="J284" i="4"/>
  <c r="Q284" i="4"/>
  <c r="V284" i="4" s="1"/>
  <c r="R284" i="4"/>
  <c r="S284" i="4"/>
  <c r="X284" i="4" s="1"/>
  <c r="T284" i="4"/>
  <c r="Y284" i="4" s="1"/>
  <c r="B285" i="4"/>
  <c r="C285" i="4"/>
  <c r="F285" i="4"/>
  <c r="L285" i="4" s="1"/>
  <c r="G285" i="4"/>
  <c r="M285" i="4" s="1"/>
  <c r="H285" i="4"/>
  <c r="N285" i="4" s="1"/>
  <c r="I285" i="4"/>
  <c r="O285" i="4" s="1"/>
  <c r="J285" i="4"/>
  <c r="Q285" i="4"/>
  <c r="V285" i="4" s="1"/>
  <c r="R285" i="4"/>
  <c r="S285" i="4"/>
  <c r="X285" i="4" s="1"/>
  <c r="T285" i="4"/>
  <c r="Y285" i="4" s="1"/>
  <c r="B286" i="4"/>
  <c r="C286" i="4"/>
  <c r="F286" i="4"/>
  <c r="G286" i="4"/>
  <c r="M286" i="4" s="1"/>
  <c r="H286" i="4"/>
  <c r="N286" i="4" s="1"/>
  <c r="I286" i="4"/>
  <c r="O286" i="4" s="1"/>
  <c r="J286" i="4"/>
  <c r="Q286" i="4"/>
  <c r="V286" i="4" s="1"/>
  <c r="R286" i="4"/>
  <c r="W286" i="4" s="1"/>
  <c r="S286" i="4"/>
  <c r="X286" i="4" s="1"/>
  <c r="T286" i="4"/>
  <c r="Y286" i="4" s="1"/>
  <c r="B287" i="4"/>
  <c r="C287" i="4"/>
  <c r="F287" i="4"/>
  <c r="L287" i="4" s="1"/>
  <c r="G287" i="4"/>
  <c r="M287" i="4" s="1"/>
  <c r="H287" i="4"/>
  <c r="N287" i="4" s="1"/>
  <c r="I287" i="4"/>
  <c r="O287" i="4" s="1"/>
  <c r="J287" i="4"/>
  <c r="Q287" i="4"/>
  <c r="V287" i="4" s="1"/>
  <c r="R287" i="4"/>
  <c r="W287" i="4" s="1"/>
  <c r="S287" i="4"/>
  <c r="T287" i="4"/>
  <c r="Y287" i="4" s="1"/>
  <c r="B288" i="4"/>
  <c r="C288" i="4"/>
  <c r="F288" i="4"/>
  <c r="G288" i="4"/>
  <c r="M288" i="4" s="1"/>
  <c r="H288" i="4"/>
  <c r="N288" i="4" s="1"/>
  <c r="I288" i="4"/>
  <c r="O288" i="4" s="1"/>
  <c r="J288" i="4"/>
  <c r="Q288" i="4"/>
  <c r="R288" i="4"/>
  <c r="W288" i="4" s="1"/>
  <c r="S288" i="4"/>
  <c r="X288" i="4" s="1"/>
  <c r="T288" i="4"/>
  <c r="Y288" i="4" s="1"/>
  <c r="B289" i="4"/>
  <c r="C289" i="4"/>
  <c r="F289" i="4"/>
  <c r="G289" i="4"/>
  <c r="M289" i="4" s="1"/>
  <c r="H289" i="4"/>
  <c r="N289" i="4" s="1"/>
  <c r="I289" i="4"/>
  <c r="O289" i="4" s="1"/>
  <c r="J289" i="4"/>
  <c r="Q289" i="4"/>
  <c r="R289" i="4"/>
  <c r="W289" i="4" s="1"/>
  <c r="S289" i="4"/>
  <c r="X289" i="4" s="1"/>
  <c r="T289" i="4"/>
  <c r="Y289" i="4" s="1"/>
  <c r="B290" i="4"/>
  <c r="C290" i="4"/>
  <c r="F290" i="4"/>
  <c r="L290" i="4" s="1"/>
  <c r="G290" i="4"/>
  <c r="M290" i="4" s="1"/>
  <c r="H290" i="4"/>
  <c r="N290" i="4" s="1"/>
  <c r="I290" i="4"/>
  <c r="O290" i="4" s="1"/>
  <c r="J290" i="4"/>
  <c r="Q290" i="4"/>
  <c r="R290" i="4"/>
  <c r="W290" i="4" s="1"/>
  <c r="S290" i="4"/>
  <c r="X290" i="4" s="1"/>
  <c r="T290" i="4"/>
  <c r="Y290" i="4" s="1"/>
  <c r="B291" i="4"/>
  <c r="C291" i="4"/>
  <c r="F291" i="4"/>
  <c r="L291" i="4" s="1"/>
  <c r="G291" i="4"/>
  <c r="H291" i="4"/>
  <c r="N291" i="4" s="1"/>
  <c r="I291" i="4"/>
  <c r="O291" i="4" s="1"/>
  <c r="J291" i="4"/>
  <c r="Q291" i="4"/>
  <c r="R291" i="4"/>
  <c r="W291" i="4" s="1"/>
  <c r="S291" i="4"/>
  <c r="X291" i="4" s="1"/>
  <c r="T291" i="4"/>
  <c r="Y291" i="4" s="1"/>
  <c r="B292" i="4"/>
  <c r="C292" i="4"/>
  <c r="F292" i="4"/>
  <c r="G292" i="4"/>
  <c r="M292" i="4" s="1"/>
  <c r="H292" i="4"/>
  <c r="N292" i="4" s="1"/>
  <c r="I292" i="4"/>
  <c r="O292" i="4" s="1"/>
  <c r="J292" i="4"/>
  <c r="Q292" i="4"/>
  <c r="R292" i="4"/>
  <c r="W292" i="4" s="1"/>
  <c r="S292" i="4"/>
  <c r="X292" i="4" s="1"/>
  <c r="T292" i="4"/>
  <c r="Y292" i="4" s="1"/>
  <c r="B293" i="4"/>
  <c r="C293" i="4"/>
  <c r="F293" i="4"/>
  <c r="G293" i="4"/>
  <c r="M293" i="4" s="1"/>
  <c r="H293" i="4"/>
  <c r="N293" i="4" s="1"/>
  <c r="I293" i="4"/>
  <c r="O293" i="4" s="1"/>
  <c r="J293" i="4"/>
  <c r="Q293" i="4"/>
  <c r="V293" i="4" s="1"/>
  <c r="R293" i="4"/>
  <c r="W293" i="4" s="1"/>
  <c r="S293" i="4"/>
  <c r="X293" i="4" s="1"/>
  <c r="T293" i="4"/>
  <c r="Y293" i="4" s="1"/>
  <c r="B294" i="4"/>
  <c r="C294" i="4"/>
  <c r="F294" i="4"/>
  <c r="G294" i="4"/>
  <c r="M294" i="4" s="1"/>
  <c r="H294" i="4"/>
  <c r="N294" i="4" s="1"/>
  <c r="I294" i="4"/>
  <c r="O294" i="4" s="1"/>
  <c r="J294" i="4"/>
  <c r="Q294" i="4"/>
  <c r="V294" i="4" s="1"/>
  <c r="R294" i="4"/>
  <c r="W294" i="4" s="1"/>
  <c r="S294" i="4"/>
  <c r="X294" i="4" s="1"/>
  <c r="T294" i="4"/>
  <c r="Y294" i="4" s="1"/>
  <c r="B295" i="4"/>
  <c r="C295" i="4"/>
  <c r="F295" i="4"/>
  <c r="G295" i="4"/>
  <c r="M295" i="4" s="1"/>
  <c r="H295" i="4"/>
  <c r="N295" i="4" s="1"/>
  <c r="I295" i="4"/>
  <c r="O295" i="4" s="1"/>
  <c r="J295" i="4"/>
  <c r="Q295" i="4"/>
  <c r="R295" i="4"/>
  <c r="W295" i="4" s="1"/>
  <c r="S295" i="4"/>
  <c r="X295" i="4" s="1"/>
  <c r="T295" i="4"/>
  <c r="Y295" i="4" s="1"/>
  <c r="B296" i="4"/>
  <c r="C296" i="4"/>
  <c r="F296" i="4"/>
  <c r="G296" i="4"/>
  <c r="M296" i="4" s="1"/>
  <c r="H296" i="4"/>
  <c r="N296" i="4" s="1"/>
  <c r="I296" i="4"/>
  <c r="O296" i="4" s="1"/>
  <c r="J296" i="4"/>
  <c r="Q296" i="4"/>
  <c r="R296" i="4"/>
  <c r="W296" i="4" s="1"/>
  <c r="S296" i="4"/>
  <c r="X296" i="4" s="1"/>
  <c r="T296" i="4"/>
  <c r="Y296" i="4" s="1"/>
  <c r="B297" i="4"/>
  <c r="C297" i="4"/>
  <c r="F297" i="4"/>
  <c r="G297" i="4"/>
  <c r="M297" i="4" s="1"/>
  <c r="H297" i="4"/>
  <c r="N297" i="4" s="1"/>
  <c r="I297" i="4"/>
  <c r="O297" i="4" s="1"/>
  <c r="J297" i="4"/>
  <c r="Q297" i="4"/>
  <c r="R297" i="4"/>
  <c r="W297" i="4" s="1"/>
  <c r="S297" i="4"/>
  <c r="X297" i="4" s="1"/>
  <c r="T297" i="4"/>
  <c r="Y297" i="4" s="1"/>
  <c r="B298" i="4"/>
  <c r="C298" i="4"/>
  <c r="F298" i="4"/>
  <c r="G298" i="4"/>
  <c r="M298" i="4" s="1"/>
  <c r="H298" i="4"/>
  <c r="N298" i="4" s="1"/>
  <c r="I298" i="4"/>
  <c r="O298" i="4" s="1"/>
  <c r="J298" i="4"/>
  <c r="Q298" i="4"/>
  <c r="R298" i="4"/>
  <c r="W298" i="4" s="1"/>
  <c r="S298" i="4"/>
  <c r="X298" i="4" s="1"/>
  <c r="T298" i="4"/>
  <c r="Y298" i="4" s="1"/>
  <c r="B299" i="4"/>
  <c r="C299" i="4"/>
  <c r="F299" i="4"/>
  <c r="L299" i="4" s="1"/>
  <c r="G299" i="4"/>
  <c r="M299" i="4" s="1"/>
  <c r="H299" i="4"/>
  <c r="N299" i="4" s="1"/>
  <c r="I299" i="4"/>
  <c r="O299" i="4" s="1"/>
  <c r="J299" i="4"/>
  <c r="Q299" i="4"/>
  <c r="R299" i="4"/>
  <c r="W299" i="4" s="1"/>
  <c r="S299" i="4"/>
  <c r="X299" i="4" s="1"/>
  <c r="T299" i="4"/>
  <c r="Y299" i="4" s="1"/>
  <c r="B300" i="4"/>
  <c r="C300" i="4"/>
  <c r="F300" i="4"/>
  <c r="L300" i="4" s="1"/>
  <c r="G300" i="4"/>
  <c r="M300" i="4" s="1"/>
  <c r="H300" i="4"/>
  <c r="I300" i="4"/>
  <c r="O300" i="4" s="1"/>
  <c r="J300" i="4"/>
  <c r="Q300" i="4"/>
  <c r="V300" i="4" s="1"/>
  <c r="R300" i="4"/>
  <c r="S300" i="4"/>
  <c r="X300" i="4" s="1"/>
  <c r="T300" i="4"/>
  <c r="Y300" i="4" s="1"/>
  <c r="B301" i="4"/>
  <c r="C301" i="4"/>
  <c r="F301" i="4"/>
  <c r="G301" i="4"/>
  <c r="H301" i="4"/>
  <c r="N301" i="4" s="1"/>
  <c r="I301" i="4"/>
  <c r="O301" i="4" s="1"/>
  <c r="J301" i="4"/>
  <c r="Q301" i="4"/>
  <c r="V301" i="4" s="1"/>
  <c r="R301" i="4"/>
  <c r="W301" i="4" s="1"/>
  <c r="S301" i="4"/>
  <c r="X301" i="4" s="1"/>
  <c r="T301" i="4"/>
  <c r="Y301" i="4" s="1"/>
  <c r="B302" i="4"/>
  <c r="C302" i="4"/>
  <c r="F302" i="4"/>
  <c r="G302" i="4"/>
  <c r="M302" i="4" s="1"/>
  <c r="H302" i="4"/>
  <c r="N302" i="4" s="1"/>
  <c r="I302" i="4"/>
  <c r="O302" i="4" s="1"/>
  <c r="J302" i="4"/>
  <c r="Q302" i="4"/>
  <c r="V302" i="4" s="1"/>
  <c r="R302" i="4"/>
  <c r="W302" i="4" s="1"/>
  <c r="S302" i="4"/>
  <c r="X302" i="4" s="1"/>
  <c r="T302" i="4"/>
  <c r="Y302" i="4" s="1"/>
  <c r="B303" i="4"/>
  <c r="C303" i="4"/>
  <c r="F303" i="4"/>
  <c r="G303" i="4"/>
  <c r="M303" i="4" s="1"/>
  <c r="H303" i="4"/>
  <c r="N303" i="4" s="1"/>
  <c r="I303" i="4"/>
  <c r="O303" i="4" s="1"/>
  <c r="J303" i="4"/>
  <c r="Q303" i="4"/>
  <c r="R303" i="4"/>
  <c r="W303" i="4" s="1"/>
  <c r="S303" i="4"/>
  <c r="X303" i="4" s="1"/>
  <c r="T303" i="4"/>
  <c r="Y303" i="4" s="1"/>
  <c r="B304" i="4"/>
  <c r="C304" i="4"/>
  <c r="F304" i="4"/>
  <c r="L304" i="4" s="1"/>
  <c r="G304" i="4"/>
  <c r="H304" i="4"/>
  <c r="N304" i="4" s="1"/>
  <c r="I304" i="4"/>
  <c r="O304" i="4" s="1"/>
  <c r="J304" i="4"/>
  <c r="Q304" i="4"/>
  <c r="V304" i="4" s="1"/>
  <c r="R304" i="4"/>
  <c r="W304" i="4" s="1"/>
  <c r="S304" i="4"/>
  <c r="X304" i="4" s="1"/>
  <c r="T304" i="4"/>
  <c r="Y304" i="4" s="1"/>
  <c r="B305" i="4"/>
  <c r="C305" i="4"/>
  <c r="F305" i="4"/>
  <c r="G305" i="4"/>
  <c r="M305" i="4" s="1"/>
  <c r="H305" i="4"/>
  <c r="N305" i="4" s="1"/>
  <c r="I305" i="4"/>
  <c r="O305" i="4" s="1"/>
  <c r="J305" i="4"/>
  <c r="Q305" i="4"/>
  <c r="V305" i="4" s="1"/>
  <c r="R305" i="4"/>
  <c r="S305" i="4"/>
  <c r="X305" i="4" s="1"/>
  <c r="T305" i="4"/>
  <c r="Y305" i="4" s="1"/>
  <c r="B306" i="4"/>
  <c r="C306" i="4"/>
  <c r="F306" i="4"/>
  <c r="G306" i="4"/>
  <c r="M306" i="4" s="1"/>
  <c r="H306" i="4"/>
  <c r="N306" i="4" s="1"/>
  <c r="I306" i="4"/>
  <c r="O306" i="4" s="1"/>
  <c r="J306" i="4"/>
  <c r="Q306" i="4"/>
  <c r="V306" i="4" s="1"/>
  <c r="R306" i="4"/>
  <c r="W306" i="4" s="1"/>
  <c r="S306" i="4"/>
  <c r="X306" i="4" s="1"/>
  <c r="T306" i="4"/>
  <c r="Y306" i="4" s="1"/>
  <c r="B307" i="4"/>
  <c r="C307" i="4"/>
  <c r="F307" i="4"/>
  <c r="G307" i="4"/>
  <c r="M307" i="4" s="1"/>
  <c r="H307" i="4"/>
  <c r="N307" i="4" s="1"/>
  <c r="I307" i="4"/>
  <c r="O307" i="4" s="1"/>
  <c r="J307" i="4"/>
  <c r="Q307" i="4"/>
  <c r="R307" i="4"/>
  <c r="W307" i="4" s="1"/>
  <c r="S307" i="4"/>
  <c r="X307" i="4" s="1"/>
  <c r="T307" i="4"/>
  <c r="Y307" i="4" s="1"/>
  <c r="B308" i="4"/>
  <c r="C308" i="4"/>
  <c r="F308" i="4"/>
  <c r="L308" i="4" s="1"/>
  <c r="G308" i="4"/>
  <c r="M308" i="4" s="1"/>
  <c r="H308" i="4"/>
  <c r="N308" i="4" s="1"/>
  <c r="I308" i="4"/>
  <c r="O308" i="4" s="1"/>
  <c r="J308" i="4"/>
  <c r="Q308" i="4"/>
  <c r="R308" i="4"/>
  <c r="W308" i="4" s="1"/>
  <c r="S308" i="4"/>
  <c r="X308" i="4" s="1"/>
  <c r="T308" i="4"/>
  <c r="Y308" i="4" s="1"/>
  <c r="B309" i="4"/>
  <c r="C309" i="4"/>
  <c r="F309" i="4"/>
  <c r="L309" i="4" s="1"/>
  <c r="G309" i="4"/>
  <c r="M309" i="4" s="1"/>
  <c r="H309" i="4"/>
  <c r="N309" i="4" s="1"/>
  <c r="I309" i="4"/>
  <c r="O309" i="4" s="1"/>
  <c r="J309" i="4"/>
  <c r="Q309" i="4"/>
  <c r="V309" i="4" s="1"/>
  <c r="R309" i="4"/>
  <c r="W309" i="4" s="1"/>
  <c r="S309" i="4"/>
  <c r="X309" i="4" s="1"/>
  <c r="T309" i="4"/>
  <c r="Y309" i="4" s="1"/>
  <c r="B310" i="4"/>
  <c r="C310" i="4"/>
  <c r="F310" i="4"/>
  <c r="L310" i="4" s="1"/>
  <c r="G310" i="4"/>
  <c r="M310" i="4" s="1"/>
  <c r="H310" i="4"/>
  <c r="I310" i="4"/>
  <c r="O310" i="4" s="1"/>
  <c r="J310" i="4"/>
  <c r="Q310" i="4"/>
  <c r="R310" i="4"/>
  <c r="W310" i="4" s="1"/>
  <c r="S310" i="4"/>
  <c r="T310" i="4"/>
  <c r="Y310" i="4" s="1"/>
  <c r="B311" i="4"/>
  <c r="C311" i="4"/>
  <c r="F311" i="4"/>
  <c r="L311" i="4" s="1"/>
  <c r="G311" i="4"/>
  <c r="M311" i="4" s="1"/>
  <c r="H311" i="4"/>
  <c r="N311" i="4" s="1"/>
  <c r="I311" i="4"/>
  <c r="O311" i="4" s="1"/>
  <c r="J311" i="4"/>
  <c r="Q311" i="4"/>
  <c r="R311" i="4"/>
  <c r="W311" i="4" s="1"/>
  <c r="S311" i="4"/>
  <c r="X311" i="4" s="1"/>
  <c r="T311" i="4"/>
  <c r="Y311" i="4" s="1"/>
  <c r="B312" i="4"/>
  <c r="C312" i="4"/>
  <c r="F312" i="4"/>
  <c r="L312" i="4" s="1"/>
  <c r="G312" i="4"/>
  <c r="M312" i="4" s="1"/>
  <c r="H312" i="4"/>
  <c r="N312" i="4" s="1"/>
  <c r="I312" i="4"/>
  <c r="O312" i="4" s="1"/>
  <c r="J312" i="4"/>
  <c r="Q312" i="4"/>
  <c r="R312" i="4"/>
  <c r="W312" i="4" s="1"/>
  <c r="S312" i="4"/>
  <c r="T312" i="4"/>
  <c r="Y312" i="4" s="1"/>
  <c r="B313" i="4"/>
  <c r="C313" i="4"/>
  <c r="F313" i="4"/>
  <c r="G313" i="4"/>
  <c r="M313" i="4" s="1"/>
  <c r="H313" i="4"/>
  <c r="N313" i="4" s="1"/>
  <c r="I313" i="4"/>
  <c r="O313" i="4" s="1"/>
  <c r="J313" i="4"/>
  <c r="Q313" i="4"/>
  <c r="R313" i="4"/>
  <c r="W313" i="4" s="1"/>
  <c r="S313" i="4"/>
  <c r="X313" i="4" s="1"/>
  <c r="T313" i="4"/>
  <c r="Y313" i="4" s="1"/>
  <c r="B314" i="4"/>
  <c r="C314" i="4"/>
  <c r="F314" i="4"/>
  <c r="L314" i="4" s="1"/>
  <c r="G314" i="4"/>
  <c r="M314" i="4" s="1"/>
  <c r="H314" i="4"/>
  <c r="N314" i="4" s="1"/>
  <c r="I314" i="4"/>
  <c r="O314" i="4" s="1"/>
  <c r="J314" i="4"/>
  <c r="Q314" i="4"/>
  <c r="R314" i="4"/>
  <c r="W314" i="4" s="1"/>
  <c r="S314" i="4"/>
  <c r="X314" i="4" s="1"/>
  <c r="T314" i="4"/>
  <c r="Y314" i="4" s="1"/>
  <c r="B315" i="4"/>
  <c r="C315" i="4"/>
  <c r="F315" i="4"/>
  <c r="G315" i="4"/>
  <c r="M315" i="4" s="1"/>
  <c r="H315" i="4"/>
  <c r="N315" i="4" s="1"/>
  <c r="I315" i="4"/>
  <c r="O315" i="4" s="1"/>
  <c r="J315" i="4"/>
  <c r="Q315" i="4"/>
  <c r="R315" i="4"/>
  <c r="W315" i="4" s="1"/>
  <c r="S315" i="4"/>
  <c r="X315" i="4" s="1"/>
  <c r="T315" i="4"/>
  <c r="Y315" i="4" s="1"/>
  <c r="B316" i="4"/>
  <c r="C316" i="4"/>
  <c r="F316" i="4"/>
  <c r="L316" i="4" s="1"/>
  <c r="G316" i="4"/>
  <c r="H316" i="4"/>
  <c r="N316" i="4" s="1"/>
  <c r="I316" i="4"/>
  <c r="O316" i="4" s="1"/>
  <c r="J316" i="4"/>
  <c r="Q316" i="4"/>
  <c r="R316" i="4"/>
  <c r="W316" i="4" s="1"/>
  <c r="S316" i="4"/>
  <c r="X316" i="4" s="1"/>
  <c r="T316" i="4"/>
  <c r="Y316" i="4" s="1"/>
  <c r="B317" i="4"/>
  <c r="C317" i="4"/>
  <c r="F317" i="4"/>
  <c r="L317" i="4" s="1"/>
  <c r="G317" i="4"/>
  <c r="M317" i="4" s="1"/>
  <c r="H317" i="4"/>
  <c r="N317" i="4" s="1"/>
  <c r="I317" i="4"/>
  <c r="O317" i="4" s="1"/>
  <c r="J317" i="4"/>
  <c r="Q317" i="4"/>
  <c r="V317" i="4" s="1"/>
  <c r="R317" i="4"/>
  <c r="W317" i="4" s="1"/>
  <c r="S317" i="4"/>
  <c r="X317" i="4" s="1"/>
  <c r="T317" i="4"/>
  <c r="Y317" i="4" s="1"/>
  <c r="B318" i="4"/>
  <c r="C318" i="4"/>
  <c r="F318" i="4"/>
  <c r="G318" i="4"/>
  <c r="M318" i="4" s="1"/>
  <c r="H318" i="4"/>
  <c r="N318" i="4" s="1"/>
  <c r="I318" i="4"/>
  <c r="O318" i="4" s="1"/>
  <c r="J318" i="4"/>
  <c r="Q318" i="4"/>
  <c r="V318" i="4" s="1"/>
  <c r="R318" i="4"/>
  <c r="W318" i="4" s="1"/>
  <c r="S318" i="4"/>
  <c r="X318" i="4" s="1"/>
  <c r="T318" i="4"/>
  <c r="Y318" i="4" s="1"/>
  <c r="B319" i="4"/>
  <c r="C319" i="4"/>
  <c r="F319" i="4"/>
  <c r="G319" i="4"/>
  <c r="M319" i="4" s="1"/>
  <c r="H319" i="4"/>
  <c r="N319" i="4" s="1"/>
  <c r="I319" i="4"/>
  <c r="O319" i="4" s="1"/>
  <c r="J319" i="4"/>
  <c r="Q319" i="4"/>
  <c r="V319" i="4" s="1"/>
  <c r="R319" i="4"/>
  <c r="W319" i="4" s="1"/>
  <c r="S319" i="4"/>
  <c r="X319" i="4" s="1"/>
  <c r="T319" i="4"/>
  <c r="Y319" i="4" s="1"/>
  <c r="B320" i="4"/>
  <c r="C320" i="4"/>
  <c r="F320" i="4"/>
  <c r="G320" i="4"/>
  <c r="M320" i="4" s="1"/>
  <c r="H320" i="4"/>
  <c r="N320" i="4" s="1"/>
  <c r="I320" i="4"/>
  <c r="O320" i="4" s="1"/>
  <c r="J320" i="4"/>
  <c r="Q320" i="4"/>
  <c r="R320" i="4"/>
  <c r="W320" i="4" s="1"/>
  <c r="S320" i="4"/>
  <c r="X320" i="4" s="1"/>
  <c r="T320" i="4"/>
  <c r="Y320" i="4" s="1"/>
  <c r="B321" i="4"/>
  <c r="C321" i="4"/>
  <c r="F321" i="4"/>
  <c r="G321" i="4"/>
  <c r="M321" i="4" s="1"/>
  <c r="H321" i="4"/>
  <c r="N321" i="4" s="1"/>
  <c r="I321" i="4"/>
  <c r="O321" i="4" s="1"/>
  <c r="J321" i="4"/>
  <c r="Q321" i="4"/>
  <c r="R321" i="4"/>
  <c r="W321" i="4" s="1"/>
  <c r="S321" i="4"/>
  <c r="X321" i="4" s="1"/>
  <c r="T321" i="4"/>
  <c r="Y321" i="4" s="1"/>
  <c r="B322" i="4"/>
  <c r="C322" i="4"/>
  <c r="F322" i="4"/>
  <c r="L322" i="4" s="1"/>
  <c r="G322" i="4"/>
  <c r="M322" i="4" s="1"/>
  <c r="H322" i="4"/>
  <c r="N322" i="4" s="1"/>
  <c r="I322" i="4"/>
  <c r="O322" i="4" s="1"/>
  <c r="J322" i="4"/>
  <c r="Q322" i="4"/>
  <c r="R322" i="4"/>
  <c r="W322" i="4" s="1"/>
  <c r="S322" i="4"/>
  <c r="X322" i="4" s="1"/>
  <c r="T322" i="4"/>
  <c r="Y322" i="4" s="1"/>
  <c r="B323" i="4"/>
  <c r="C323" i="4"/>
  <c r="F323" i="4"/>
  <c r="G323" i="4"/>
  <c r="M323" i="4" s="1"/>
  <c r="H323" i="4"/>
  <c r="N323" i="4" s="1"/>
  <c r="I323" i="4"/>
  <c r="O323" i="4" s="1"/>
  <c r="J323" i="4"/>
  <c r="Q323" i="4"/>
  <c r="R323" i="4"/>
  <c r="W323" i="4" s="1"/>
  <c r="S323" i="4"/>
  <c r="X323" i="4" s="1"/>
  <c r="T323" i="4"/>
  <c r="Y323" i="4" s="1"/>
  <c r="B324" i="4"/>
  <c r="C324" i="4"/>
  <c r="F324" i="4"/>
  <c r="G324" i="4"/>
  <c r="M324" i="4" s="1"/>
  <c r="H324" i="4"/>
  <c r="N324" i="4" s="1"/>
  <c r="I324" i="4"/>
  <c r="O324" i="4" s="1"/>
  <c r="J324" i="4"/>
  <c r="Q324" i="4"/>
  <c r="V324" i="4" s="1"/>
  <c r="R324" i="4"/>
  <c r="W324" i="4" s="1"/>
  <c r="S324" i="4"/>
  <c r="X324" i="4" s="1"/>
  <c r="T324" i="4"/>
  <c r="Y324" i="4" s="1"/>
  <c r="B325" i="4"/>
  <c r="C325" i="4"/>
  <c r="F325" i="4"/>
  <c r="G325" i="4"/>
  <c r="M325" i="4" s="1"/>
  <c r="H325" i="4"/>
  <c r="N325" i="4" s="1"/>
  <c r="I325" i="4"/>
  <c r="O325" i="4" s="1"/>
  <c r="J325" i="4"/>
  <c r="Q325" i="4"/>
  <c r="V325" i="4" s="1"/>
  <c r="R325" i="4"/>
  <c r="W325" i="4" s="1"/>
  <c r="S325" i="4"/>
  <c r="X325" i="4" s="1"/>
  <c r="T325" i="4"/>
  <c r="Y325" i="4" s="1"/>
  <c r="B326" i="4"/>
  <c r="C326" i="4"/>
  <c r="F326" i="4"/>
  <c r="L326" i="4" s="1"/>
  <c r="G326" i="4"/>
  <c r="H326" i="4"/>
  <c r="N326" i="4" s="1"/>
  <c r="I326" i="4"/>
  <c r="O326" i="4" s="1"/>
  <c r="J326" i="4"/>
  <c r="Q326" i="4"/>
  <c r="V326" i="4" s="1"/>
  <c r="R326" i="4"/>
  <c r="W326" i="4" s="1"/>
  <c r="S326" i="4"/>
  <c r="X326" i="4" s="1"/>
  <c r="T326" i="4"/>
  <c r="Y326" i="4" s="1"/>
  <c r="B327" i="4"/>
  <c r="C327" i="4"/>
  <c r="F327" i="4"/>
  <c r="G327" i="4"/>
  <c r="M327" i="4" s="1"/>
  <c r="H327" i="4"/>
  <c r="N327" i="4" s="1"/>
  <c r="I327" i="4"/>
  <c r="O327" i="4" s="1"/>
  <c r="J327" i="4"/>
  <c r="Q327" i="4"/>
  <c r="R327" i="4"/>
  <c r="W327" i="4" s="1"/>
  <c r="S327" i="4"/>
  <c r="X327" i="4" s="1"/>
  <c r="T327" i="4"/>
  <c r="Y327" i="4" s="1"/>
  <c r="B328" i="4"/>
  <c r="C328" i="4"/>
  <c r="F328" i="4"/>
  <c r="L328" i="4" s="1"/>
  <c r="G328" i="4"/>
  <c r="M328" i="4" s="1"/>
  <c r="H328" i="4"/>
  <c r="I328" i="4"/>
  <c r="O328" i="4" s="1"/>
  <c r="J328" i="4"/>
  <c r="Q328" i="4"/>
  <c r="R328" i="4"/>
  <c r="W328" i="4" s="1"/>
  <c r="S328" i="4"/>
  <c r="T328" i="4"/>
  <c r="Y328" i="4" s="1"/>
  <c r="B329" i="4"/>
  <c r="C329" i="4"/>
  <c r="F329" i="4"/>
  <c r="L329" i="4" s="1"/>
  <c r="G329" i="4"/>
  <c r="H329" i="4"/>
  <c r="N329" i="4" s="1"/>
  <c r="I329" i="4"/>
  <c r="O329" i="4" s="1"/>
  <c r="J329" i="4"/>
  <c r="Q329" i="4"/>
  <c r="R329" i="4"/>
  <c r="W329" i="4" s="1"/>
  <c r="S329" i="4"/>
  <c r="T329" i="4"/>
  <c r="Y329" i="4" s="1"/>
  <c r="B330" i="4"/>
  <c r="C330" i="4"/>
  <c r="F330" i="4"/>
  <c r="L330" i="4" s="1"/>
  <c r="G330" i="4"/>
  <c r="M330" i="4" s="1"/>
  <c r="H330" i="4"/>
  <c r="N330" i="4" s="1"/>
  <c r="I330" i="4"/>
  <c r="O330" i="4" s="1"/>
  <c r="J330" i="4"/>
  <c r="Q330" i="4"/>
  <c r="R330" i="4"/>
  <c r="W330" i="4" s="1"/>
  <c r="S330" i="4"/>
  <c r="X330" i="4" s="1"/>
  <c r="T330" i="4"/>
  <c r="Y330" i="4" s="1"/>
  <c r="B331" i="4"/>
  <c r="C331" i="4"/>
  <c r="F331" i="4"/>
  <c r="L331" i="4" s="1"/>
  <c r="G331" i="4"/>
  <c r="H331" i="4"/>
  <c r="N331" i="4" s="1"/>
  <c r="I331" i="4"/>
  <c r="O331" i="4" s="1"/>
  <c r="J331" i="4"/>
  <c r="Q331" i="4"/>
  <c r="R331" i="4"/>
  <c r="W331" i="4" s="1"/>
  <c r="S331" i="4"/>
  <c r="X331" i="4" s="1"/>
  <c r="T331" i="4"/>
  <c r="Y331" i="4" s="1"/>
  <c r="B332" i="4"/>
  <c r="C332" i="4"/>
  <c r="F332" i="4"/>
  <c r="L332" i="4" s="1"/>
  <c r="G332" i="4"/>
  <c r="H332" i="4"/>
  <c r="N332" i="4" s="1"/>
  <c r="I332" i="4"/>
  <c r="O332" i="4" s="1"/>
  <c r="J332" i="4"/>
  <c r="Q332" i="4"/>
  <c r="R332" i="4"/>
  <c r="W332" i="4" s="1"/>
  <c r="S332" i="4"/>
  <c r="X332" i="4" s="1"/>
  <c r="T332" i="4"/>
  <c r="Y332" i="4" s="1"/>
  <c r="B333" i="4"/>
  <c r="C333" i="4"/>
  <c r="F333" i="4"/>
  <c r="G333" i="4"/>
  <c r="H333" i="4"/>
  <c r="N333" i="4" s="1"/>
  <c r="I333" i="4"/>
  <c r="O333" i="4" s="1"/>
  <c r="J333" i="4"/>
  <c r="Q333" i="4"/>
  <c r="V333" i="4" s="1"/>
  <c r="R333" i="4"/>
  <c r="W333" i="4" s="1"/>
  <c r="S333" i="4"/>
  <c r="X333" i="4" s="1"/>
  <c r="T333" i="4"/>
  <c r="Y333" i="4" s="1"/>
  <c r="B334" i="4"/>
  <c r="C334" i="4"/>
  <c r="F334" i="4"/>
  <c r="G334" i="4"/>
  <c r="M334" i="4" s="1"/>
  <c r="H334" i="4"/>
  <c r="N334" i="4" s="1"/>
  <c r="I334" i="4"/>
  <c r="O334" i="4" s="1"/>
  <c r="J334" i="4"/>
  <c r="Q334" i="4"/>
  <c r="R334" i="4"/>
  <c r="W334" i="4" s="1"/>
  <c r="S334" i="4"/>
  <c r="X334" i="4" s="1"/>
  <c r="T334" i="4"/>
  <c r="Y334" i="4" s="1"/>
  <c r="B335" i="4"/>
  <c r="C335" i="4"/>
  <c r="F335" i="4"/>
  <c r="G335" i="4"/>
  <c r="M335" i="4" s="1"/>
  <c r="H335" i="4"/>
  <c r="N335" i="4" s="1"/>
  <c r="I335" i="4"/>
  <c r="O335" i="4" s="1"/>
  <c r="J335" i="4"/>
  <c r="Q335" i="4"/>
  <c r="R335" i="4"/>
  <c r="W335" i="4" s="1"/>
  <c r="S335" i="4"/>
  <c r="X335" i="4" s="1"/>
  <c r="T335" i="4"/>
  <c r="Y335" i="4" s="1"/>
  <c r="B336" i="4"/>
  <c r="C336" i="4"/>
  <c r="F336" i="4"/>
  <c r="G336" i="4"/>
  <c r="M336" i="4" s="1"/>
  <c r="H336" i="4"/>
  <c r="N336" i="4" s="1"/>
  <c r="I336" i="4"/>
  <c r="O336" i="4" s="1"/>
  <c r="J336" i="4"/>
  <c r="Q336" i="4"/>
  <c r="V336" i="4" s="1"/>
  <c r="R336" i="4"/>
  <c r="W336" i="4" s="1"/>
  <c r="S336" i="4"/>
  <c r="X336" i="4" s="1"/>
  <c r="T336" i="4"/>
  <c r="Y336" i="4" s="1"/>
  <c r="B337" i="4"/>
  <c r="C337" i="4"/>
  <c r="F337" i="4"/>
  <c r="L337" i="4" s="1"/>
  <c r="G337" i="4"/>
  <c r="M337" i="4" s="1"/>
  <c r="H337" i="4"/>
  <c r="N337" i="4" s="1"/>
  <c r="I337" i="4"/>
  <c r="O337" i="4" s="1"/>
  <c r="J337" i="4"/>
  <c r="Q337" i="4"/>
  <c r="R337" i="4"/>
  <c r="W337" i="4" s="1"/>
  <c r="S337" i="4"/>
  <c r="X337" i="4" s="1"/>
  <c r="T337" i="4"/>
  <c r="Y337" i="4" s="1"/>
  <c r="B338" i="4"/>
  <c r="C338" i="4"/>
  <c r="F338" i="4"/>
  <c r="G338" i="4"/>
  <c r="M338" i="4" s="1"/>
  <c r="H338" i="4"/>
  <c r="N338" i="4" s="1"/>
  <c r="I338" i="4"/>
  <c r="O338" i="4" s="1"/>
  <c r="J338" i="4"/>
  <c r="Q338" i="4"/>
  <c r="V338" i="4" s="1"/>
  <c r="R338" i="4"/>
  <c r="W338" i="4" s="1"/>
  <c r="S338" i="4"/>
  <c r="X338" i="4" s="1"/>
  <c r="T338" i="4"/>
  <c r="Y338" i="4" s="1"/>
  <c r="B339" i="4"/>
  <c r="C339" i="4"/>
  <c r="F339" i="4"/>
  <c r="G339" i="4"/>
  <c r="M339" i="4" s="1"/>
  <c r="H339" i="4"/>
  <c r="N339" i="4" s="1"/>
  <c r="I339" i="4"/>
  <c r="O339" i="4" s="1"/>
  <c r="J339" i="4"/>
  <c r="Q339" i="4"/>
  <c r="V339" i="4" s="1"/>
  <c r="R339" i="4"/>
  <c r="W339" i="4" s="1"/>
  <c r="S339" i="4"/>
  <c r="T339" i="4"/>
  <c r="Y339" i="4" s="1"/>
  <c r="B340" i="4"/>
  <c r="C340" i="4"/>
  <c r="F340" i="4"/>
  <c r="G340" i="4"/>
  <c r="M340" i="4" s="1"/>
  <c r="H340" i="4"/>
  <c r="N340" i="4" s="1"/>
  <c r="I340" i="4"/>
  <c r="O340" i="4" s="1"/>
  <c r="J340" i="4"/>
  <c r="Q340" i="4"/>
  <c r="R340" i="4"/>
  <c r="W340" i="4" s="1"/>
  <c r="S340" i="4"/>
  <c r="X340" i="4" s="1"/>
  <c r="T340" i="4"/>
  <c r="Y340" i="4" s="1"/>
  <c r="B341" i="4"/>
  <c r="C341" i="4"/>
  <c r="F341" i="4"/>
  <c r="L341" i="4" s="1"/>
  <c r="G341" i="4"/>
  <c r="H341" i="4"/>
  <c r="N341" i="4" s="1"/>
  <c r="I341" i="4"/>
  <c r="O341" i="4" s="1"/>
  <c r="J341" i="4"/>
  <c r="Q341" i="4"/>
  <c r="R341" i="4"/>
  <c r="W341" i="4" s="1"/>
  <c r="S341" i="4"/>
  <c r="X341" i="4" s="1"/>
  <c r="T341" i="4"/>
  <c r="Y341" i="4" s="1"/>
  <c r="B342" i="4"/>
  <c r="C342" i="4"/>
  <c r="F342" i="4"/>
  <c r="L342" i="4" s="1"/>
  <c r="G342" i="4"/>
  <c r="H342" i="4"/>
  <c r="N342" i="4" s="1"/>
  <c r="I342" i="4"/>
  <c r="O342" i="4" s="1"/>
  <c r="J342" i="4"/>
  <c r="Q342" i="4"/>
  <c r="R342" i="4"/>
  <c r="W342" i="4" s="1"/>
  <c r="S342" i="4"/>
  <c r="X342" i="4" s="1"/>
  <c r="T342" i="4"/>
  <c r="Y342" i="4" s="1"/>
  <c r="B343" i="4"/>
  <c r="C343" i="4"/>
  <c r="F343" i="4"/>
  <c r="L343" i="4" s="1"/>
  <c r="G343" i="4"/>
  <c r="M343" i="4" s="1"/>
  <c r="H343" i="4"/>
  <c r="N343" i="4" s="1"/>
  <c r="I343" i="4"/>
  <c r="O343" i="4" s="1"/>
  <c r="J343" i="4"/>
  <c r="Q343" i="4"/>
  <c r="R343" i="4"/>
  <c r="W343" i="4" s="1"/>
  <c r="S343" i="4"/>
  <c r="X343" i="4" s="1"/>
  <c r="T343" i="4"/>
  <c r="Y343" i="4" s="1"/>
  <c r="B344" i="4"/>
  <c r="C344" i="4"/>
  <c r="F344" i="4"/>
  <c r="L344" i="4" s="1"/>
  <c r="G344" i="4"/>
  <c r="M344" i="4" s="1"/>
  <c r="H344" i="4"/>
  <c r="N344" i="4" s="1"/>
  <c r="I344" i="4"/>
  <c r="O344" i="4" s="1"/>
  <c r="J344" i="4"/>
  <c r="Q344" i="4"/>
  <c r="R344" i="4"/>
  <c r="W344" i="4" s="1"/>
  <c r="S344" i="4"/>
  <c r="X344" i="4" s="1"/>
  <c r="T344" i="4"/>
  <c r="Y344" i="4" s="1"/>
  <c r="B345" i="4"/>
  <c r="C345" i="4"/>
  <c r="F345" i="4"/>
  <c r="L345" i="4" s="1"/>
  <c r="G345" i="4"/>
  <c r="M345" i="4" s="1"/>
  <c r="H345" i="4"/>
  <c r="N345" i="4" s="1"/>
  <c r="I345" i="4"/>
  <c r="O345" i="4" s="1"/>
  <c r="J345" i="4"/>
  <c r="Q345" i="4"/>
  <c r="R345" i="4"/>
  <c r="W345" i="4" s="1"/>
  <c r="S345" i="4"/>
  <c r="X345" i="4" s="1"/>
  <c r="T345" i="4"/>
  <c r="Y345" i="4" s="1"/>
  <c r="B346" i="4"/>
  <c r="C346" i="4"/>
  <c r="F346" i="4"/>
  <c r="L346" i="4" s="1"/>
  <c r="G346" i="4"/>
  <c r="H346" i="4"/>
  <c r="N346" i="4" s="1"/>
  <c r="I346" i="4"/>
  <c r="O346" i="4" s="1"/>
  <c r="J346" i="4"/>
  <c r="Q346" i="4"/>
  <c r="V346" i="4" s="1"/>
  <c r="R346" i="4"/>
  <c r="W346" i="4" s="1"/>
  <c r="S346" i="4"/>
  <c r="X346" i="4" s="1"/>
  <c r="T346" i="4"/>
  <c r="Y346" i="4" s="1"/>
  <c r="B347" i="4"/>
  <c r="C347" i="4"/>
  <c r="F347" i="4"/>
  <c r="L347" i="4" s="1"/>
  <c r="G347" i="4"/>
  <c r="M347" i="4" s="1"/>
  <c r="H347" i="4"/>
  <c r="N347" i="4" s="1"/>
  <c r="I347" i="4"/>
  <c r="O347" i="4" s="1"/>
  <c r="J347" i="4"/>
  <c r="Q347" i="4"/>
  <c r="V347" i="4" s="1"/>
  <c r="R347" i="4"/>
  <c r="W347" i="4" s="1"/>
  <c r="S347" i="4"/>
  <c r="X347" i="4" s="1"/>
  <c r="T347" i="4"/>
  <c r="Y347" i="4" s="1"/>
  <c r="B348" i="4"/>
  <c r="C348" i="4"/>
  <c r="F348" i="4"/>
  <c r="L348" i="4" s="1"/>
  <c r="G348" i="4"/>
  <c r="M348" i="4" s="1"/>
  <c r="H348" i="4"/>
  <c r="N348" i="4" s="1"/>
  <c r="I348" i="4"/>
  <c r="O348" i="4" s="1"/>
  <c r="J348" i="4"/>
  <c r="Q348" i="4"/>
  <c r="V348" i="4" s="1"/>
  <c r="R348" i="4"/>
  <c r="S348" i="4"/>
  <c r="X348" i="4" s="1"/>
  <c r="T348" i="4"/>
  <c r="Y348" i="4" s="1"/>
  <c r="B349" i="4"/>
  <c r="C349" i="4"/>
  <c r="F349" i="4"/>
  <c r="G349" i="4"/>
  <c r="M349" i="4" s="1"/>
  <c r="H349" i="4"/>
  <c r="N349" i="4" s="1"/>
  <c r="I349" i="4"/>
  <c r="O349" i="4" s="1"/>
  <c r="J349" i="4"/>
  <c r="Q349" i="4"/>
  <c r="R349" i="4"/>
  <c r="W349" i="4" s="1"/>
  <c r="S349" i="4"/>
  <c r="X349" i="4" s="1"/>
  <c r="T349" i="4"/>
  <c r="Y349" i="4" s="1"/>
  <c r="B350" i="4"/>
  <c r="C350" i="4"/>
  <c r="F350" i="4"/>
  <c r="L350" i="4" s="1"/>
  <c r="G350" i="4"/>
  <c r="H350" i="4"/>
  <c r="N350" i="4" s="1"/>
  <c r="I350" i="4"/>
  <c r="O350" i="4" s="1"/>
  <c r="J350" i="4"/>
  <c r="Q350" i="4"/>
  <c r="R350" i="4"/>
  <c r="W350" i="4" s="1"/>
  <c r="S350" i="4"/>
  <c r="X350" i="4" s="1"/>
  <c r="T350" i="4"/>
  <c r="Y350" i="4" s="1"/>
  <c r="B351" i="4"/>
  <c r="C351" i="4"/>
  <c r="F351" i="4"/>
  <c r="G351" i="4"/>
  <c r="M351" i="4" s="1"/>
  <c r="H351" i="4"/>
  <c r="N351" i="4" s="1"/>
  <c r="I351" i="4"/>
  <c r="O351" i="4" s="1"/>
  <c r="J351" i="4"/>
  <c r="Q351" i="4"/>
  <c r="V351" i="4" s="1"/>
  <c r="R351" i="4"/>
  <c r="W351" i="4" s="1"/>
  <c r="S351" i="4"/>
  <c r="X351" i="4" s="1"/>
  <c r="T351" i="4"/>
  <c r="Y351" i="4" s="1"/>
  <c r="B352" i="4"/>
  <c r="C352" i="4"/>
  <c r="F352" i="4"/>
  <c r="L352" i="4" s="1"/>
  <c r="G352" i="4"/>
  <c r="M352" i="4" s="1"/>
  <c r="H352" i="4"/>
  <c r="N352" i="4" s="1"/>
  <c r="I352" i="4"/>
  <c r="O352" i="4" s="1"/>
  <c r="J352" i="4"/>
  <c r="Q352" i="4"/>
  <c r="V352" i="4" s="1"/>
  <c r="R352" i="4"/>
  <c r="W352" i="4" s="1"/>
  <c r="S352" i="4"/>
  <c r="X352" i="4" s="1"/>
  <c r="T352" i="4"/>
  <c r="Y352" i="4" s="1"/>
  <c r="B353" i="4"/>
  <c r="C353" i="4"/>
  <c r="F353" i="4"/>
  <c r="L353" i="4" s="1"/>
  <c r="G353" i="4"/>
  <c r="M353" i="4" s="1"/>
  <c r="H353" i="4"/>
  <c r="N353" i="4" s="1"/>
  <c r="I353" i="4"/>
  <c r="O353" i="4" s="1"/>
  <c r="J353" i="4"/>
  <c r="Q353" i="4"/>
  <c r="R353" i="4"/>
  <c r="W353" i="4" s="1"/>
  <c r="S353" i="4"/>
  <c r="X353" i="4" s="1"/>
  <c r="T353" i="4"/>
  <c r="Y353" i="4" s="1"/>
  <c r="B354" i="4"/>
  <c r="C354" i="4"/>
  <c r="F354" i="4"/>
  <c r="G354" i="4"/>
  <c r="M354" i="4" s="1"/>
  <c r="H354" i="4"/>
  <c r="N354" i="4" s="1"/>
  <c r="I354" i="4"/>
  <c r="O354" i="4" s="1"/>
  <c r="J354" i="4"/>
  <c r="Q354" i="4"/>
  <c r="V354" i="4" s="1"/>
  <c r="R354" i="4"/>
  <c r="W354" i="4" s="1"/>
  <c r="S354" i="4"/>
  <c r="X354" i="4" s="1"/>
  <c r="T354" i="4"/>
  <c r="Y354" i="4" s="1"/>
  <c r="B355" i="4"/>
  <c r="C355" i="4"/>
  <c r="F355" i="4"/>
  <c r="L355" i="4" s="1"/>
  <c r="G355" i="4"/>
  <c r="H355" i="4"/>
  <c r="N355" i="4" s="1"/>
  <c r="I355" i="4"/>
  <c r="O355" i="4" s="1"/>
  <c r="J355" i="4"/>
  <c r="Q355" i="4"/>
  <c r="V355" i="4" s="1"/>
  <c r="R355" i="4"/>
  <c r="W355" i="4" s="1"/>
  <c r="S355" i="4"/>
  <c r="X355" i="4" s="1"/>
  <c r="T355" i="4"/>
  <c r="Y355" i="4" s="1"/>
  <c r="B356" i="4"/>
  <c r="C356" i="4"/>
  <c r="F356" i="4"/>
  <c r="L356" i="4" s="1"/>
  <c r="G356" i="4"/>
  <c r="M356" i="4" s="1"/>
  <c r="H356" i="4"/>
  <c r="N356" i="4" s="1"/>
  <c r="I356" i="4"/>
  <c r="O356" i="4" s="1"/>
  <c r="J356" i="4"/>
  <c r="Q356" i="4"/>
  <c r="V356" i="4" s="1"/>
  <c r="R356" i="4"/>
  <c r="W356" i="4" s="1"/>
  <c r="S356" i="4"/>
  <c r="X356" i="4" s="1"/>
  <c r="T356" i="4"/>
  <c r="Y356" i="4" s="1"/>
  <c r="B357" i="4"/>
  <c r="C357" i="4"/>
  <c r="F357" i="4"/>
  <c r="G357" i="4"/>
  <c r="M357" i="4" s="1"/>
  <c r="H357" i="4"/>
  <c r="N357" i="4" s="1"/>
  <c r="I357" i="4"/>
  <c r="O357" i="4" s="1"/>
  <c r="J357" i="4"/>
  <c r="Q357" i="4"/>
  <c r="V357" i="4" s="1"/>
  <c r="R357" i="4"/>
  <c r="W357" i="4" s="1"/>
  <c r="S357" i="4"/>
  <c r="X357" i="4" s="1"/>
  <c r="T357" i="4"/>
  <c r="Y357" i="4" s="1"/>
  <c r="B358" i="4"/>
  <c r="C358" i="4"/>
  <c r="F358" i="4"/>
  <c r="G358" i="4"/>
  <c r="M358" i="4" s="1"/>
  <c r="H358" i="4"/>
  <c r="N358" i="4" s="1"/>
  <c r="I358" i="4"/>
  <c r="O358" i="4" s="1"/>
  <c r="J358" i="4"/>
  <c r="Q358" i="4"/>
  <c r="V358" i="4" s="1"/>
  <c r="R358" i="4"/>
  <c r="W358" i="4" s="1"/>
  <c r="S358" i="4"/>
  <c r="X358" i="4" s="1"/>
  <c r="T358" i="4"/>
  <c r="Y358" i="4" s="1"/>
  <c r="B359" i="4"/>
  <c r="C359" i="4"/>
  <c r="F359" i="4"/>
  <c r="L359" i="4" s="1"/>
  <c r="G359" i="4"/>
  <c r="H359" i="4"/>
  <c r="N359" i="4" s="1"/>
  <c r="I359" i="4"/>
  <c r="O359" i="4" s="1"/>
  <c r="J359" i="4"/>
  <c r="Q359" i="4"/>
  <c r="R359" i="4"/>
  <c r="W359" i="4" s="1"/>
  <c r="S359" i="4"/>
  <c r="X359" i="4" s="1"/>
  <c r="T359" i="4"/>
  <c r="Y359" i="4" s="1"/>
  <c r="B360" i="4"/>
  <c r="C360" i="4"/>
  <c r="F360" i="4"/>
  <c r="L360" i="4" s="1"/>
  <c r="G360" i="4"/>
  <c r="H360" i="4"/>
  <c r="N360" i="4" s="1"/>
  <c r="I360" i="4"/>
  <c r="O360" i="4" s="1"/>
  <c r="J360" i="4"/>
  <c r="Q360" i="4"/>
  <c r="R360" i="4"/>
  <c r="W360" i="4" s="1"/>
  <c r="S360" i="4"/>
  <c r="X360" i="4" s="1"/>
  <c r="T360" i="4"/>
  <c r="Y360" i="4" s="1"/>
  <c r="B361" i="4"/>
  <c r="C361" i="4"/>
  <c r="F361" i="4"/>
  <c r="G361" i="4"/>
  <c r="M361" i="4" s="1"/>
  <c r="H361" i="4"/>
  <c r="N361" i="4" s="1"/>
  <c r="I361" i="4"/>
  <c r="O361" i="4" s="1"/>
  <c r="J361" i="4"/>
  <c r="Q361" i="4"/>
  <c r="R361" i="4"/>
  <c r="W361" i="4" s="1"/>
  <c r="S361" i="4"/>
  <c r="X361" i="4" s="1"/>
  <c r="T361" i="4"/>
  <c r="Y361" i="4" s="1"/>
  <c r="B362" i="4"/>
  <c r="C362" i="4"/>
  <c r="F362" i="4"/>
  <c r="G362" i="4"/>
  <c r="M362" i="4" s="1"/>
  <c r="H362" i="4"/>
  <c r="N362" i="4" s="1"/>
  <c r="I362" i="4"/>
  <c r="O362" i="4" s="1"/>
  <c r="J362" i="4"/>
  <c r="Q362" i="4"/>
  <c r="R362" i="4"/>
  <c r="W362" i="4" s="1"/>
  <c r="S362" i="4"/>
  <c r="X362" i="4" s="1"/>
  <c r="T362" i="4"/>
  <c r="Y362" i="4" s="1"/>
  <c r="B363" i="4"/>
  <c r="C363" i="4"/>
  <c r="F363" i="4"/>
  <c r="L363" i="4" s="1"/>
  <c r="G363" i="4"/>
  <c r="M363" i="4" s="1"/>
  <c r="H363" i="4"/>
  <c r="N363" i="4" s="1"/>
  <c r="I363" i="4"/>
  <c r="O363" i="4" s="1"/>
  <c r="J363" i="4"/>
  <c r="Q363" i="4"/>
  <c r="R363" i="4"/>
  <c r="W363" i="4" s="1"/>
  <c r="S363" i="4"/>
  <c r="X363" i="4" s="1"/>
  <c r="T363" i="4"/>
  <c r="Y363" i="4" s="1"/>
  <c r="B364" i="4"/>
  <c r="C364" i="4"/>
  <c r="F364" i="4"/>
  <c r="L364" i="4" s="1"/>
  <c r="G364" i="4"/>
  <c r="H364" i="4"/>
  <c r="N364" i="4" s="1"/>
  <c r="I364" i="4"/>
  <c r="O364" i="4" s="1"/>
  <c r="J364" i="4"/>
  <c r="Q364" i="4"/>
  <c r="R364" i="4"/>
  <c r="W364" i="4" s="1"/>
  <c r="S364" i="4"/>
  <c r="X364" i="4" s="1"/>
  <c r="T364" i="4"/>
  <c r="Y364" i="4" s="1"/>
  <c r="B365" i="4"/>
  <c r="C365" i="4"/>
  <c r="F365" i="4"/>
  <c r="L365" i="4" s="1"/>
  <c r="G365" i="4"/>
  <c r="M365" i="4" s="1"/>
  <c r="H365" i="4"/>
  <c r="I365" i="4"/>
  <c r="O365" i="4" s="1"/>
  <c r="J365" i="4"/>
  <c r="Q365" i="4"/>
  <c r="R365" i="4"/>
  <c r="W365" i="4" s="1"/>
  <c r="S365" i="4"/>
  <c r="X365" i="4" s="1"/>
  <c r="T365" i="4"/>
  <c r="Y365" i="4" s="1"/>
  <c r="B366" i="4"/>
  <c r="C366" i="4"/>
  <c r="F366" i="4"/>
  <c r="G366" i="4"/>
  <c r="M366" i="4" s="1"/>
  <c r="H366" i="4"/>
  <c r="N366" i="4" s="1"/>
  <c r="I366" i="4"/>
  <c r="O366" i="4" s="1"/>
  <c r="J366" i="4"/>
  <c r="Q366" i="4"/>
  <c r="R366" i="4"/>
  <c r="W366" i="4" s="1"/>
  <c r="S366" i="4"/>
  <c r="X366" i="4" s="1"/>
  <c r="T366" i="4"/>
  <c r="Y366" i="4" s="1"/>
  <c r="B367" i="4"/>
  <c r="C367" i="4"/>
  <c r="F367" i="4"/>
  <c r="G367" i="4"/>
  <c r="M367" i="4" s="1"/>
  <c r="H367" i="4"/>
  <c r="N367" i="4" s="1"/>
  <c r="I367" i="4"/>
  <c r="O367" i="4" s="1"/>
  <c r="J367" i="4"/>
  <c r="Q367" i="4"/>
  <c r="R367" i="4"/>
  <c r="W367" i="4" s="1"/>
  <c r="S367" i="4"/>
  <c r="X367" i="4" s="1"/>
  <c r="T367" i="4"/>
  <c r="Y367" i="4" s="1"/>
  <c r="B368" i="4"/>
  <c r="C368" i="4"/>
  <c r="F368" i="4"/>
  <c r="G368" i="4"/>
  <c r="H368" i="4"/>
  <c r="N368" i="4" s="1"/>
  <c r="I368" i="4"/>
  <c r="O368" i="4" s="1"/>
  <c r="J368" i="4"/>
  <c r="Q368" i="4"/>
  <c r="R368" i="4"/>
  <c r="W368" i="4" s="1"/>
  <c r="S368" i="4"/>
  <c r="X368" i="4" s="1"/>
  <c r="T368" i="4"/>
  <c r="Y368" i="4" s="1"/>
  <c r="B369" i="4"/>
  <c r="C369" i="4"/>
  <c r="F369" i="4"/>
  <c r="G369" i="4"/>
  <c r="M369" i="4" s="1"/>
  <c r="H369" i="4"/>
  <c r="N369" i="4" s="1"/>
  <c r="I369" i="4"/>
  <c r="O369" i="4" s="1"/>
  <c r="J369" i="4"/>
  <c r="Q369" i="4"/>
  <c r="R369" i="4"/>
  <c r="W369" i="4" s="1"/>
  <c r="S369" i="4"/>
  <c r="X369" i="4" s="1"/>
  <c r="T369" i="4"/>
  <c r="Y369" i="4" s="1"/>
  <c r="B370" i="4"/>
  <c r="C370" i="4"/>
  <c r="F370" i="4"/>
  <c r="L370" i="4" s="1"/>
  <c r="G370" i="4"/>
  <c r="M370" i="4" s="1"/>
  <c r="H370" i="4"/>
  <c r="N370" i="4" s="1"/>
  <c r="I370" i="4"/>
  <c r="O370" i="4" s="1"/>
  <c r="J370" i="4"/>
  <c r="Q370" i="4"/>
  <c r="V370" i="4" s="1"/>
  <c r="R370" i="4"/>
  <c r="W370" i="4" s="1"/>
  <c r="S370" i="4"/>
  <c r="X370" i="4" s="1"/>
  <c r="T370" i="4"/>
  <c r="Y370" i="4" s="1"/>
  <c r="B371" i="4"/>
  <c r="C371" i="4"/>
  <c r="F371" i="4"/>
  <c r="G371" i="4"/>
  <c r="M371" i="4" s="1"/>
  <c r="H371" i="4"/>
  <c r="N371" i="4" s="1"/>
  <c r="I371" i="4"/>
  <c r="O371" i="4" s="1"/>
  <c r="J371" i="4"/>
  <c r="Q371" i="4"/>
  <c r="V371" i="4" s="1"/>
  <c r="R371" i="4"/>
  <c r="W371" i="4" s="1"/>
  <c r="S371" i="4"/>
  <c r="T371" i="4"/>
  <c r="Y371" i="4" s="1"/>
  <c r="B372" i="4"/>
  <c r="C372" i="4"/>
  <c r="F372" i="4"/>
  <c r="G372" i="4"/>
  <c r="M372" i="4" s="1"/>
  <c r="H372" i="4"/>
  <c r="N372" i="4" s="1"/>
  <c r="I372" i="4"/>
  <c r="O372" i="4" s="1"/>
  <c r="J372" i="4"/>
  <c r="Q372" i="4"/>
  <c r="R372" i="4"/>
  <c r="W372" i="4" s="1"/>
  <c r="S372" i="4"/>
  <c r="X372" i="4" s="1"/>
  <c r="T372" i="4"/>
  <c r="Y372" i="4" s="1"/>
  <c r="B373" i="4"/>
  <c r="C373" i="4"/>
  <c r="F373" i="4"/>
  <c r="L373" i="4" s="1"/>
  <c r="G373" i="4"/>
  <c r="H373" i="4"/>
  <c r="N373" i="4" s="1"/>
  <c r="I373" i="4"/>
  <c r="O373" i="4" s="1"/>
  <c r="J373" i="4"/>
  <c r="Q373" i="4"/>
  <c r="V373" i="4" s="1"/>
  <c r="R373" i="4"/>
  <c r="W373" i="4" s="1"/>
  <c r="S373" i="4"/>
  <c r="X373" i="4" s="1"/>
  <c r="T373" i="4"/>
  <c r="Y373" i="4" s="1"/>
  <c r="B374" i="4"/>
  <c r="C374" i="4"/>
  <c r="F374" i="4"/>
  <c r="L374" i="4" s="1"/>
  <c r="G374" i="4"/>
  <c r="M374" i="4" s="1"/>
  <c r="H374" i="4"/>
  <c r="N374" i="4" s="1"/>
  <c r="I374" i="4"/>
  <c r="O374" i="4" s="1"/>
  <c r="J374" i="4"/>
  <c r="Q374" i="4"/>
  <c r="V374" i="4" s="1"/>
  <c r="R374" i="4"/>
  <c r="W374" i="4" s="1"/>
  <c r="S374" i="4"/>
  <c r="X374" i="4" s="1"/>
  <c r="T374" i="4"/>
  <c r="Y374" i="4" s="1"/>
  <c r="B375" i="4"/>
  <c r="C375" i="4"/>
  <c r="F375" i="4"/>
  <c r="G375" i="4"/>
  <c r="M375" i="4" s="1"/>
  <c r="H375" i="4"/>
  <c r="N375" i="4" s="1"/>
  <c r="I375" i="4"/>
  <c r="O375" i="4" s="1"/>
  <c r="J375" i="4"/>
  <c r="Q375" i="4"/>
  <c r="V375" i="4" s="1"/>
  <c r="R375" i="4"/>
  <c r="W375" i="4" s="1"/>
  <c r="S375" i="4"/>
  <c r="T375" i="4"/>
  <c r="Y375" i="4" s="1"/>
  <c r="B376" i="4"/>
  <c r="C376" i="4"/>
  <c r="F376" i="4"/>
  <c r="G376" i="4"/>
  <c r="M376" i="4" s="1"/>
  <c r="H376" i="4"/>
  <c r="N376" i="4" s="1"/>
  <c r="I376" i="4"/>
  <c r="O376" i="4" s="1"/>
  <c r="J376" i="4"/>
  <c r="Q376" i="4"/>
  <c r="R376" i="4"/>
  <c r="S376" i="4"/>
  <c r="X376" i="4" s="1"/>
  <c r="T376" i="4"/>
  <c r="Y376" i="4" s="1"/>
  <c r="B377" i="4"/>
  <c r="C377" i="4"/>
  <c r="F377" i="4"/>
  <c r="L377" i="4" s="1"/>
  <c r="G377" i="4"/>
  <c r="M377" i="4" s="1"/>
  <c r="H377" i="4"/>
  <c r="N377" i="4" s="1"/>
  <c r="I377" i="4"/>
  <c r="O377" i="4" s="1"/>
  <c r="J377" i="4"/>
  <c r="Q377" i="4"/>
  <c r="R377" i="4"/>
  <c r="S377" i="4"/>
  <c r="X377" i="4" s="1"/>
  <c r="T377" i="4"/>
  <c r="Y377" i="4" s="1"/>
  <c r="B378" i="4"/>
  <c r="C378" i="4"/>
  <c r="F378" i="4"/>
  <c r="L378" i="4" s="1"/>
  <c r="G378" i="4"/>
  <c r="H378" i="4"/>
  <c r="N378" i="4" s="1"/>
  <c r="I378" i="4"/>
  <c r="O378" i="4" s="1"/>
  <c r="J378" i="4"/>
  <c r="Q378" i="4"/>
  <c r="R378" i="4"/>
  <c r="W378" i="4" s="1"/>
  <c r="S378" i="4"/>
  <c r="X378" i="4" s="1"/>
  <c r="T378" i="4"/>
  <c r="Y378" i="4" s="1"/>
  <c r="B379" i="4"/>
  <c r="C379" i="4"/>
  <c r="F379" i="4"/>
  <c r="L379" i="4" s="1"/>
  <c r="G379" i="4"/>
  <c r="M379" i="4" s="1"/>
  <c r="H379" i="4"/>
  <c r="N379" i="4" s="1"/>
  <c r="I379" i="4"/>
  <c r="O379" i="4" s="1"/>
  <c r="J379" i="4"/>
  <c r="Q379" i="4"/>
  <c r="R379" i="4"/>
  <c r="W379" i="4" s="1"/>
  <c r="S379" i="4"/>
  <c r="X379" i="4" s="1"/>
  <c r="T379" i="4"/>
  <c r="Y379" i="4" s="1"/>
  <c r="B380" i="4"/>
  <c r="C380" i="4"/>
  <c r="F380" i="4"/>
  <c r="G380" i="4"/>
  <c r="M380" i="4" s="1"/>
  <c r="H380" i="4"/>
  <c r="N380" i="4" s="1"/>
  <c r="I380" i="4"/>
  <c r="O380" i="4" s="1"/>
  <c r="J380" i="4"/>
  <c r="Q380" i="4"/>
  <c r="R380" i="4"/>
  <c r="W380" i="4" s="1"/>
  <c r="S380" i="4"/>
  <c r="X380" i="4" s="1"/>
  <c r="T380" i="4"/>
  <c r="Y380" i="4" s="1"/>
  <c r="B381" i="4"/>
  <c r="C381" i="4"/>
  <c r="F381" i="4"/>
  <c r="G381" i="4"/>
  <c r="M381" i="4" s="1"/>
  <c r="H381" i="4"/>
  <c r="N381" i="4" s="1"/>
  <c r="I381" i="4"/>
  <c r="O381" i="4" s="1"/>
  <c r="J381" i="4"/>
  <c r="Q381" i="4"/>
  <c r="V381" i="4" s="1"/>
  <c r="R381" i="4"/>
  <c r="W381" i="4" s="1"/>
  <c r="S381" i="4"/>
  <c r="X381" i="4" s="1"/>
  <c r="T381" i="4"/>
  <c r="Y381" i="4" s="1"/>
  <c r="B382" i="4"/>
  <c r="C382" i="4"/>
  <c r="F382" i="4"/>
  <c r="L382" i="4" s="1"/>
  <c r="G382" i="4"/>
  <c r="H382" i="4"/>
  <c r="N382" i="4" s="1"/>
  <c r="I382" i="4"/>
  <c r="O382" i="4" s="1"/>
  <c r="J382" i="4"/>
  <c r="Q382" i="4"/>
  <c r="R382" i="4"/>
  <c r="W382" i="4" s="1"/>
  <c r="S382" i="4"/>
  <c r="X382" i="4" s="1"/>
  <c r="T382" i="4"/>
  <c r="Y382" i="4" s="1"/>
  <c r="B383" i="4"/>
  <c r="C383" i="4"/>
  <c r="F383" i="4"/>
  <c r="G383" i="4"/>
  <c r="M383" i="4" s="1"/>
  <c r="H383" i="4"/>
  <c r="N383" i="4" s="1"/>
  <c r="I383" i="4"/>
  <c r="O383" i="4" s="1"/>
  <c r="J383" i="4"/>
  <c r="Q383" i="4"/>
  <c r="V383" i="4" s="1"/>
  <c r="R383" i="4"/>
  <c r="W383" i="4" s="1"/>
  <c r="S383" i="4"/>
  <c r="X383" i="4" s="1"/>
  <c r="T383" i="4"/>
  <c r="Y383" i="4" s="1"/>
  <c r="B384" i="4"/>
  <c r="C384" i="4"/>
  <c r="F384" i="4"/>
  <c r="L384" i="4" s="1"/>
  <c r="G384" i="4"/>
  <c r="M384" i="4" s="1"/>
  <c r="H384" i="4"/>
  <c r="N384" i="4" s="1"/>
  <c r="I384" i="4"/>
  <c r="O384" i="4" s="1"/>
  <c r="J384" i="4"/>
  <c r="Q384" i="4"/>
  <c r="V384" i="4" s="1"/>
  <c r="R384" i="4"/>
  <c r="W384" i="4" s="1"/>
  <c r="S384" i="4"/>
  <c r="X384" i="4" s="1"/>
  <c r="T384" i="4"/>
  <c r="Y384" i="4" s="1"/>
  <c r="B385" i="4"/>
  <c r="C385" i="4"/>
  <c r="F385" i="4"/>
  <c r="G385" i="4"/>
  <c r="M385" i="4" s="1"/>
  <c r="H385" i="4"/>
  <c r="N385" i="4" s="1"/>
  <c r="I385" i="4"/>
  <c r="O385" i="4" s="1"/>
  <c r="J385" i="4"/>
  <c r="Q385" i="4"/>
  <c r="R385" i="4"/>
  <c r="W385" i="4" s="1"/>
  <c r="S385" i="4"/>
  <c r="X385" i="4" s="1"/>
  <c r="T385" i="4"/>
  <c r="Y385" i="4" s="1"/>
  <c r="B386" i="4"/>
  <c r="C386" i="4"/>
  <c r="F386" i="4"/>
  <c r="L386" i="4" s="1"/>
  <c r="G386" i="4"/>
  <c r="M386" i="4" s="1"/>
  <c r="H386" i="4"/>
  <c r="N386" i="4" s="1"/>
  <c r="I386" i="4"/>
  <c r="O386" i="4" s="1"/>
  <c r="J386" i="4"/>
  <c r="Q386" i="4"/>
  <c r="R386" i="4"/>
  <c r="W386" i="4" s="1"/>
  <c r="S386" i="4"/>
  <c r="X386" i="4" s="1"/>
  <c r="T386" i="4"/>
  <c r="Y386" i="4" s="1"/>
  <c r="B387" i="4"/>
  <c r="C387" i="4"/>
  <c r="F387" i="4"/>
  <c r="G387" i="4"/>
  <c r="M387" i="4" s="1"/>
  <c r="H387" i="4"/>
  <c r="N387" i="4" s="1"/>
  <c r="I387" i="4"/>
  <c r="O387" i="4" s="1"/>
  <c r="J387" i="4"/>
  <c r="Q387" i="4"/>
  <c r="R387" i="4"/>
  <c r="W387" i="4" s="1"/>
  <c r="S387" i="4"/>
  <c r="X387" i="4" s="1"/>
  <c r="T387" i="4"/>
  <c r="Y387" i="4" s="1"/>
  <c r="B388" i="4"/>
  <c r="C388" i="4"/>
  <c r="F388" i="4"/>
  <c r="G388" i="4"/>
  <c r="M388" i="4" s="1"/>
  <c r="H388" i="4"/>
  <c r="N388" i="4" s="1"/>
  <c r="I388" i="4"/>
  <c r="O388" i="4" s="1"/>
  <c r="J388" i="4"/>
  <c r="Q388" i="4"/>
  <c r="R388" i="4"/>
  <c r="W388" i="4" s="1"/>
  <c r="S388" i="4"/>
  <c r="X388" i="4" s="1"/>
  <c r="T388" i="4"/>
  <c r="Y388" i="4" s="1"/>
  <c r="B389" i="4"/>
  <c r="C389" i="4"/>
  <c r="F389" i="4"/>
  <c r="G389" i="4"/>
  <c r="M389" i="4" s="1"/>
  <c r="H389" i="4"/>
  <c r="I389" i="4"/>
  <c r="O389" i="4" s="1"/>
  <c r="J389" i="4"/>
  <c r="Q389" i="4"/>
  <c r="V389" i="4" s="1"/>
  <c r="R389" i="4"/>
  <c r="W389" i="4" s="1"/>
  <c r="S389" i="4"/>
  <c r="X389" i="4" s="1"/>
  <c r="T389" i="4"/>
  <c r="Y389" i="4" s="1"/>
  <c r="B390" i="4"/>
  <c r="C390" i="4"/>
  <c r="F390" i="4"/>
  <c r="L390" i="4" s="1"/>
  <c r="G390" i="4"/>
  <c r="M390" i="4" s="1"/>
  <c r="H390" i="4"/>
  <c r="N390" i="4" s="1"/>
  <c r="I390" i="4"/>
  <c r="O390" i="4" s="1"/>
  <c r="J390" i="4"/>
  <c r="Q390" i="4"/>
  <c r="V390" i="4" s="1"/>
  <c r="R390" i="4"/>
  <c r="W390" i="4" s="1"/>
  <c r="S390" i="4"/>
  <c r="X390" i="4" s="1"/>
  <c r="T390" i="4"/>
  <c r="Y390" i="4" s="1"/>
  <c r="B391" i="4"/>
  <c r="C391" i="4"/>
  <c r="F391" i="4"/>
  <c r="L391" i="4" s="1"/>
  <c r="G391" i="4"/>
  <c r="M391" i="4" s="1"/>
  <c r="H391" i="4"/>
  <c r="N391" i="4" s="1"/>
  <c r="I391" i="4"/>
  <c r="O391" i="4" s="1"/>
  <c r="J391" i="4"/>
  <c r="Q391" i="4"/>
  <c r="V391" i="4" s="1"/>
  <c r="R391" i="4"/>
  <c r="W391" i="4" s="1"/>
  <c r="S391" i="4"/>
  <c r="X391" i="4" s="1"/>
  <c r="T391" i="4"/>
  <c r="Y391" i="4" s="1"/>
  <c r="B392" i="4"/>
  <c r="C392" i="4"/>
  <c r="F392" i="4"/>
  <c r="G392" i="4"/>
  <c r="H392" i="4"/>
  <c r="N392" i="4" s="1"/>
  <c r="I392" i="4"/>
  <c r="O392" i="4" s="1"/>
  <c r="J392" i="4"/>
  <c r="Q392" i="4"/>
  <c r="V392" i="4" s="1"/>
  <c r="R392" i="4"/>
  <c r="W392" i="4" s="1"/>
  <c r="S392" i="4"/>
  <c r="X392" i="4" s="1"/>
  <c r="T392" i="4"/>
  <c r="Y392" i="4" s="1"/>
  <c r="B393" i="4"/>
  <c r="C393" i="4"/>
  <c r="F393" i="4"/>
  <c r="G393" i="4"/>
  <c r="M393" i="4" s="1"/>
  <c r="H393" i="4"/>
  <c r="N393" i="4" s="1"/>
  <c r="I393" i="4"/>
  <c r="O393" i="4" s="1"/>
  <c r="J393" i="4"/>
  <c r="Q393" i="4"/>
  <c r="R393" i="4"/>
  <c r="W393" i="4" s="1"/>
  <c r="S393" i="4"/>
  <c r="X393" i="4" s="1"/>
  <c r="T393" i="4"/>
  <c r="Y393" i="4" s="1"/>
  <c r="B394" i="4"/>
  <c r="C394" i="4"/>
  <c r="F394" i="4"/>
  <c r="G394" i="4"/>
  <c r="M394" i="4" s="1"/>
  <c r="H394" i="4"/>
  <c r="N394" i="4" s="1"/>
  <c r="I394" i="4"/>
  <c r="O394" i="4" s="1"/>
  <c r="J394" i="4"/>
  <c r="Q394" i="4"/>
  <c r="V394" i="4" s="1"/>
  <c r="R394" i="4"/>
  <c r="W394" i="4" s="1"/>
  <c r="S394" i="4"/>
  <c r="X394" i="4" s="1"/>
  <c r="T394" i="4"/>
  <c r="Y394" i="4" s="1"/>
  <c r="B395" i="4"/>
  <c r="C395" i="4"/>
  <c r="F395" i="4"/>
  <c r="L395" i="4" s="1"/>
  <c r="G395" i="4"/>
  <c r="H395" i="4"/>
  <c r="N395" i="4" s="1"/>
  <c r="I395" i="4"/>
  <c r="O395" i="4" s="1"/>
  <c r="J395" i="4"/>
  <c r="Q395" i="4"/>
  <c r="R395" i="4"/>
  <c r="W395" i="4" s="1"/>
  <c r="S395" i="4"/>
  <c r="X395" i="4" s="1"/>
  <c r="T395" i="4"/>
  <c r="Y395" i="4" s="1"/>
  <c r="B396" i="4"/>
  <c r="C396" i="4"/>
  <c r="F396" i="4"/>
  <c r="L396" i="4" s="1"/>
  <c r="G396" i="4"/>
  <c r="H396" i="4"/>
  <c r="N396" i="4" s="1"/>
  <c r="I396" i="4"/>
  <c r="O396" i="4" s="1"/>
  <c r="J396" i="4"/>
  <c r="Q396" i="4"/>
  <c r="R396" i="4"/>
  <c r="W396" i="4" s="1"/>
  <c r="S396" i="4"/>
  <c r="X396" i="4" s="1"/>
  <c r="T396" i="4"/>
  <c r="Y396" i="4" s="1"/>
  <c r="B397" i="4"/>
  <c r="C397" i="4"/>
  <c r="F397" i="4"/>
  <c r="G397" i="4"/>
  <c r="M397" i="4" s="1"/>
  <c r="H397" i="4"/>
  <c r="N397" i="4" s="1"/>
  <c r="I397" i="4"/>
  <c r="O397" i="4" s="1"/>
  <c r="J397" i="4"/>
  <c r="Q397" i="4"/>
  <c r="R397" i="4"/>
  <c r="W397" i="4" s="1"/>
  <c r="S397" i="4"/>
  <c r="X397" i="4" s="1"/>
  <c r="T397" i="4"/>
  <c r="Y397" i="4" s="1"/>
  <c r="B398" i="4"/>
  <c r="C398" i="4"/>
  <c r="F398" i="4"/>
  <c r="G398" i="4"/>
  <c r="M398" i="4" s="1"/>
  <c r="H398" i="4"/>
  <c r="N398" i="4" s="1"/>
  <c r="I398" i="4"/>
  <c r="O398" i="4" s="1"/>
  <c r="J398" i="4"/>
  <c r="Q398" i="4"/>
  <c r="V398" i="4" s="1"/>
  <c r="R398" i="4"/>
  <c r="W398" i="4" s="1"/>
  <c r="S398" i="4"/>
  <c r="X398" i="4" s="1"/>
  <c r="T398" i="4"/>
  <c r="Y398" i="4" s="1"/>
  <c r="B399" i="4"/>
  <c r="C399" i="4"/>
  <c r="F399" i="4"/>
  <c r="L399" i="4" s="1"/>
  <c r="G399" i="4"/>
  <c r="M399" i="4" s="1"/>
  <c r="H399" i="4"/>
  <c r="N399" i="4" s="1"/>
  <c r="I399" i="4"/>
  <c r="O399" i="4" s="1"/>
  <c r="J399" i="4"/>
  <c r="Q399" i="4"/>
  <c r="V399" i="4" s="1"/>
  <c r="R399" i="4"/>
  <c r="S399" i="4"/>
  <c r="X399" i="4" s="1"/>
  <c r="T399" i="4"/>
  <c r="Y399" i="4" s="1"/>
  <c r="B400" i="4"/>
  <c r="C400" i="4"/>
  <c r="F400" i="4"/>
  <c r="L400" i="4" s="1"/>
  <c r="G400" i="4"/>
  <c r="M400" i="4" s="1"/>
  <c r="H400" i="4"/>
  <c r="N400" i="4" s="1"/>
  <c r="I400" i="4"/>
  <c r="O400" i="4" s="1"/>
  <c r="J400" i="4"/>
  <c r="Q400" i="4"/>
  <c r="V400" i="4" s="1"/>
  <c r="R400" i="4"/>
  <c r="S400" i="4"/>
  <c r="X400" i="4" s="1"/>
  <c r="T400" i="4"/>
  <c r="Y400" i="4" s="1"/>
  <c r="B401" i="4"/>
  <c r="C401" i="4"/>
  <c r="F401" i="4"/>
  <c r="G401" i="4"/>
  <c r="M401" i="4" s="1"/>
  <c r="H401" i="4"/>
  <c r="N401" i="4" s="1"/>
  <c r="I401" i="4"/>
  <c r="O401" i="4" s="1"/>
  <c r="J401" i="4"/>
  <c r="Q401" i="4"/>
  <c r="R401" i="4"/>
  <c r="W401" i="4" s="1"/>
  <c r="S401" i="4"/>
  <c r="X401" i="4" s="1"/>
  <c r="T401" i="4"/>
  <c r="Y401" i="4" s="1"/>
  <c r="B402" i="4"/>
  <c r="C402" i="4"/>
  <c r="F402" i="4"/>
  <c r="L402" i="4" s="1"/>
  <c r="G402" i="4"/>
  <c r="H402" i="4"/>
  <c r="N402" i="4" s="1"/>
  <c r="I402" i="4"/>
  <c r="O402" i="4" s="1"/>
  <c r="J402" i="4"/>
  <c r="Q402" i="4"/>
  <c r="V402" i="4" s="1"/>
  <c r="R402" i="4"/>
  <c r="W402" i="4" s="1"/>
  <c r="S402" i="4"/>
  <c r="X402" i="4" s="1"/>
  <c r="T402" i="4"/>
  <c r="Y402" i="4" s="1"/>
  <c r="B403" i="4"/>
  <c r="C403" i="4"/>
  <c r="F403" i="4"/>
  <c r="L403" i="4" s="1"/>
  <c r="G403" i="4"/>
  <c r="H403" i="4"/>
  <c r="N403" i="4" s="1"/>
  <c r="I403" i="4"/>
  <c r="O403" i="4" s="1"/>
  <c r="J403" i="4"/>
  <c r="Q403" i="4"/>
  <c r="R403" i="4"/>
  <c r="W403" i="4" s="1"/>
  <c r="S403" i="4"/>
  <c r="T403" i="4"/>
  <c r="Y403" i="4" s="1"/>
  <c r="B404" i="4"/>
  <c r="C404" i="4"/>
  <c r="F404" i="4"/>
  <c r="L404" i="4" s="1"/>
  <c r="G404" i="4"/>
  <c r="M404" i="4" s="1"/>
  <c r="H404" i="4"/>
  <c r="I404" i="4"/>
  <c r="O404" i="4" s="1"/>
  <c r="J404" i="4"/>
  <c r="Q404" i="4"/>
  <c r="R404" i="4"/>
  <c r="W404" i="4" s="1"/>
  <c r="S404" i="4"/>
  <c r="X404" i="4" s="1"/>
  <c r="T404" i="4"/>
  <c r="Y404" i="4" s="1"/>
  <c r="B405" i="4"/>
  <c r="C405" i="4"/>
  <c r="F405" i="4"/>
  <c r="L405" i="4" s="1"/>
  <c r="G405" i="4"/>
  <c r="M405" i="4" s="1"/>
  <c r="H405" i="4"/>
  <c r="I405" i="4"/>
  <c r="O405" i="4" s="1"/>
  <c r="J405" i="4"/>
  <c r="Q405" i="4"/>
  <c r="V405" i="4" s="1"/>
  <c r="R405" i="4"/>
  <c r="S405" i="4"/>
  <c r="X405" i="4" s="1"/>
  <c r="T405" i="4"/>
  <c r="Y405" i="4" s="1"/>
  <c r="B406" i="4"/>
  <c r="C406" i="4"/>
  <c r="F406" i="4"/>
  <c r="L406" i="4" s="1"/>
  <c r="G406" i="4"/>
  <c r="M406" i="4" s="1"/>
  <c r="H406" i="4"/>
  <c r="N406" i="4" s="1"/>
  <c r="I406" i="4"/>
  <c r="O406" i="4" s="1"/>
  <c r="J406" i="4"/>
  <c r="Q406" i="4"/>
  <c r="V406" i="4" s="1"/>
  <c r="R406" i="4"/>
  <c r="S406" i="4"/>
  <c r="X406" i="4" s="1"/>
  <c r="T406" i="4"/>
  <c r="Y406" i="4" s="1"/>
  <c r="B407" i="4"/>
  <c r="C407" i="4"/>
  <c r="F407" i="4"/>
  <c r="L407" i="4" s="1"/>
  <c r="G407" i="4"/>
  <c r="M407" i="4" s="1"/>
  <c r="H407" i="4"/>
  <c r="N407" i="4" s="1"/>
  <c r="I407" i="4"/>
  <c r="O407" i="4" s="1"/>
  <c r="J407" i="4"/>
  <c r="Q407" i="4"/>
  <c r="V407" i="4" s="1"/>
  <c r="R407" i="4"/>
  <c r="W407" i="4" s="1"/>
  <c r="S407" i="4"/>
  <c r="X407" i="4" s="1"/>
  <c r="T407" i="4"/>
  <c r="Y407" i="4" s="1"/>
  <c r="B408" i="4"/>
  <c r="C408" i="4"/>
  <c r="F408" i="4"/>
  <c r="G408" i="4"/>
  <c r="M408" i="4" s="1"/>
  <c r="H408" i="4"/>
  <c r="N408" i="4" s="1"/>
  <c r="I408" i="4"/>
  <c r="O408" i="4" s="1"/>
  <c r="J408" i="4"/>
  <c r="Q408" i="4"/>
  <c r="V408" i="4" s="1"/>
  <c r="R408" i="4"/>
  <c r="W408" i="4" s="1"/>
  <c r="S408" i="4"/>
  <c r="T408" i="4"/>
  <c r="Y408" i="4" s="1"/>
  <c r="B409" i="4"/>
  <c r="C409" i="4"/>
  <c r="F409" i="4"/>
  <c r="L409" i="4" s="1"/>
  <c r="G409" i="4"/>
  <c r="M409" i="4" s="1"/>
  <c r="H409" i="4"/>
  <c r="N409" i="4" s="1"/>
  <c r="I409" i="4"/>
  <c r="O409" i="4" s="1"/>
  <c r="J409" i="4"/>
  <c r="Q409" i="4"/>
  <c r="V409" i="4" s="1"/>
  <c r="R409" i="4"/>
  <c r="W409" i="4" s="1"/>
  <c r="S409" i="4"/>
  <c r="X409" i="4" s="1"/>
  <c r="T409" i="4"/>
  <c r="Y409" i="4" s="1"/>
  <c r="B410" i="4"/>
  <c r="C410" i="4"/>
  <c r="F410" i="4"/>
  <c r="G410" i="4"/>
  <c r="M410" i="4" s="1"/>
  <c r="H410" i="4"/>
  <c r="I410" i="4"/>
  <c r="O410" i="4" s="1"/>
  <c r="J410" i="4"/>
  <c r="Q410" i="4"/>
  <c r="V410" i="4" s="1"/>
  <c r="R410" i="4"/>
  <c r="W410" i="4" s="1"/>
  <c r="S410" i="4"/>
  <c r="X410" i="4" s="1"/>
  <c r="T410" i="4"/>
  <c r="Y410" i="4" s="1"/>
  <c r="B411" i="4"/>
  <c r="C411" i="4"/>
  <c r="F411" i="4"/>
  <c r="G411" i="4"/>
  <c r="M411" i="4" s="1"/>
  <c r="H411" i="4"/>
  <c r="N411" i="4" s="1"/>
  <c r="I411" i="4"/>
  <c r="O411" i="4" s="1"/>
  <c r="J411" i="4"/>
  <c r="Q411" i="4"/>
  <c r="V411" i="4" s="1"/>
  <c r="R411" i="4"/>
  <c r="W411" i="4" s="1"/>
  <c r="S411" i="4"/>
  <c r="T411" i="4"/>
  <c r="Y411" i="4" s="1"/>
  <c r="B412" i="4"/>
  <c r="C412" i="4"/>
  <c r="F412" i="4"/>
  <c r="G412" i="4"/>
  <c r="M412" i="4" s="1"/>
  <c r="H412" i="4"/>
  <c r="I412" i="4"/>
  <c r="O412" i="4" s="1"/>
  <c r="J412" i="4"/>
  <c r="Q412" i="4"/>
  <c r="V412" i="4" s="1"/>
  <c r="R412" i="4"/>
  <c r="W412" i="4" s="1"/>
  <c r="S412" i="4"/>
  <c r="T412" i="4"/>
  <c r="Y412" i="4" s="1"/>
  <c r="B413" i="4"/>
  <c r="C413" i="4"/>
  <c r="F413" i="4"/>
  <c r="L413" i="4" s="1"/>
  <c r="G413" i="4"/>
  <c r="M413" i="4" s="1"/>
  <c r="H413" i="4"/>
  <c r="N413" i="4" s="1"/>
  <c r="I413" i="4"/>
  <c r="O413" i="4" s="1"/>
  <c r="J413" i="4"/>
  <c r="Q413" i="4"/>
  <c r="V413" i="4" s="1"/>
  <c r="R413" i="4"/>
  <c r="W413" i="4" s="1"/>
  <c r="S413" i="4"/>
  <c r="X413" i="4" s="1"/>
  <c r="T413" i="4"/>
  <c r="Y413" i="4" s="1"/>
  <c r="B414" i="4"/>
  <c r="C414" i="4"/>
  <c r="F414" i="4"/>
  <c r="L414" i="4" s="1"/>
  <c r="G414" i="4"/>
  <c r="M414" i="4" s="1"/>
  <c r="H414" i="4"/>
  <c r="N414" i="4" s="1"/>
  <c r="I414" i="4"/>
  <c r="O414" i="4" s="1"/>
  <c r="J414" i="4"/>
  <c r="Q414" i="4"/>
  <c r="V414" i="4" s="1"/>
  <c r="R414" i="4"/>
  <c r="W414" i="4" s="1"/>
  <c r="S414" i="4"/>
  <c r="X414" i="4" s="1"/>
  <c r="T414" i="4"/>
  <c r="Y414" i="4" s="1"/>
  <c r="B415" i="4"/>
  <c r="C415" i="4"/>
  <c r="F415" i="4"/>
  <c r="G415" i="4"/>
  <c r="M415" i="4" s="1"/>
  <c r="H415" i="4"/>
  <c r="N415" i="4" s="1"/>
  <c r="I415" i="4"/>
  <c r="O415" i="4" s="1"/>
  <c r="J415" i="4"/>
  <c r="Q415" i="4"/>
  <c r="V415" i="4" s="1"/>
  <c r="R415" i="4"/>
  <c r="S415" i="4"/>
  <c r="X415" i="4" s="1"/>
  <c r="T415" i="4"/>
  <c r="Y415" i="4" s="1"/>
  <c r="B416" i="4"/>
  <c r="C416" i="4"/>
  <c r="F416" i="4"/>
  <c r="L416" i="4" s="1"/>
  <c r="G416" i="4"/>
  <c r="H416" i="4"/>
  <c r="N416" i="4" s="1"/>
  <c r="I416" i="4"/>
  <c r="O416" i="4" s="1"/>
  <c r="J416" i="4"/>
  <c r="Q416" i="4"/>
  <c r="V416" i="4" s="1"/>
  <c r="R416" i="4"/>
  <c r="W416" i="4" s="1"/>
  <c r="S416" i="4"/>
  <c r="X416" i="4" s="1"/>
  <c r="T416" i="4"/>
  <c r="Y416" i="4" s="1"/>
  <c r="B417" i="4"/>
  <c r="C417" i="4"/>
  <c r="F417" i="4"/>
  <c r="G417" i="4"/>
  <c r="M417" i="4" s="1"/>
  <c r="H417" i="4"/>
  <c r="N417" i="4" s="1"/>
  <c r="I417" i="4"/>
  <c r="O417" i="4" s="1"/>
  <c r="J417" i="4"/>
  <c r="Q417" i="4"/>
  <c r="V417" i="4" s="1"/>
  <c r="R417" i="4"/>
  <c r="W417" i="4" s="1"/>
  <c r="S417" i="4"/>
  <c r="X417" i="4" s="1"/>
  <c r="T417" i="4"/>
  <c r="Y417" i="4" s="1"/>
  <c r="B418" i="4"/>
  <c r="C418" i="4"/>
  <c r="F418" i="4"/>
  <c r="G418" i="4"/>
  <c r="M418" i="4" s="1"/>
  <c r="H418" i="4"/>
  <c r="N418" i="4" s="1"/>
  <c r="I418" i="4"/>
  <c r="O418" i="4" s="1"/>
  <c r="J418" i="4"/>
  <c r="Q418" i="4"/>
  <c r="R418" i="4"/>
  <c r="W418" i="4" s="1"/>
  <c r="S418" i="4"/>
  <c r="X418" i="4" s="1"/>
  <c r="T418" i="4"/>
  <c r="Y418" i="4" s="1"/>
  <c r="B419" i="4"/>
  <c r="C419" i="4"/>
  <c r="F419" i="4"/>
  <c r="G419" i="4"/>
  <c r="M419" i="4" s="1"/>
  <c r="H419" i="4"/>
  <c r="N419" i="4" s="1"/>
  <c r="I419" i="4"/>
  <c r="O419" i="4" s="1"/>
  <c r="J419" i="4"/>
  <c r="Q419" i="4"/>
  <c r="V419" i="4" s="1"/>
  <c r="R419" i="4"/>
  <c r="W419" i="4" s="1"/>
  <c r="S419" i="4"/>
  <c r="T419" i="4"/>
  <c r="Y419" i="4" s="1"/>
  <c r="B420" i="4"/>
  <c r="C420" i="4"/>
  <c r="F420" i="4"/>
  <c r="L420" i="4" s="1"/>
  <c r="G420" i="4"/>
  <c r="M420" i="4" s="1"/>
  <c r="H420" i="4"/>
  <c r="N420" i="4" s="1"/>
  <c r="I420" i="4"/>
  <c r="O420" i="4" s="1"/>
  <c r="J420" i="4"/>
  <c r="Q420" i="4"/>
  <c r="R420" i="4"/>
  <c r="W420" i="4" s="1"/>
  <c r="S420" i="4"/>
  <c r="X420" i="4" s="1"/>
  <c r="T420" i="4"/>
  <c r="Y420" i="4" s="1"/>
  <c r="B421" i="4"/>
  <c r="C421" i="4"/>
  <c r="F421" i="4"/>
  <c r="L421" i="4" s="1"/>
  <c r="G421" i="4"/>
  <c r="M421" i="4" s="1"/>
  <c r="H421" i="4"/>
  <c r="N421" i="4" s="1"/>
  <c r="I421" i="4"/>
  <c r="O421" i="4" s="1"/>
  <c r="J421" i="4"/>
  <c r="Q421" i="4"/>
  <c r="V421" i="4" s="1"/>
  <c r="R421" i="4"/>
  <c r="W421" i="4" s="1"/>
  <c r="S421" i="4"/>
  <c r="X421" i="4" s="1"/>
  <c r="T421" i="4"/>
  <c r="Y421" i="4" s="1"/>
  <c r="B422" i="4"/>
  <c r="C422" i="4"/>
  <c r="F422" i="4"/>
  <c r="L422" i="4" s="1"/>
  <c r="G422" i="4"/>
  <c r="M422" i="4" s="1"/>
  <c r="H422" i="4"/>
  <c r="N422" i="4" s="1"/>
  <c r="I422" i="4"/>
  <c r="O422" i="4" s="1"/>
  <c r="J422" i="4"/>
  <c r="Q422" i="4"/>
  <c r="R422" i="4"/>
  <c r="W422" i="4" s="1"/>
  <c r="S422" i="4"/>
  <c r="T422" i="4"/>
  <c r="Y422" i="4" s="1"/>
  <c r="B423" i="4"/>
  <c r="C423" i="4"/>
  <c r="F423" i="4"/>
  <c r="L423" i="4" s="1"/>
  <c r="G423" i="4"/>
  <c r="M423" i="4" s="1"/>
  <c r="H423" i="4"/>
  <c r="I423" i="4"/>
  <c r="O423" i="4" s="1"/>
  <c r="J423" i="4"/>
  <c r="Q423" i="4"/>
  <c r="R423" i="4"/>
  <c r="W423" i="4" s="1"/>
  <c r="S423" i="4"/>
  <c r="X423" i="4" s="1"/>
  <c r="T423" i="4"/>
  <c r="Y423" i="4" s="1"/>
  <c r="B424" i="4"/>
  <c r="C424" i="4"/>
  <c r="F424" i="4"/>
  <c r="G424" i="4"/>
  <c r="M424" i="4" s="1"/>
  <c r="H424" i="4"/>
  <c r="N424" i="4" s="1"/>
  <c r="I424" i="4"/>
  <c r="O424" i="4" s="1"/>
  <c r="J424" i="4"/>
  <c r="Q424" i="4"/>
  <c r="V424" i="4" s="1"/>
  <c r="R424" i="4"/>
  <c r="W424" i="4" s="1"/>
  <c r="S424" i="4"/>
  <c r="X424" i="4" s="1"/>
  <c r="T424" i="4"/>
  <c r="Y424" i="4" s="1"/>
  <c r="B425" i="4"/>
  <c r="C425" i="4"/>
  <c r="F425" i="4"/>
  <c r="L425" i="4" s="1"/>
  <c r="G425" i="4"/>
  <c r="M425" i="4" s="1"/>
  <c r="H425" i="4"/>
  <c r="N425" i="4" s="1"/>
  <c r="I425" i="4"/>
  <c r="O425" i="4" s="1"/>
  <c r="J425" i="4"/>
  <c r="Q425" i="4"/>
  <c r="R425" i="4"/>
  <c r="W425" i="4" s="1"/>
  <c r="S425" i="4"/>
  <c r="X425" i="4" s="1"/>
  <c r="T425" i="4"/>
  <c r="Y425" i="4" s="1"/>
  <c r="B426" i="4"/>
  <c r="C426" i="4"/>
  <c r="F426" i="4"/>
  <c r="L426" i="4" s="1"/>
  <c r="G426" i="4"/>
  <c r="M426" i="4" s="1"/>
  <c r="H426" i="4"/>
  <c r="N426" i="4" s="1"/>
  <c r="I426" i="4"/>
  <c r="O426" i="4" s="1"/>
  <c r="J426" i="4"/>
  <c r="Q426" i="4"/>
  <c r="R426" i="4"/>
  <c r="W426" i="4" s="1"/>
  <c r="S426" i="4"/>
  <c r="X426" i="4" s="1"/>
  <c r="T426" i="4"/>
  <c r="Y426" i="4" s="1"/>
  <c r="B427" i="4"/>
  <c r="C427" i="4"/>
  <c r="F427" i="4"/>
  <c r="L427" i="4" s="1"/>
  <c r="G427" i="4"/>
  <c r="H427" i="4"/>
  <c r="N427" i="4" s="1"/>
  <c r="I427" i="4"/>
  <c r="O427" i="4" s="1"/>
  <c r="J427" i="4"/>
  <c r="Q427" i="4"/>
  <c r="V427" i="4" s="1"/>
  <c r="R427" i="4"/>
  <c r="W427" i="4" s="1"/>
  <c r="S427" i="4"/>
  <c r="X427" i="4" s="1"/>
  <c r="T427" i="4"/>
  <c r="Y427" i="4" s="1"/>
  <c r="B428" i="4"/>
  <c r="C428" i="4"/>
  <c r="F428" i="4"/>
  <c r="G428" i="4"/>
  <c r="M428" i="4" s="1"/>
  <c r="H428" i="4"/>
  <c r="I428" i="4"/>
  <c r="O428" i="4" s="1"/>
  <c r="J428" i="4"/>
  <c r="Q428" i="4"/>
  <c r="V428" i="4" s="1"/>
  <c r="R428" i="4"/>
  <c r="W428" i="4" s="1"/>
  <c r="S428" i="4"/>
  <c r="X428" i="4" s="1"/>
  <c r="T428" i="4"/>
  <c r="Y428" i="4" s="1"/>
  <c r="B429" i="4"/>
  <c r="C429" i="4"/>
  <c r="F429" i="4"/>
  <c r="G429" i="4"/>
  <c r="M429" i="4" s="1"/>
  <c r="H429" i="4"/>
  <c r="I429" i="4"/>
  <c r="O429" i="4" s="1"/>
  <c r="J429" i="4"/>
  <c r="Q429" i="4"/>
  <c r="R429" i="4"/>
  <c r="W429" i="4" s="1"/>
  <c r="S429" i="4"/>
  <c r="X429" i="4" s="1"/>
  <c r="T429" i="4"/>
  <c r="Y429" i="4" s="1"/>
  <c r="B430" i="4"/>
  <c r="C430" i="4"/>
  <c r="F430" i="4"/>
  <c r="G430" i="4"/>
  <c r="M430" i="4" s="1"/>
  <c r="H430" i="4"/>
  <c r="N430" i="4" s="1"/>
  <c r="I430" i="4"/>
  <c r="O430" i="4" s="1"/>
  <c r="J430" i="4"/>
  <c r="Q430" i="4"/>
  <c r="R430" i="4"/>
  <c r="W430" i="4" s="1"/>
  <c r="S430" i="4"/>
  <c r="X430" i="4" s="1"/>
  <c r="T430" i="4"/>
  <c r="Y430" i="4" s="1"/>
  <c r="B431" i="4"/>
  <c r="C431" i="4"/>
  <c r="F431" i="4"/>
  <c r="G431" i="4"/>
  <c r="M431" i="4" s="1"/>
  <c r="H431" i="4"/>
  <c r="I431" i="4"/>
  <c r="O431" i="4" s="1"/>
  <c r="J431" i="4"/>
  <c r="Q431" i="4"/>
  <c r="V431" i="4" s="1"/>
  <c r="R431" i="4"/>
  <c r="S431" i="4"/>
  <c r="X431" i="4" s="1"/>
  <c r="T431" i="4"/>
  <c r="Y431" i="4" s="1"/>
  <c r="B432" i="4"/>
  <c r="C432" i="4"/>
  <c r="F432" i="4"/>
  <c r="G432" i="4"/>
  <c r="M432" i="4" s="1"/>
  <c r="H432" i="4"/>
  <c r="N432" i="4" s="1"/>
  <c r="I432" i="4"/>
  <c r="O432" i="4" s="1"/>
  <c r="J432" i="4"/>
  <c r="Q432" i="4"/>
  <c r="R432" i="4"/>
  <c r="W432" i="4" s="1"/>
  <c r="S432" i="4"/>
  <c r="X432" i="4" s="1"/>
  <c r="T432" i="4"/>
  <c r="Y432" i="4" s="1"/>
  <c r="B433" i="4"/>
  <c r="C433" i="4"/>
  <c r="F433" i="4"/>
  <c r="L433" i="4" s="1"/>
  <c r="G433" i="4"/>
  <c r="M433" i="4" s="1"/>
  <c r="H433" i="4"/>
  <c r="N433" i="4" s="1"/>
  <c r="I433" i="4"/>
  <c r="O433" i="4" s="1"/>
  <c r="J433" i="4"/>
  <c r="Q433" i="4"/>
  <c r="V433" i="4" s="1"/>
  <c r="R433" i="4"/>
  <c r="W433" i="4" s="1"/>
  <c r="S433" i="4"/>
  <c r="X433" i="4" s="1"/>
  <c r="T433" i="4"/>
  <c r="Y433" i="4" s="1"/>
  <c r="B434" i="4"/>
  <c r="C434" i="4"/>
  <c r="F434" i="4"/>
  <c r="L434" i="4" s="1"/>
  <c r="G434" i="4"/>
  <c r="M434" i="4" s="1"/>
  <c r="H434" i="4"/>
  <c r="N434" i="4" s="1"/>
  <c r="I434" i="4"/>
  <c r="O434" i="4" s="1"/>
  <c r="J434" i="4"/>
  <c r="Q434" i="4"/>
  <c r="R434" i="4"/>
  <c r="W434" i="4" s="1"/>
  <c r="S434" i="4"/>
  <c r="X434" i="4" s="1"/>
  <c r="T434" i="4"/>
  <c r="Y434" i="4" s="1"/>
  <c r="B435" i="4"/>
  <c r="C435" i="4"/>
  <c r="F435" i="4"/>
  <c r="G435" i="4"/>
  <c r="M435" i="4" s="1"/>
  <c r="H435" i="4"/>
  <c r="N435" i="4" s="1"/>
  <c r="I435" i="4"/>
  <c r="O435" i="4" s="1"/>
  <c r="J435" i="4"/>
  <c r="Q435" i="4"/>
  <c r="V435" i="4" s="1"/>
  <c r="R435" i="4"/>
  <c r="W435" i="4" s="1"/>
  <c r="S435" i="4"/>
  <c r="T435" i="4"/>
  <c r="Y435" i="4" s="1"/>
  <c r="B436" i="4"/>
  <c r="C436" i="4"/>
  <c r="F436" i="4"/>
  <c r="L436" i="4" s="1"/>
  <c r="G436" i="4"/>
  <c r="M436" i="4" s="1"/>
  <c r="H436" i="4"/>
  <c r="N436" i="4" s="1"/>
  <c r="I436" i="4"/>
  <c r="O436" i="4" s="1"/>
  <c r="J436" i="4"/>
  <c r="Q436" i="4"/>
  <c r="R436" i="4"/>
  <c r="W436" i="4" s="1"/>
  <c r="S436" i="4"/>
  <c r="T436" i="4"/>
  <c r="Y436" i="4" s="1"/>
  <c r="B437" i="4"/>
  <c r="C437" i="4"/>
  <c r="F437" i="4"/>
  <c r="L437" i="4" s="1"/>
  <c r="G437" i="4"/>
  <c r="M437" i="4" s="1"/>
  <c r="H437" i="4"/>
  <c r="N437" i="4" s="1"/>
  <c r="I437" i="4"/>
  <c r="O437" i="4" s="1"/>
  <c r="J437" i="4"/>
  <c r="Q437" i="4"/>
  <c r="R437" i="4"/>
  <c r="W437" i="4" s="1"/>
  <c r="S437" i="4"/>
  <c r="X437" i="4" s="1"/>
  <c r="T437" i="4"/>
  <c r="Y437" i="4" s="1"/>
  <c r="B438" i="4"/>
  <c r="C438" i="4"/>
  <c r="F438" i="4"/>
  <c r="G438" i="4"/>
  <c r="M438" i="4" s="1"/>
  <c r="H438" i="4"/>
  <c r="N438" i="4" s="1"/>
  <c r="I438" i="4"/>
  <c r="O438" i="4" s="1"/>
  <c r="J438" i="4"/>
  <c r="Q438" i="4"/>
  <c r="V438" i="4" s="1"/>
  <c r="R438" i="4"/>
  <c r="W438" i="4" s="1"/>
  <c r="S438" i="4"/>
  <c r="X438" i="4" s="1"/>
  <c r="T438" i="4"/>
  <c r="Y438" i="4" s="1"/>
  <c r="B439" i="4"/>
  <c r="C439" i="4"/>
  <c r="F439" i="4"/>
  <c r="L439" i="4" s="1"/>
  <c r="G439" i="4"/>
  <c r="M439" i="4" s="1"/>
  <c r="H439" i="4"/>
  <c r="I439" i="4"/>
  <c r="O439" i="4" s="1"/>
  <c r="J439" i="4"/>
  <c r="Q439" i="4"/>
  <c r="R439" i="4"/>
  <c r="W439" i="4" s="1"/>
  <c r="S439" i="4"/>
  <c r="X439" i="4" s="1"/>
  <c r="T439" i="4"/>
  <c r="Y439" i="4" s="1"/>
  <c r="B440" i="4"/>
  <c r="C440" i="4"/>
  <c r="F440" i="4"/>
  <c r="L440" i="4" s="1"/>
  <c r="G440" i="4"/>
  <c r="M440" i="4" s="1"/>
  <c r="H440" i="4"/>
  <c r="N440" i="4" s="1"/>
  <c r="I440" i="4"/>
  <c r="O440" i="4" s="1"/>
  <c r="J440" i="4"/>
  <c r="Q440" i="4"/>
  <c r="R440" i="4"/>
  <c r="W440" i="4" s="1"/>
  <c r="S440" i="4"/>
  <c r="X440" i="4" s="1"/>
  <c r="T440" i="4"/>
  <c r="Y440" i="4" s="1"/>
  <c r="B441" i="4"/>
  <c r="C441" i="4"/>
  <c r="F441" i="4"/>
  <c r="G441" i="4"/>
  <c r="M441" i="4" s="1"/>
  <c r="H441" i="4"/>
  <c r="N441" i="4" s="1"/>
  <c r="I441" i="4"/>
  <c r="O441" i="4" s="1"/>
  <c r="J441" i="4"/>
  <c r="Q441" i="4"/>
  <c r="V441" i="4" s="1"/>
  <c r="R441" i="4"/>
  <c r="S441" i="4"/>
  <c r="X441" i="4" s="1"/>
  <c r="T441" i="4"/>
  <c r="Y441" i="4" s="1"/>
  <c r="B442" i="4"/>
  <c r="C442" i="4"/>
  <c r="F442" i="4"/>
  <c r="L442" i="4" s="1"/>
  <c r="G442" i="4"/>
  <c r="M442" i="4" s="1"/>
  <c r="H442" i="4"/>
  <c r="N442" i="4" s="1"/>
  <c r="I442" i="4"/>
  <c r="O442" i="4" s="1"/>
  <c r="J442" i="4"/>
  <c r="Q442" i="4"/>
  <c r="R442" i="4"/>
  <c r="W442" i="4" s="1"/>
  <c r="S442" i="4"/>
  <c r="X442" i="4" s="1"/>
  <c r="T442" i="4"/>
  <c r="Y442" i="4" s="1"/>
  <c r="B443" i="4"/>
  <c r="C443" i="4"/>
  <c r="F443" i="4"/>
  <c r="G443" i="4"/>
  <c r="M443" i="4" s="1"/>
  <c r="H443" i="4"/>
  <c r="N443" i="4" s="1"/>
  <c r="I443" i="4"/>
  <c r="O443" i="4" s="1"/>
  <c r="J443" i="4"/>
  <c r="Q443" i="4"/>
  <c r="V443" i="4" s="1"/>
  <c r="R443" i="4"/>
  <c r="W443" i="4" s="1"/>
  <c r="S443" i="4"/>
  <c r="X443" i="4" s="1"/>
  <c r="T443" i="4"/>
  <c r="Y443" i="4" s="1"/>
  <c r="B444" i="4"/>
  <c r="C444" i="4"/>
  <c r="F444" i="4"/>
  <c r="L444" i="4" s="1"/>
  <c r="G444" i="4"/>
  <c r="M444" i="4" s="1"/>
  <c r="H444" i="4"/>
  <c r="N444" i="4" s="1"/>
  <c r="I444" i="4"/>
  <c r="O444" i="4" s="1"/>
  <c r="J444" i="4"/>
  <c r="Q444" i="4"/>
  <c r="V444" i="4" s="1"/>
  <c r="R444" i="4"/>
  <c r="W444" i="4" s="1"/>
  <c r="S444" i="4"/>
  <c r="X444" i="4" s="1"/>
  <c r="T444" i="4"/>
  <c r="Y444" i="4" s="1"/>
  <c r="B445" i="4"/>
  <c r="C445" i="4"/>
  <c r="F445" i="4"/>
  <c r="L445" i="4" s="1"/>
  <c r="G445" i="4"/>
  <c r="M445" i="4" s="1"/>
  <c r="H445" i="4"/>
  <c r="N445" i="4" s="1"/>
  <c r="I445" i="4"/>
  <c r="O445" i="4" s="1"/>
  <c r="J445" i="4"/>
  <c r="Q445" i="4"/>
  <c r="R445" i="4"/>
  <c r="W445" i="4" s="1"/>
  <c r="S445" i="4"/>
  <c r="X445" i="4" s="1"/>
  <c r="T445" i="4"/>
  <c r="Y445" i="4" s="1"/>
  <c r="B446" i="4"/>
  <c r="C446" i="4"/>
  <c r="F446" i="4"/>
  <c r="G446" i="4"/>
  <c r="M446" i="4" s="1"/>
  <c r="H446" i="4"/>
  <c r="N446" i="4" s="1"/>
  <c r="I446" i="4"/>
  <c r="O446" i="4" s="1"/>
  <c r="J446" i="4"/>
  <c r="Q446" i="4"/>
  <c r="V446" i="4" s="1"/>
  <c r="R446" i="4"/>
  <c r="W446" i="4" s="1"/>
  <c r="S446" i="4"/>
  <c r="T446" i="4"/>
  <c r="Y446" i="4" s="1"/>
  <c r="B447" i="4"/>
  <c r="C447" i="4"/>
  <c r="F447" i="4"/>
  <c r="L447" i="4" s="1"/>
  <c r="G447" i="4"/>
  <c r="M447" i="4" s="1"/>
  <c r="H447" i="4"/>
  <c r="I447" i="4"/>
  <c r="O447" i="4" s="1"/>
  <c r="J447" i="4"/>
  <c r="Q447" i="4"/>
  <c r="R447" i="4"/>
  <c r="W447" i="4" s="1"/>
  <c r="S447" i="4"/>
  <c r="X447" i="4" s="1"/>
  <c r="T447" i="4"/>
  <c r="Y447" i="4" s="1"/>
  <c r="B448" i="4"/>
  <c r="C448" i="4"/>
  <c r="F448" i="4"/>
  <c r="G448" i="4"/>
  <c r="M448" i="4" s="1"/>
  <c r="H448" i="4"/>
  <c r="N448" i="4" s="1"/>
  <c r="I448" i="4"/>
  <c r="O448" i="4" s="1"/>
  <c r="J448" i="4"/>
  <c r="Q448" i="4"/>
  <c r="V448" i="4" s="1"/>
  <c r="R448" i="4"/>
  <c r="S448" i="4"/>
  <c r="X448" i="4" s="1"/>
  <c r="T448" i="4"/>
  <c r="Y448" i="4" s="1"/>
  <c r="B449" i="4"/>
  <c r="C449" i="4"/>
  <c r="F449" i="4"/>
  <c r="G449" i="4"/>
  <c r="M449" i="4" s="1"/>
  <c r="H449" i="4"/>
  <c r="N449" i="4" s="1"/>
  <c r="I449" i="4"/>
  <c r="O449" i="4" s="1"/>
  <c r="J449" i="4"/>
  <c r="Q449" i="4"/>
  <c r="R449" i="4"/>
  <c r="S449" i="4"/>
  <c r="X449" i="4" s="1"/>
  <c r="T449" i="4"/>
  <c r="Y449" i="4" s="1"/>
  <c r="B450" i="4"/>
  <c r="C450" i="4"/>
  <c r="F450" i="4"/>
  <c r="G450" i="4"/>
  <c r="M450" i="4" s="1"/>
  <c r="H450" i="4"/>
  <c r="N450" i="4" s="1"/>
  <c r="I450" i="4"/>
  <c r="O450" i="4" s="1"/>
  <c r="J450" i="4"/>
  <c r="Q450" i="4"/>
  <c r="V450" i="4" s="1"/>
  <c r="R450" i="4"/>
  <c r="W450" i="4" s="1"/>
  <c r="S450" i="4"/>
  <c r="T450" i="4"/>
  <c r="Y450" i="4" s="1"/>
  <c r="B451" i="4"/>
  <c r="C451" i="4"/>
  <c r="F451" i="4"/>
  <c r="L451" i="4" s="1"/>
  <c r="G451" i="4"/>
  <c r="M451" i="4" s="1"/>
  <c r="H451" i="4"/>
  <c r="N451" i="4" s="1"/>
  <c r="I451" i="4"/>
  <c r="O451" i="4" s="1"/>
  <c r="J451" i="4"/>
  <c r="Q451" i="4"/>
  <c r="V451" i="4" s="1"/>
  <c r="R451" i="4"/>
  <c r="S451" i="4"/>
  <c r="X451" i="4" s="1"/>
  <c r="T451" i="4"/>
  <c r="Y451" i="4" s="1"/>
  <c r="B452" i="4"/>
  <c r="C452" i="4"/>
  <c r="F452" i="4"/>
  <c r="L452" i="4" s="1"/>
  <c r="G452" i="4"/>
  <c r="M452" i="4" s="1"/>
  <c r="H452" i="4"/>
  <c r="N452" i="4" s="1"/>
  <c r="I452" i="4"/>
  <c r="O452" i="4" s="1"/>
  <c r="J452" i="4"/>
  <c r="Q452" i="4"/>
  <c r="V452" i="4" s="1"/>
  <c r="R452" i="4"/>
  <c r="W452" i="4" s="1"/>
  <c r="S452" i="4"/>
  <c r="X452" i="4" s="1"/>
  <c r="T452" i="4"/>
  <c r="Y452" i="4" s="1"/>
  <c r="B453" i="4"/>
  <c r="C453" i="4"/>
  <c r="F453" i="4"/>
  <c r="L453" i="4" s="1"/>
  <c r="G453" i="4"/>
  <c r="M453" i="4" s="1"/>
  <c r="H453" i="4"/>
  <c r="N453" i="4" s="1"/>
  <c r="I453" i="4"/>
  <c r="O453" i="4" s="1"/>
  <c r="J453" i="4"/>
  <c r="Q453" i="4"/>
  <c r="R453" i="4"/>
  <c r="W453" i="4" s="1"/>
  <c r="S453" i="4"/>
  <c r="X453" i="4" s="1"/>
  <c r="T453" i="4"/>
  <c r="Y453" i="4" s="1"/>
  <c r="B454" i="4"/>
  <c r="C454" i="4"/>
  <c r="F454" i="4"/>
  <c r="G454" i="4"/>
  <c r="M454" i="4" s="1"/>
  <c r="H454" i="4"/>
  <c r="N454" i="4" s="1"/>
  <c r="I454" i="4"/>
  <c r="O454" i="4" s="1"/>
  <c r="J454" i="4"/>
  <c r="Q454" i="4"/>
  <c r="V454" i="4" s="1"/>
  <c r="R454" i="4"/>
  <c r="W454" i="4" s="1"/>
  <c r="S454" i="4"/>
  <c r="X454" i="4" s="1"/>
  <c r="T454" i="4"/>
  <c r="Y454" i="4" s="1"/>
  <c r="B455" i="4"/>
  <c r="C455" i="4"/>
  <c r="F455" i="4"/>
  <c r="G455" i="4"/>
  <c r="M455" i="4" s="1"/>
  <c r="H455" i="4"/>
  <c r="I455" i="4"/>
  <c r="O455" i="4" s="1"/>
  <c r="J455" i="4"/>
  <c r="Q455" i="4"/>
  <c r="V455" i="4" s="1"/>
  <c r="R455" i="4"/>
  <c r="W455" i="4" s="1"/>
  <c r="S455" i="4"/>
  <c r="X455" i="4" s="1"/>
  <c r="T455" i="4"/>
  <c r="Y455" i="4" s="1"/>
  <c r="B456" i="4"/>
  <c r="C456" i="4"/>
  <c r="F456" i="4"/>
  <c r="G456" i="4"/>
  <c r="H456" i="4"/>
  <c r="N456" i="4" s="1"/>
  <c r="I456" i="4"/>
  <c r="O456" i="4" s="1"/>
  <c r="J456" i="4"/>
  <c r="Q456" i="4"/>
  <c r="R456" i="4"/>
  <c r="W456" i="4" s="1"/>
  <c r="S456" i="4"/>
  <c r="X456" i="4" s="1"/>
  <c r="T456" i="4"/>
  <c r="Y456" i="4" s="1"/>
  <c r="B457" i="4"/>
  <c r="C457" i="4"/>
  <c r="F457" i="4"/>
  <c r="G457" i="4"/>
  <c r="M457" i="4" s="1"/>
  <c r="H457" i="4"/>
  <c r="N457" i="4" s="1"/>
  <c r="I457" i="4"/>
  <c r="O457" i="4" s="1"/>
  <c r="J457" i="4"/>
  <c r="Q457" i="4"/>
  <c r="V457" i="4" s="1"/>
  <c r="R457" i="4"/>
  <c r="S457" i="4"/>
  <c r="X457" i="4" s="1"/>
  <c r="T457" i="4"/>
  <c r="Y457" i="4" s="1"/>
  <c r="B458" i="4"/>
  <c r="C458" i="4"/>
  <c r="F458" i="4"/>
  <c r="L458" i="4" s="1"/>
  <c r="G458" i="4"/>
  <c r="M458" i="4" s="1"/>
  <c r="H458" i="4"/>
  <c r="I458" i="4"/>
  <c r="O458" i="4" s="1"/>
  <c r="J458" i="4"/>
  <c r="Q458" i="4"/>
  <c r="V458" i="4" s="1"/>
  <c r="R458" i="4"/>
  <c r="W458" i="4" s="1"/>
  <c r="S458" i="4"/>
  <c r="T458" i="4"/>
  <c r="Y458" i="4" s="1"/>
  <c r="B459" i="4"/>
  <c r="C459" i="4"/>
  <c r="F459" i="4"/>
  <c r="G459" i="4"/>
  <c r="M459" i="4" s="1"/>
  <c r="H459" i="4"/>
  <c r="N459" i="4" s="1"/>
  <c r="I459" i="4"/>
  <c r="O459" i="4" s="1"/>
  <c r="J459" i="4"/>
  <c r="Q459" i="4"/>
  <c r="R459" i="4"/>
  <c r="W459" i="4" s="1"/>
  <c r="S459" i="4"/>
  <c r="X459" i="4" s="1"/>
  <c r="T459" i="4"/>
  <c r="Y459" i="4" s="1"/>
  <c r="B460" i="4"/>
  <c r="C460" i="4"/>
  <c r="F460" i="4"/>
  <c r="L460" i="4" s="1"/>
  <c r="G460" i="4"/>
  <c r="H460" i="4"/>
  <c r="N460" i="4" s="1"/>
  <c r="I460" i="4"/>
  <c r="O460" i="4" s="1"/>
  <c r="J460" i="4"/>
  <c r="Q460" i="4"/>
  <c r="V460" i="4" s="1"/>
  <c r="R460" i="4"/>
  <c r="S460" i="4"/>
  <c r="X460" i="4" s="1"/>
  <c r="T460" i="4"/>
  <c r="Y460" i="4" s="1"/>
  <c r="B461" i="4"/>
  <c r="C461" i="4"/>
  <c r="F461" i="4"/>
  <c r="G461" i="4"/>
  <c r="M461" i="4" s="1"/>
  <c r="H461" i="4"/>
  <c r="N461" i="4" s="1"/>
  <c r="I461" i="4"/>
  <c r="O461" i="4" s="1"/>
  <c r="J461" i="4"/>
  <c r="Q461" i="4"/>
  <c r="R461" i="4"/>
  <c r="W461" i="4" s="1"/>
  <c r="S461" i="4"/>
  <c r="X461" i="4" s="1"/>
  <c r="T461" i="4"/>
  <c r="Y461" i="4" s="1"/>
  <c r="B462" i="4"/>
  <c r="C462" i="4"/>
  <c r="F462" i="4"/>
  <c r="G462" i="4"/>
  <c r="M462" i="4" s="1"/>
  <c r="H462" i="4"/>
  <c r="I462" i="4"/>
  <c r="O462" i="4" s="1"/>
  <c r="J462" i="4"/>
  <c r="Q462" i="4"/>
  <c r="V462" i="4" s="1"/>
  <c r="R462" i="4"/>
  <c r="W462" i="4" s="1"/>
  <c r="S462" i="4"/>
  <c r="X462" i="4" s="1"/>
  <c r="T462" i="4"/>
  <c r="Y462" i="4" s="1"/>
  <c r="B463" i="4"/>
  <c r="C463" i="4"/>
  <c r="F463" i="4"/>
  <c r="G463" i="4"/>
  <c r="H463" i="4"/>
  <c r="N463" i="4" s="1"/>
  <c r="I463" i="4"/>
  <c r="O463" i="4" s="1"/>
  <c r="J463" i="4"/>
  <c r="Q463" i="4"/>
  <c r="R463" i="4"/>
  <c r="W463" i="4" s="1"/>
  <c r="S463" i="4"/>
  <c r="X463" i="4" s="1"/>
  <c r="T463" i="4"/>
  <c r="Y463" i="4" s="1"/>
  <c r="B464" i="4"/>
  <c r="C464" i="4"/>
  <c r="F464" i="4"/>
  <c r="L464" i="4" s="1"/>
  <c r="G464" i="4"/>
  <c r="M464" i="4" s="1"/>
  <c r="H464" i="4"/>
  <c r="N464" i="4" s="1"/>
  <c r="I464" i="4"/>
  <c r="O464" i="4" s="1"/>
  <c r="J464" i="4"/>
  <c r="Q464" i="4"/>
  <c r="R464" i="4"/>
  <c r="W464" i="4" s="1"/>
  <c r="S464" i="4"/>
  <c r="X464" i="4" s="1"/>
  <c r="T464" i="4"/>
  <c r="Y464" i="4" s="1"/>
  <c r="B465" i="4"/>
  <c r="C465" i="4"/>
  <c r="F465" i="4"/>
  <c r="L465" i="4" s="1"/>
  <c r="G465" i="4"/>
  <c r="M465" i="4" s="1"/>
  <c r="H465" i="4"/>
  <c r="N465" i="4" s="1"/>
  <c r="I465" i="4"/>
  <c r="O465" i="4" s="1"/>
  <c r="J465" i="4"/>
  <c r="Q465" i="4"/>
  <c r="V465" i="4" s="1"/>
  <c r="R465" i="4"/>
  <c r="S465" i="4"/>
  <c r="X465" i="4" s="1"/>
  <c r="T465" i="4"/>
  <c r="Y465" i="4" s="1"/>
  <c r="B466" i="4"/>
  <c r="C466" i="4"/>
  <c r="F466" i="4"/>
  <c r="L466" i="4" s="1"/>
  <c r="G466" i="4"/>
  <c r="M466" i="4" s="1"/>
  <c r="H466" i="4"/>
  <c r="N466" i="4" s="1"/>
  <c r="I466" i="4"/>
  <c r="O466" i="4" s="1"/>
  <c r="J466" i="4"/>
  <c r="Q466" i="4"/>
  <c r="R466" i="4"/>
  <c r="W466" i="4" s="1"/>
  <c r="S466" i="4"/>
  <c r="X466" i="4" s="1"/>
  <c r="T466" i="4"/>
  <c r="Y466" i="4" s="1"/>
  <c r="B467" i="4"/>
  <c r="C467" i="4"/>
  <c r="F467" i="4"/>
  <c r="G467" i="4"/>
  <c r="M467" i="4" s="1"/>
  <c r="H467" i="4"/>
  <c r="N467" i="4" s="1"/>
  <c r="I467" i="4"/>
  <c r="O467" i="4" s="1"/>
  <c r="J467" i="4"/>
  <c r="Q467" i="4"/>
  <c r="V467" i="4" s="1"/>
  <c r="R467" i="4"/>
  <c r="S467" i="4"/>
  <c r="X467" i="4" s="1"/>
  <c r="T467" i="4"/>
  <c r="Y467" i="4" s="1"/>
  <c r="B468" i="4"/>
  <c r="C468" i="4"/>
  <c r="F468" i="4"/>
  <c r="L468" i="4" s="1"/>
  <c r="G468" i="4"/>
  <c r="M468" i="4" s="1"/>
  <c r="H468" i="4"/>
  <c r="N468" i="4" s="1"/>
  <c r="I468" i="4"/>
  <c r="O468" i="4" s="1"/>
  <c r="J468" i="4"/>
  <c r="Q468" i="4"/>
  <c r="V468" i="4" s="1"/>
  <c r="R468" i="4"/>
  <c r="W468" i="4" s="1"/>
  <c r="S468" i="4"/>
  <c r="X468" i="4" s="1"/>
  <c r="T468" i="4"/>
  <c r="Y468" i="4" s="1"/>
  <c r="B469" i="4"/>
  <c r="C469" i="4"/>
  <c r="F469" i="4"/>
  <c r="L469" i="4" s="1"/>
  <c r="G469" i="4"/>
  <c r="M469" i="4" s="1"/>
  <c r="H469" i="4"/>
  <c r="N469" i="4" s="1"/>
  <c r="I469" i="4"/>
  <c r="O469" i="4" s="1"/>
  <c r="J469" i="4"/>
  <c r="Q469" i="4"/>
  <c r="V469" i="4" s="1"/>
  <c r="R469" i="4"/>
  <c r="W469" i="4" s="1"/>
  <c r="S469" i="4"/>
  <c r="X469" i="4" s="1"/>
  <c r="T469" i="4"/>
  <c r="Y469" i="4" s="1"/>
  <c r="B470" i="4"/>
  <c r="C470" i="4"/>
  <c r="F470" i="4"/>
  <c r="G470" i="4"/>
  <c r="M470" i="4" s="1"/>
  <c r="H470" i="4"/>
  <c r="N470" i="4" s="1"/>
  <c r="I470" i="4"/>
  <c r="O470" i="4" s="1"/>
  <c r="J470" i="4"/>
  <c r="Q470" i="4"/>
  <c r="V470" i="4" s="1"/>
  <c r="R470" i="4"/>
  <c r="W470" i="4" s="1"/>
  <c r="S470" i="4"/>
  <c r="X470" i="4" s="1"/>
  <c r="T470" i="4"/>
  <c r="Y470" i="4" s="1"/>
  <c r="B471" i="4"/>
  <c r="C471" i="4"/>
  <c r="F471" i="4"/>
  <c r="G471" i="4"/>
  <c r="M471" i="4" s="1"/>
  <c r="H471" i="4"/>
  <c r="N471" i="4" s="1"/>
  <c r="I471" i="4"/>
  <c r="O471" i="4" s="1"/>
  <c r="J471" i="4"/>
  <c r="Q471" i="4"/>
  <c r="V471" i="4" s="1"/>
  <c r="R471" i="4"/>
  <c r="W471" i="4" s="1"/>
  <c r="S471" i="4"/>
  <c r="X471" i="4" s="1"/>
  <c r="T471" i="4"/>
  <c r="Y471" i="4" s="1"/>
  <c r="B472" i="4"/>
  <c r="C472" i="4"/>
  <c r="F472" i="4"/>
  <c r="G472" i="4"/>
  <c r="M472" i="4" s="1"/>
  <c r="H472" i="4"/>
  <c r="N472" i="4" s="1"/>
  <c r="I472" i="4"/>
  <c r="O472" i="4" s="1"/>
  <c r="J472" i="4"/>
  <c r="Q472" i="4"/>
  <c r="V472" i="4" s="1"/>
  <c r="R472" i="4"/>
  <c r="W472" i="4" s="1"/>
  <c r="S472" i="4"/>
  <c r="X472" i="4" s="1"/>
  <c r="T472" i="4"/>
  <c r="Y472" i="4" s="1"/>
  <c r="B473" i="4"/>
  <c r="C473" i="4"/>
  <c r="F473" i="4"/>
  <c r="L473" i="4" s="1"/>
  <c r="G473" i="4"/>
  <c r="M473" i="4" s="1"/>
  <c r="H473" i="4"/>
  <c r="N473" i="4" s="1"/>
  <c r="I473" i="4"/>
  <c r="O473" i="4" s="1"/>
  <c r="J473" i="4"/>
  <c r="Q473" i="4"/>
  <c r="R473" i="4"/>
  <c r="W473" i="4" s="1"/>
  <c r="S473" i="4"/>
  <c r="X473" i="4" s="1"/>
  <c r="T473" i="4"/>
  <c r="Y473" i="4" s="1"/>
  <c r="B474" i="4"/>
  <c r="C474" i="4"/>
  <c r="F474" i="4"/>
  <c r="G474" i="4"/>
  <c r="M474" i="4" s="1"/>
  <c r="H474" i="4"/>
  <c r="N474" i="4" s="1"/>
  <c r="I474" i="4"/>
  <c r="O474" i="4" s="1"/>
  <c r="J474" i="4"/>
  <c r="Q474" i="4"/>
  <c r="R474" i="4"/>
  <c r="W474" i="4" s="1"/>
  <c r="S474" i="4"/>
  <c r="X474" i="4" s="1"/>
  <c r="T474" i="4"/>
  <c r="Y474" i="4" s="1"/>
  <c r="B475" i="4"/>
  <c r="C475" i="4"/>
  <c r="F475" i="4"/>
  <c r="L475" i="4" s="1"/>
  <c r="G475" i="4"/>
  <c r="M475" i="4" s="1"/>
  <c r="H475" i="4"/>
  <c r="I475" i="4"/>
  <c r="O475" i="4" s="1"/>
  <c r="J475" i="4"/>
  <c r="Q475" i="4"/>
  <c r="R475" i="4"/>
  <c r="W475" i="4" s="1"/>
  <c r="S475" i="4"/>
  <c r="X475" i="4" s="1"/>
  <c r="T475" i="4"/>
  <c r="Y475" i="4" s="1"/>
  <c r="B476" i="4"/>
  <c r="C476" i="4"/>
  <c r="F476" i="4"/>
  <c r="L476" i="4" s="1"/>
  <c r="G476" i="4"/>
  <c r="M476" i="4" s="1"/>
  <c r="H476" i="4"/>
  <c r="N476" i="4" s="1"/>
  <c r="I476" i="4"/>
  <c r="O476" i="4" s="1"/>
  <c r="J476" i="4"/>
  <c r="Q476" i="4"/>
  <c r="V476" i="4" s="1"/>
  <c r="R476" i="4"/>
  <c r="W476" i="4" s="1"/>
  <c r="S476" i="4"/>
  <c r="X476" i="4" s="1"/>
  <c r="T476" i="4"/>
  <c r="Y476" i="4" s="1"/>
  <c r="B477" i="4"/>
  <c r="C477" i="4"/>
  <c r="F477" i="4"/>
  <c r="L477" i="4" s="1"/>
  <c r="G477" i="4"/>
  <c r="M477" i="4" s="1"/>
  <c r="H477" i="4"/>
  <c r="N477" i="4" s="1"/>
  <c r="I477" i="4"/>
  <c r="O477" i="4" s="1"/>
  <c r="J477" i="4"/>
  <c r="Q477" i="4"/>
  <c r="V477" i="4" s="1"/>
  <c r="R477" i="4"/>
  <c r="W477" i="4" s="1"/>
  <c r="S477" i="4"/>
  <c r="X477" i="4" s="1"/>
  <c r="T477" i="4"/>
  <c r="Y477" i="4" s="1"/>
  <c r="B478" i="4"/>
  <c r="C478" i="4"/>
  <c r="F478" i="4"/>
  <c r="G478" i="4"/>
  <c r="M478" i="4" s="1"/>
  <c r="H478" i="4"/>
  <c r="N478" i="4" s="1"/>
  <c r="I478" i="4"/>
  <c r="O478" i="4" s="1"/>
  <c r="J478" i="4"/>
  <c r="Q478" i="4"/>
  <c r="V478" i="4" s="1"/>
  <c r="R478" i="4"/>
  <c r="W478" i="4" s="1"/>
  <c r="S478" i="4"/>
  <c r="X478" i="4" s="1"/>
  <c r="T478" i="4"/>
  <c r="Y478" i="4" s="1"/>
  <c r="B479" i="4"/>
  <c r="C479" i="4"/>
  <c r="F479" i="4"/>
  <c r="L479" i="4" s="1"/>
  <c r="G479" i="4"/>
  <c r="M479" i="4" s="1"/>
  <c r="H479" i="4"/>
  <c r="N479" i="4" s="1"/>
  <c r="I479" i="4"/>
  <c r="O479" i="4" s="1"/>
  <c r="J479" i="4"/>
  <c r="Q479" i="4"/>
  <c r="R479" i="4"/>
  <c r="W479" i="4" s="1"/>
  <c r="S479" i="4"/>
  <c r="X479" i="4" s="1"/>
  <c r="T479" i="4"/>
  <c r="Y479" i="4" s="1"/>
  <c r="B480" i="4"/>
  <c r="C480" i="4"/>
  <c r="F480" i="4"/>
  <c r="L480" i="4" s="1"/>
  <c r="G480" i="4"/>
  <c r="M480" i="4" s="1"/>
  <c r="H480" i="4"/>
  <c r="N480" i="4" s="1"/>
  <c r="I480" i="4"/>
  <c r="O480" i="4" s="1"/>
  <c r="J480" i="4"/>
  <c r="Q480" i="4"/>
  <c r="R480" i="4"/>
  <c r="W480" i="4" s="1"/>
  <c r="S480" i="4"/>
  <c r="X480" i="4" s="1"/>
  <c r="T480" i="4"/>
  <c r="Y480" i="4" s="1"/>
  <c r="B481" i="4"/>
  <c r="C481" i="4"/>
  <c r="F481" i="4"/>
  <c r="L481" i="4" s="1"/>
  <c r="G481" i="4"/>
  <c r="M481" i="4" s="1"/>
  <c r="H481" i="4"/>
  <c r="N481" i="4" s="1"/>
  <c r="I481" i="4"/>
  <c r="O481" i="4" s="1"/>
  <c r="J481" i="4"/>
  <c r="Q481" i="4"/>
  <c r="R481" i="4"/>
  <c r="W481" i="4" s="1"/>
  <c r="S481" i="4"/>
  <c r="X481" i="4" s="1"/>
  <c r="T481" i="4"/>
  <c r="Y481" i="4" s="1"/>
  <c r="B482" i="4"/>
  <c r="C482" i="4"/>
  <c r="F482" i="4"/>
  <c r="G482" i="4"/>
  <c r="M482" i="4" s="1"/>
  <c r="H482" i="4"/>
  <c r="N482" i="4" s="1"/>
  <c r="I482" i="4"/>
  <c r="O482" i="4" s="1"/>
  <c r="J482" i="4"/>
  <c r="Q482" i="4"/>
  <c r="V482" i="4" s="1"/>
  <c r="R482" i="4"/>
  <c r="S482" i="4"/>
  <c r="X482" i="4" s="1"/>
  <c r="T482" i="4"/>
  <c r="Y482" i="4" s="1"/>
  <c r="B483" i="4"/>
  <c r="C483" i="4"/>
  <c r="F483" i="4"/>
  <c r="G483" i="4"/>
  <c r="M483" i="4" s="1"/>
  <c r="H483" i="4"/>
  <c r="N483" i="4" s="1"/>
  <c r="I483" i="4"/>
  <c r="O483" i="4" s="1"/>
  <c r="J483" i="4"/>
  <c r="Q483" i="4"/>
  <c r="R483" i="4"/>
  <c r="W483" i="4" s="1"/>
  <c r="S483" i="4"/>
  <c r="X483" i="4" s="1"/>
  <c r="T483" i="4"/>
  <c r="Y483" i="4" s="1"/>
  <c r="B484" i="4"/>
  <c r="C484" i="4"/>
  <c r="F484" i="4"/>
  <c r="L484" i="4" s="1"/>
  <c r="G484" i="4"/>
  <c r="H484" i="4"/>
  <c r="N484" i="4" s="1"/>
  <c r="I484" i="4"/>
  <c r="O484" i="4" s="1"/>
  <c r="J484" i="4"/>
  <c r="Q484" i="4"/>
  <c r="V484" i="4" s="1"/>
  <c r="R484" i="4"/>
  <c r="W484" i="4" s="1"/>
  <c r="S484" i="4"/>
  <c r="X484" i="4" s="1"/>
  <c r="T484" i="4"/>
  <c r="Y484" i="4" s="1"/>
  <c r="B485" i="4"/>
  <c r="C485" i="4"/>
  <c r="F485" i="4"/>
  <c r="G485" i="4"/>
  <c r="M485" i="4" s="1"/>
  <c r="H485" i="4"/>
  <c r="N485" i="4" s="1"/>
  <c r="I485" i="4"/>
  <c r="O485" i="4" s="1"/>
  <c r="J485" i="4"/>
  <c r="Q485" i="4"/>
  <c r="V485" i="4" s="1"/>
  <c r="R485" i="4"/>
  <c r="W485" i="4" s="1"/>
  <c r="S485" i="4"/>
  <c r="X485" i="4" s="1"/>
  <c r="T485" i="4"/>
  <c r="Y485" i="4" s="1"/>
  <c r="B486" i="4"/>
  <c r="C486" i="4"/>
  <c r="F486" i="4"/>
  <c r="L486" i="4" s="1"/>
  <c r="G486" i="4"/>
  <c r="M486" i="4" s="1"/>
  <c r="H486" i="4"/>
  <c r="N486" i="4" s="1"/>
  <c r="I486" i="4"/>
  <c r="O486" i="4" s="1"/>
  <c r="J486" i="4"/>
  <c r="Q486" i="4"/>
  <c r="V486" i="4" s="1"/>
  <c r="R486" i="4"/>
  <c r="S486" i="4"/>
  <c r="X486" i="4" s="1"/>
  <c r="T486" i="4"/>
  <c r="Y486" i="4" s="1"/>
  <c r="B487" i="4"/>
  <c r="C487" i="4"/>
  <c r="F487" i="4"/>
  <c r="G487" i="4"/>
  <c r="M487" i="4" s="1"/>
  <c r="H487" i="4"/>
  <c r="N487" i="4" s="1"/>
  <c r="I487" i="4"/>
  <c r="O487" i="4" s="1"/>
  <c r="J487" i="4"/>
  <c r="Q487" i="4"/>
  <c r="R487" i="4"/>
  <c r="W487" i="4" s="1"/>
  <c r="S487" i="4"/>
  <c r="X487" i="4" s="1"/>
  <c r="T487" i="4"/>
  <c r="Y487" i="4" s="1"/>
  <c r="B488" i="4"/>
  <c r="C488" i="4"/>
  <c r="F488" i="4"/>
  <c r="L488" i="4" s="1"/>
  <c r="G488" i="4"/>
  <c r="M488" i="4" s="1"/>
  <c r="H488" i="4"/>
  <c r="N488" i="4" s="1"/>
  <c r="I488" i="4"/>
  <c r="O488" i="4" s="1"/>
  <c r="J488" i="4"/>
  <c r="Q488" i="4"/>
  <c r="R488" i="4"/>
  <c r="W488" i="4" s="1"/>
  <c r="S488" i="4"/>
  <c r="X488" i="4" s="1"/>
  <c r="T488" i="4"/>
  <c r="Y488" i="4" s="1"/>
  <c r="B489" i="4"/>
  <c r="C489" i="4"/>
  <c r="F489" i="4"/>
  <c r="G489" i="4"/>
  <c r="M489" i="4" s="1"/>
  <c r="H489" i="4"/>
  <c r="N489" i="4" s="1"/>
  <c r="I489" i="4"/>
  <c r="O489" i="4" s="1"/>
  <c r="J489" i="4"/>
  <c r="Q489" i="4"/>
  <c r="V489" i="4" s="1"/>
  <c r="R489" i="4"/>
  <c r="W489" i="4" s="1"/>
  <c r="S489" i="4"/>
  <c r="X489" i="4" s="1"/>
  <c r="T489" i="4"/>
  <c r="Y489" i="4" s="1"/>
  <c r="B490" i="4"/>
  <c r="C490" i="4"/>
  <c r="F490" i="4"/>
  <c r="L490" i="4" s="1"/>
  <c r="G490" i="4"/>
  <c r="M490" i="4" s="1"/>
  <c r="H490" i="4"/>
  <c r="N490" i="4" s="1"/>
  <c r="I490" i="4"/>
  <c r="O490" i="4" s="1"/>
  <c r="J490" i="4"/>
  <c r="Q490" i="4"/>
  <c r="R490" i="4"/>
  <c r="W490" i="4" s="1"/>
  <c r="S490" i="4"/>
  <c r="X490" i="4" s="1"/>
  <c r="T490" i="4"/>
  <c r="Y490" i="4" s="1"/>
  <c r="B491" i="4"/>
  <c r="C491" i="4"/>
  <c r="F491" i="4"/>
  <c r="G491" i="4"/>
  <c r="M491" i="4" s="1"/>
  <c r="H491" i="4"/>
  <c r="N491" i="4" s="1"/>
  <c r="I491" i="4"/>
  <c r="O491" i="4" s="1"/>
  <c r="J491" i="4"/>
  <c r="Q491" i="4"/>
  <c r="R491" i="4"/>
  <c r="W491" i="4" s="1"/>
  <c r="S491" i="4"/>
  <c r="X491" i="4" s="1"/>
  <c r="T491" i="4"/>
  <c r="Y491" i="4" s="1"/>
  <c r="B492" i="4"/>
  <c r="C492" i="4"/>
  <c r="F492" i="4"/>
  <c r="G492" i="4"/>
  <c r="M492" i="4" s="1"/>
  <c r="H492" i="4"/>
  <c r="N492" i="4" s="1"/>
  <c r="I492" i="4"/>
  <c r="O492" i="4" s="1"/>
  <c r="J492" i="4"/>
  <c r="Q492" i="4"/>
  <c r="R492" i="4"/>
  <c r="W492" i="4" s="1"/>
  <c r="S492" i="4"/>
  <c r="X492" i="4" s="1"/>
  <c r="T492" i="4"/>
  <c r="Y492" i="4" s="1"/>
  <c r="B493" i="4"/>
  <c r="C493" i="4"/>
  <c r="F493" i="4"/>
  <c r="L493" i="4" s="1"/>
  <c r="G493" i="4"/>
  <c r="H493" i="4"/>
  <c r="N493" i="4" s="1"/>
  <c r="I493" i="4"/>
  <c r="O493" i="4" s="1"/>
  <c r="J493" i="4"/>
  <c r="Q493" i="4"/>
  <c r="R493" i="4"/>
  <c r="W493" i="4" s="1"/>
  <c r="S493" i="4"/>
  <c r="X493" i="4" s="1"/>
  <c r="T493" i="4"/>
  <c r="Y493" i="4" s="1"/>
  <c r="B494" i="4"/>
  <c r="C494" i="4"/>
  <c r="F494" i="4"/>
  <c r="G494" i="4"/>
  <c r="M494" i="4" s="1"/>
  <c r="H494" i="4"/>
  <c r="N494" i="4" s="1"/>
  <c r="I494" i="4"/>
  <c r="O494" i="4" s="1"/>
  <c r="J494" i="4"/>
  <c r="Q494" i="4"/>
  <c r="V494" i="4" s="1"/>
  <c r="R494" i="4"/>
  <c r="W494" i="4" s="1"/>
  <c r="S494" i="4"/>
  <c r="X494" i="4" s="1"/>
  <c r="T494" i="4"/>
  <c r="Y494" i="4" s="1"/>
  <c r="B495" i="4"/>
  <c r="C495" i="4"/>
  <c r="F495" i="4"/>
  <c r="G495" i="4"/>
  <c r="M495" i="4" s="1"/>
  <c r="H495" i="4"/>
  <c r="N495" i="4" s="1"/>
  <c r="I495" i="4"/>
  <c r="O495" i="4" s="1"/>
  <c r="J495" i="4"/>
  <c r="Q495" i="4"/>
  <c r="V495" i="4" s="1"/>
  <c r="R495" i="4"/>
  <c r="S495" i="4"/>
  <c r="X495" i="4" s="1"/>
  <c r="T495" i="4"/>
  <c r="Y495" i="4" s="1"/>
  <c r="B496" i="4"/>
  <c r="C496" i="4"/>
  <c r="F496" i="4"/>
  <c r="G496" i="4"/>
  <c r="M496" i="4" s="1"/>
  <c r="H496" i="4"/>
  <c r="N496" i="4" s="1"/>
  <c r="I496" i="4"/>
  <c r="O496" i="4" s="1"/>
  <c r="J496" i="4"/>
  <c r="Q496" i="4"/>
  <c r="R496" i="4"/>
  <c r="W496" i="4" s="1"/>
  <c r="S496" i="4"/>
  <c r="X496" i="4" s="1"/>
  <c r="T496" i="4"/>
  <c r="Y496" i="4" s="1"/>
  <c r="B497" i="4"/>
  <c r="C497" i="4"/>
  <c r="F497" i="4"/>
  <c r="G497" i="4"/>
  <c r="M497" i="4" s="1"/>
  <c r="H497" i="4"/>
  <c r="N497" i="4" s="1"/>
  <c r="I497" i="4"/>
  <c r="O497" i="4" s="1"/>
  <c r="J497" i="4"/>
  <c r="Q497" i="4"/>
  <c r="V497" i="4" s="1"/>
  <c r="R497" i="4"/>
  <c r="W497" i="4" s="1"/>
  <c r="S497" i="4"/>
  <c r="X497" i="4" s="1"/>
  <c r="T497" i="4"/>
  <c r="Y497" i="4" s="1"/>
  <c r="B498" i="4"/>
  <c r="C498" i="4"/>
  <c r="F498" i="4"/>
  <c r="G498" i="4"/>
  <c r="M498" i="4" s="1"/>
  <c r="H498" i="4"/>
  <c r="N498" i="4" s="1"/>
  <c r="I498" i="4"/>
  <c r="O498" i="4" s="1"/>
  <c r="J498" i="4"/>
  <c r="Q498" i="4"/>
  <c r="V498" i="4" s="1"/>
  <c r="R498" i="4"/>
  <c r="S498" i="4"/>
  <c r="X498" i="4" s="1"/>
  <c r="T498" i="4"/>
  <c r="Y498" i="4" s="1"/>
  <c r="B499" i="4"/>
  <c r="C499" i="4"/>
  <c r="F499" i="4"/>
  <c r="G499" i="4"/>
  <c r="M499" i="4" s="1"/>
  <c r="H499" i="4"/>
  <c r="N499" i="4" s="1"/>
  <c r="I499" i="4"/>
  <c r="O499" i="4" s="1"/>
  <c r="J499" i="4"/>
  <c r="Q499" i="4"/>
  <c r="V499" i="4" s="1"/>
  <c r="R499" i="4"/>
  <c r="W499" i="4" s="1"/>
  <c r="S499" i="4"/>
  <c r="T499" i="4"/>
  <c r="Y499" i="4" s="1"/>
  <c r="B500" i="4"/>
  <c r="C500" i="4"/>
  <c r="F500" i="4"/>
  <c r="G500" i="4"/>
  <c r="M500" i="4" s="1"/>
  <c r="H500" i="4"/>
  <c r="N500" i="4" s="1"/>
  <c r="I500" i="4"/>
  <c r="O500" i="4" s="1"/>
  <c r="J500" i="4"/>
  <c r="Q500" i="4"/>
  <c r="V500" i="4" s="1"/>
  <c r="R500" i="4"/>
  <c r="W500" i="4" s="1"/>
  <c r="S500" i="4"/>
  <c r="X500" i="4" s="1"/>
  <c r="T500" i="4"/>
  <c r="Y500" i="4" s="1"/>
  <c r="B501" i="4"/>
  <c r="C501" i="4"/>
  <c r="F501" i="4"/>
  <c r="L501" i="4" s="1"/>
  <c r="G501" i="4"/>
  <c r="M501" i="4" s="1"/>
  <c r="H501" i="4"/>
  <c r="N501" i="4" s="1"/>
  <c r="I501" i="4"/>
  <c r="O501" i="4" s="1"/>
  <c r="J501" i="4"/>
  <c r="Q501" i="4"/>
  <c r="V501" i="4" s="1"/>
  <c r="R501" i="4"/>
  <c r="W501" i="4" s="1"/>
  <c r="S501" i="4"/>
  <c r="X501" i="4" s="1"/>
  <c r="T501" i="4"/>
  <c r="Y501" i="4" s="1"/>
  <c r="B502" i="4"/>
  <c r="C502" i="4"/>
  <c r="F502" i="4"/>
  <c r="L502" i="4" s="1"/>
  <c r="G502" i="4"/>
  <c r="M502" i="4" s="1"/>
  <c r="H502" i="4"/>
  <c r="N502" i="4" s="1"/>
  <c r="I502" i="4"/>
  <c r="O502" i="4" s="1"/>
  <c r="J502" i="4"/>
  <c r="Q502" i="4"/>
  <c r="V502" i="4" s="1"/>
  <c r="R502" i="4"/>
  <c r="S502" i="4"/>
  <c r="X502" i="4" s="1"/>
  <c r="T502" i="4"/>
  <c r="Y502" i="4" s="1"/>
  <c r="B503" i="4"/>
  <c r="C503" i="4"/>
  <c r="F503" i="4"/>
  <c r="G503" i="4"/>
  <c r="M503" i="4" s="1"/>
  <c r="H503" i="4"/>
  <c r="N503" i="4" s="1"/>
  <c r="I503" i="4"/>
  <c r="O503" i="4" s="1"/>
  <c r="J503" i="4"/>
  <c r="Q503" i="4"/>
  <c r="V503" i="4" s="1"/>
  <c r="R503" i="4"/>
  <c r="W503" i="4" s="1"/>
  <c r="S503" i="4"/>
  <c r="X503" i="4" s="1"/>
  <c r="T503" i="4"/>
  <c r="Y503" i="4" s="1"/>
  <c r="B504" i="4"/>
  <c r="C504" i="4"/>
  <c r="F504" i="4"/>
  <c r="G504" i="4"/>
  <c r="M504" i="4" s="1"/>
  <c r="H504" i="4"/>
  <c r="N504" i="4" s="1"/>
  <c r="I504" i="4"/>
  <c r="O504" i="4" s="1"/>
  <c r="J504" i="4"/>
  <c r="Q504" i="4"/>
  <c r="V504" i="4" s="1"/>
  <c r="R504" i="4"/>
  <c r="W504" i="4" s="1"/>
  <c r="S504" i="4"/>
  <c r="X504" i="4" s="1"/>
  <c r="T504" i="4"/>
  <c r="Y504" i="4" s="1"/>
  <c r="B505" i="4"/>
  <c r="C505" i="4"/>
  <c r="F505" i="4"/>
  <c r="G505" i="4"/>
  <c r="M505" i="4" s="1"/>
  <c r="H505" i="4"/>
  <c r="N505" i="4" s="1"/>
  <c r="I505" i="4"/>
  <c r="O505" i="4" s="1"/>
  <c r="J505" i="4"/>
  <c r="Q505" i="4"/>
  <c r="V505" i="4" s="1"/>
  <c r="R505" i="4"/>
  <c r="W505" i="4" s="1"/>
  <c r="S505" i="4"/>
  <c r="X505" i="4" s="1"/>
  <c r="T505" i="4"/>
  <c r="Y505" i="4" s="1"/>
  <c r="B506" i="4"/>
  <c r="C506" i="4"/>
  <c r="F506" i="4"/>
  <c r="G506" i="4"/>
  <c r="M506" i="4" s="1"/>
  <c r="H506" i="4"/>
  <c r="N506" i="4" s="1"/>
  <c r="I506" i="4"/>
  <c r="O506" i="4" s="1"/>
  <c r="J506" i="4"/>
  <c r="Q506" i="4"/>
  <c r="R506" i="4"/>
  <c r="W506" i="4" s="1"/>
  <c r="S506" i="4"/>
  <c r="X506" i="4" s="1"/>
  <c r="T506" i="4"/>
  <c r="Y506" i="4" s="1"/>
  <c r="B507" i="4"/>
  <c r="C507" i="4"/>
  <c r="F507" i="4"/>
  <c r="L507" i="4" s="1"/>
  <c r="G507" i="4"/>
  <c r="M507" i="4" s="1"/>
  <c r="H507" i="4"/>
  <c r="N507" i="4" s="1"/>
  <c r="I507" i="4"/>
  <c r="O507" i="4" s="1"/>
  <c r="J507" i="4"/>
  <c r="Q507" i="4"/>
  <c r="V507" i="4" s="1"/>
  <c r="R507" i="4"/>
  <c r="W507" i="4" s="1"/>
  <c r="S507" i="4"/>
  <c r="X507" i="4" s="1"/>
  <c r="T507" i="4"/>
  <c r="Y507" i="4" s="1"/>
  <c r="B508" i="4"/>
  <c r="C508" i="4"/>
  <c r="F508" i="4"/>
  <c r="G508" i="4"/>
  <c r="M508" i="4" s="1"/>
  <c r="H508" i="4"/>
  <c r="N508" i="4" s="1"/>
  <c r="I508" i="4"/>
  <c r="O508" i="4" s="1"/>
  <c r="J508" i="4"/>
  <c r="Q508" i="4"/>
  <c r="V508" i="4" s="1"/>
  <c r="R508" i="4"/>
  <c r="W508" i="4" s="1"/>
  <c r="S508" i="4"/>
  <c r="X508" i="4" s="1"/>
  <c r="T508" i="4"/>
  <c r="Y508" i="4" s="1"/>
  <c r="B509" i="4"/>
  <c r="C509" i="4"/>
  <c r="F509" i="4"/>
  <c r="G509" i="4"/>
  <c r="M509" i="4" s="1"/>
  <c r="H509" i="4"/>
  <c r="N509" i="4" s="1"/>
  <c r="I509" i="4"/>
  <c r="O509" i="4" s="1"/>
  <c r="J509" i="4"/>
  <c r="Q509" i="4"/>
  <c r="V509" i="4" s="1"/>
  <c r="R509" i="4"/>
  <c r="S509" i="4"/>
  <c r="X509" i="4" s="1"/>
  <c r="T509" i="4"/>
  <c r="Y509" i="4" s="1"/>
  <c r="B510" i="4"/>
  <c r="C510" i="4"/>
  <c r="F510" i="4"/>
  <c r="G510" i="4"/>
  <c r="M510" i="4" s="1"/>
  <c r="H510" i="4"/>
  <c r="N510" i="4" s="1"/>
  <c r="I510" i="4"/>
  <c r="O510" i="4" s="1"/>
  <c r="J510" i="4"/>
  <c r="Q510" i="4"/>
  <c r="V510" i="4" s="1"/>
  <c r="R510" i="4"/>
  <c r="W510" i="4" s="1"/>
  <c r="S510" i="4"/>
  <c r="X510" i="4" s="1"/>
  <c r="T510" i="4"/>
  <c r="Y510" i="4" s="1"/>
  <c r="B511" i="4"/>
  <c r="C511" i="4"/>
  <c r="F511" i="4"/>
  <c r="L511" i="4" s="1"/>
  <c r="G511" i="4"/>
  <c r="M511" i="4" s="1"/>
  <c r="H511" i="4"/>
  <c r="I511" i="4"/>
  <c r="O511" i="4" s="1"/>
  <c r="J511" i="4"/>
  <c r="Q511" i="4"/>
  <c r="R511" i="4"/>
  <c r="W511" i="4" s="1"/>
  <c r="S511" i="4"/>
  <c r="X511" i="4" s="1"/>
  <c r="T511" i="4"/>
  <c r="Y511" i="4" s="1"/>
  <c r="B512" i="4"/>
  <c r="C512" i="4"/>
  <c r="F512" i="4"/>
  <c r="G512" i="4"/>
  <c r="M512" i="4" s="1"/>
  <c r="H512" i="4"/>
  <c r="N512" i="4" s="1"/>
  <c r="I512" i="4"/>
  <c r="O512" i="4" s="1"/>
  <c r="J512" i="4"/>
  <c r="Q512" i="4"/>
  <c r="R512" i="4"/>
  <c r="W512" i="4" s="1"/>
  <c r="S512" i="4"/>
  <c r="X512" i="4" s="1"/>
  <c r="T512" i="4"/>
  <c r="Y512" i="4" s="1"/>
  <c r="B513" i="4"/>
  <c r="C513" i="4"/>
  <c r="F513" i="4"/>
  <c r="G513" i="4"/>
  <c r="M513" i="4" s="1"/>
  <c r="H513" i="4"/>
  <c r="N513" i="4" s="1"/>
  <c r="I513" i="4"/>
  <c r="O513" i="4" s="1"/>
  <c r="J513" i="4"/>
  <c r="Q513" i="4"/>
  <c r="V513" i="4" s="1"/>
  <c r="R513" i="4"/>
  <c r="W513" i="4" s="1"/>
  <c r="S513" i="4"/>
  <c r="X513" i="4" s="1"/>
  <c r="T513" i="4"/>
  <c r="Y513" i="4" s="1"/>
  <c r="B514" i="4"/>
  <c r="C514" i="4"/>
  <c r="F514" i="4"/>
  <c r="G514" i="4"/>
  <c r="M514" i="4" s="1"/>
  <c r="H514" i="4"/>
  <c r="N514" i="4" s="1"/>
  <c r="I514" i="4"/>
  <c r="O514" i="4" s="1"/>
  <c r="J514" i="4"/>
  <c r="Q514" i="4"/>
  <c r="R514" i="4"/>
  <c r="W514" i="4" s="1"/>
  <c r="S514" i="4"/>
  <c r="X514" i="4" s="1"/>
  <c r="T514" i="4"/>
  <c r="Y514" i="4" s="1"/>
  <c r="B515" i="4"/>
  <c r="C515" i="4"/>
  <c r="F515" i="4"/>
  <c r="G515" i="4"/>
  <c r="H515" i="4"/>
  <c r="N515" i="4" s="1"/>
  <c r="I515" i="4"/>
  <c r="O515" i="4" s="1"/>
  <c r="J515" i="4"/>
  <c r="Q515" i="4"/>
  <c r="V515" i="4" s="1"/>
  <c r="R515" i="4"/>
  <c r="W515" i="4" s="1"/>
  <c r="S515" i="4"/>
  <c r="X515" i="4" s="1"/>
  <c r="T515" i="4"/>
  <c r="Y515" i="4" s="1"/>
  <c r="B516" i="4"/>
  <c r="C516" i="4"/>
  <c r="F516" i="4"/>
  <c r="L516" i="4" s="1"/>
  <c r="G516" i="4"/>
  <c r="H516" i="4"/>
  <c r="N516" i="4" s="1"/>
  <c r="I516" i="4"/>
  <c r="O516" i="4" s="1"/>
  <c r="J516" i="4"/>
  <c r="Q516" i="4"/>
  <c r="V516" i="4" s="1"/>
  <c r="R516" i="4"/>
  <c r="W516" i="4" s="1"/>
  <c r="S516" i="4"/>
  <c r="X516" i="4" s="1"/>
  <c r="T516" i="4"/>
  <c r="Y516" i="4" s="1"/>
  <c r="B517" i="4"/>
  <c r="C517" i="4"/>
  <c r="F517" i="4"/>
  <c r="G517" i="4"/>
  <c r="M517" i="4" s="1"/>
  <c r="H517" i="4"/>
  <c r="N517" i="4" s="1"/>
  <c r="I517" i="4"/>
  <c r="O517" i="4" s="1"/>
  <c r="J517" i="4"/>
  <c r="Q517" i="4"/>
  <c r="R517" i="4"/>
  <c r="W517" i="4" s="1"/>
  <c r="S517" i="4"/>
  <c r="X517" i="4" s="1"/>
  <c r="T517" i="4"/>
  <c r="Y517" i="4" s="1"/>
  <c r="B518" i="4"/>
  <c r="C518" i="4"/>
  <c r="F518" i="4"/>
  <c r="G518" i="4"/>
  <c r="M518" i="4" s="1"/>
  <c r="H518" i="4"/>
  <c r="N518" i="4" s="1"/>
  <c r="I518" i="4"/>
  <c r="O518" i="4" s="1"/>
  <c r="J518" i="4"/>
  <c r="Q518" i="4"/>
  <c r="V518" i="4" s="1"/>
  <c r="R518" i="4"/>
  <c r="S518" i="4"/>
  <c r="X518" i="4" s="1"/>
  <c r="T518" i="4"/>
  <c r="Y518" i="4" s="1"/>
  <c r="B519" i="4"/>
  <c r="C519" i="4"/>
  <c r="F519" i="4"/>
  <c r="G519" i="4"/>
  <c r="M519" i="4" s="1"/>
  <c r="H519" i="4"/>
  <c r="N519" i="4" s="1"/>
  <c r="I519" i="4"/>
  <c r="O519" i="4" s="1"/>
  <c r="J519" i="4"/>
  <c r="Q519" i="4"/>
  <c r="R519" i="4"/>
  <c r="W519" i="4" s="1"/>
  <c r="S519" i="4"/>
  <c r="X519" i="4" s="1"/>
  <c r="T519" i="4"/>
  <c r="Y519" i="4" s="1"/>
  <c r="B520" i="4"/>
  <c r="C520" i="4"/>
  <c r="F520" i="4"/>
  <c r="G520" i="4"/>
  <c r="M520" i="4" s="1"/>
  <c r="H520" i="4"/>
  <c r="N520" i="4" s="1"/>
  <c r="I520" i="4"/>
  <c r="O520" i="4" s="1"/>
  <c r="J520" i="4"/>
  <c r="Q520" i="4"/>
  <c r="V520" i="4" s="1"/>
  <c r="R520" i="4"/>
  <c r="W520" i="4" s="1"/>
  <c r="S520" i="4"/>
  <c r="X520" i="4" s="1"/>
  <c r="T520" i="4"/>
  <c r="Y520" i="4" s="1"/>
  <c r="B521" i="4"/>
  <c r="C521" i="4"/>
  <c r="F521" i="4"/>
  <c r="G521" i="4"/>
  <c r="M521" i="4" s="1"/>
  <c r="H521" i="4"/>
  <c r="N521" i="4" s="1"/>
  <c r="I521" i="4"/>
  <c r="O521" i="4" s="1"/>
  <c r="J521" i="4"/>
  <c r="Q521" i="4"/>
  <c r="V521" i="4" s="1"/>
  <c r="R521" i="4"/>
  <c r="W521" i="4" s="1"/>
  <c r="S521" i="4"/>
  <c r="X521" i="4" s="1"/>
  <c r="T521" i="4"/>
  <c r="Y521" i="4" s="1"/>
  <c r="B522" i="4"/>
  <c r="C522" i="4"/>
  <c r="F522" i="4"/>
  <c r="L522" i="4" s="1"/>
  <c r="G522" i="4"/>
  <c r="M522" i="4" s="1"/>
  <c r="H522" i="4"/>
  <c r="N522" i="4" s="1"/>
  <c r="I522" i="4"/>
  <c r="O522" i="4" s="1"/>
  <c r="J522" i="4"/>
  <c r="Q522" i="4"/>
  <c r="V522" i="4" s="1"/>
  <c r="R522" i="4"/>
  <c r="S522" i="4"/>
  <c r="X522" i="4" s="1"/>
  <c r="T522" i="4"/>
  <c r="Y522" i="4" s="1"/>
  <c r="B523" i="4"/>
  <c r="C523" i="4"/>
  <c r="F523" i="4"/>
  <c r="G523" i="4"/>
  <c r="M523" i="4" s="1"/>
  <c r="H523" i="4"/>
  <c r="N523" i="4" s="1"/>
  <c r="I523" i="4"/>
  <c r="O523" i="4" s="1"/>
  <c r="J523" i="4"/>
  <c r="Q523" i="4"/>
  <c r="R523" i="4"/>
  <c r="W523" i="4" s="1"/>
  <c r="S523" i="4"/>
  <c r="X523" i="4" s="1"/>
  <c r="T523" i="4"/>
  <c r="Y523" i="4" s="1"/>
  <c r="B524" i="4"/>
  <c r="C524" i="4"/>
  <c r="F524" i="4"/>
  <c r="G524" i="4"/>
  <c r="M524" i="4" s="1"/>
  <c r="H524" i="4"/>
  <c r="N524" i="4" s="1"/>
  <c r="I524" i="4"/>
  <c r="O524" i="4" s="1"/>
  <c r="J524" i="4"/>
  <c r="Q524" i="4"/>
  <c r="V524" i="4" s="1"/>
  <c r="R524" i="4"/>
  <c r="W524" i="4" s="1"/>
  <c r="S524" i="4"/>
  <c r="X524" i="4" s="1"/>
  <c r="T524" i="4"/>
  <c r="Y524" i="4" s="1"/>
  <c r="B525" i="4"/>
  <c r="C525" i="4"/>
  <c r="F525" i="4"/>
  <c r="L525" i="4" s="1"/>
  <c r="G525" i="4"/>
  <c r="M525" i="4" s="1"/>
  <c r="H525" i="4"/>
  <c r="N525" i="4" s="1"/>
  <c r="I525" i="4"/>
  <c r="O525" i="4" s="1"/>
  <c r="J525" i="4"/>
  <c r="Q525" i="4"/>
  <c r="V525" i="4" s="1"/>
  <c r="R525" i="4"/>
  <c r="S525" i="4"/>
  <c r="X525" i="4" s="1"/>
  <c r="T525" i="4"/>
  <c r="Y525" i="4" s="1"/>
  <c r="B526" i="4"/>
  <c r="C526" i="4"/>
  <c r="F526" i="4"/>
  <c r="L526" i="4" s="1"/>
  <c r="G526" i="4"/>
  <c r="M526" i="4" s="1"/>
  <c r="H526" i="4"/>
  <c r="N526" i="4" s="1"/>
  <c r="I526" i="4"/>
  <c r="O526" i="4" s="1"/>
  <c r="J526" i="4"/>
  <c r="Q526" i="4"/>
  <c r="R526" i="4"/>
  <c r="W526" i="4" s="1"/>
  <c r="S526" i="4"/>
  <c r="X526" i="4" s="1"/>
  <c r="T526" i="4"/>
  <c r="Y526" i="4" s="1"/>
  <c r="B527" i="4"/>
  <c r="C527" i="4"/>
  <c r="F527" i="4"/>
  <c r="G527" i="4"/>
  <c r="M527" i="4" s="1"/>
  <c r="H527" i="4"/>
  <c r="N527" i="4" s="1"/>
  <c r="I527" i="4"/>
  <c r="O527" i="4" s="1"/>
  <c r="J527" i="4"/>
  <c r="Q527" i="4"/>
  <c r="R527" i="4"/>
  <c r="W527" i="4" s="1"/>
  <c r="S527" i="4"/>
  <c r="T527" i="4"/>
  <c r="Y527" i="4" s="1"/>
  <c r="B528" i="4"/>
  <c r="C528" i="4"/>
  <c r="F528" i="4"/>
  <c r="L528" i="4" s="1"/>
  <c r="G528" i="4"/>
  <c r="H528" i="4"/>
  <c r="N528" i="4" s="1"/>
  <c r="I528" i="4"/>
  <c r="O528" i="4" s="1"/>
  <c r="J528" i="4"/>
  <c r="Q528" i="4"/>
  <c r="V528" i="4" s="1"/>
  <c r="R528" i="4"/>
  <c r="W528" i="4" s="1"/>
  <c r="S528" i="4"/>
  <c r="X528" i="4" s="1"/>
  <c r="T528" i="4"/>
  <c r="Y528" i="4" s="1"/>
  <c r="B529" i="4"/>
  <c r="C529" i="4"/>
  <c r="F529" i="4"/>
  <c r="G529" i="4"/>
  <c r="M529" i="4" s="1"/>
  <c r="H529" i="4"/>
  <c r="N529" i="4" s="1"/>
  <c r="I529" i="4"/>
  <c r="O529" i="4" s="1"/>
  <c r="J529" i="4"/>
  <c r="Q529" i="4"/>
  <c r="V529" i="4" s="1"/>
  <c r="R529" i="4"/>
  <c r="W529" i="4" s="1"/>
  <c r="S529" i="4"/>
  <c r="X529" i="4" s="1"/>
  <c r="T529" i="4"/>
  <c r="Y529" i="4" s="1"/>
  <c r="B530" i="4"/>
  <c r="C530" i="4"/>
  <c r="F530" i="4"/>
  <c r="G530" i="4"/>
  <c r="M530" i="4" s="1"/>
  <c r="H530" i="4"/>
  <c r="N530" i="4" s="1"/>
  <c r="I530" i="4"/>
  <c r="O530" i="4" s="1"/>
  <c r="J530" i="4"/>
  <c r="Q530" i="4"/>
  <c r="R530" i="4"/>
  <c r="W530" i="4" s="1"/>
  <c r="S530" i="4"/>
  <c r="X530" i="4" s="1"/>
  <c r="T530" i="4"/>
  <c r="Y530" i="4" s="1"/>
  <c r="B531" i="4"/>
  <c r="C531" i="4"/>
  <c r="F531" i="4"/>
  <c r="L531" i="4" s="1"/>
  <c r="G531" i="4"/>
  <c r="H531" i="4"/>
  <c r="N531" i="4" s="1"/>
  <c r="I531" i="4"/>
  <c r="O531" i="4" s="1"/>
  <c r="J531" i="4"/>
  <c r="Q531" i="4"/>
  <c r="V531" i="4" s="1"/>
  <c r="R531" i="4"/>
  <c r="W531" i="4" s="1"/>
  <c r="S531" i="4"/>
  <c r="X531" i="4" s="1"/>
  <c r="T531" i="4"/>
  <c r="Y531" i="4" s="1"/>
  <c r="B532" i="4"/>
  <c r="C532" i="4"/>
  <c r="F532" i="4"/>
  <c r="G532" i="4"/>
  <c r="M532" i="4" s="1"/>
  <c r="H532" i="4"/>
  <c r="N532" i="4" s="1"/>
  <c r="I532" i="4"/>
  <c r="O532" i="4" s="1"/>
  <c r="J532" i="4"/>
  <c r="Q532" i="4"/>
  <c r="R532" i="4"/>
  <c r="W532" i="4" s="1"/>
  <c r="S532" i="4"/>
  <c r="X532" i="4" s="1"/>
  <c r="T532" i="4"/>
  <c r="Y532" i="4" s="1"/>
  <c r="B533" i="4"/>
  <c r="C533" i="4"/>
  <c r="F533" i="4"/>
  <c r="L533" i="4" s="1"/>
  <c r="G533" i="4"/>
  <c r="M533" i="4" s="1"/>
  <c r="H533" i="4"/>
  <c r="N533" i="4" s="1"/>
  <c r="I533" i="4"/>
  <c r="O533" i="4" s="1"/>
  <c r="J533" i="4"/>
  <c r="Q533" i="4"/>
  <c r="R533" i="4"/>
  <c r="W533" i="4" s="1"/>
  <c r="S533" i="4"/>
  <c r="X533" i="4" s="1"/>
  <c r="T533" i="4"/>
  <c r="Y533" i="4" s="1"/>
  <c r="B534" i="4"/>
  <c r="C534" i="4"/>
  <c r="F534" i="4"/>
  <c r="G534" i="4"/>
  <c r="M534" i="4" s="1"/>
  <c r="H534" i="4"/>
  <c r="N534" i="4" s="1"/>
  <c r="I534" i="4"/>
  <c r="O534" i="4" s="1"/>
  <c r="J534" i="4"/>
  <c r="Q534" i="4"/>
  <c r="V534" i="4" s="1"/>
  <c r="R534" i="4"/>
  <c r="S534" i="4"/>
  <c r="X534" i="4" s="1"/>
  <c r="T534" i="4"/>
  <c r="Y534" i="4" s="1"/>
  <c r="B535" i="4"/>
  <c r="C535" i="4"/>
  <c r="F535" i="4"/>
  <c r="L535" i="4" s="1"/>
  <c r="G535" i="4"/>
  <c r="M535" i="4" s="1"/>
  <c r="H535" i="4"/>
  <c r="N535" i="4" s="1"/>
  <c r="I535" i="4"/>
  <c r="O535" i="4" s="1"/>
  <c r="J535" i="4"/>
  <c r="Q535" i="4"/>
  <c r="R535" i="4"/>
  <c r="W535" i="4" s="1"/>
  <c r="S535" i="4"/>
  <c r="X535" i="4" s="1"/>
  <c r="T535" i="4"/>
  <c r="Y535" i="4" s="1"/>
  <c r="B536" i="4"/>
  <c r="C536" i="4"/>
  <c r="F536" i="4"/>
  <c r="L536" i="4" s="1"/>
  <c r="G536" i="4"/>
  <c r="M536" i="4" s="1"/>
  <c r="H536" i="4"/>
  <c r="N536" i="4" s="1"/>
  <c r="I536" i="4"/>
  <c r="O536" i="4" s="1"/>
  <c r="J536" i="4"/>
  <c r="Q536" i="4"/>
  <c r="V536" i="4" s="1"/>
  <c r="R536" i="4"/>
  <c r="S536" i="4"/>
  <c r="X536" i="4" s="1"/>
  <c r="T536" i="4"/>
  <c r="Y536" i="4" s="1"/>
  <c r="B537" i="4"/>
  <c r="C537" i="4"/>
  <c r="F537" i="4"/>
  <c r="L537" i="4" s="1"/>
  <c r="G537" i="4"/>
  <c r="M537" i="4" s="1"/>
  <c r="H537" i="4"/>
  <c r="N537" i="4" s="1"/>
  <c r="I537" i="4"/>
  <c r="O537" i="4" s="1"/>
  <c r="J537" i="4"/>
  <c r="Q537" i="4"/>
  <c r="V537" i="4" s="1"/>
  <c r="R537" i="4"/>
  <c r="W537" i="4" s="1"/>
  <c r="S537" i="4"/>
  <c r="X537" i="4" s="1"/>
  <c r="T537" i="4"/>
  <c r="Y537" i="4" s="1"/>
  <c r="B538" i="4"/>
  <c r="C538" i="4"/>
  <c r="F538" i="4"/>
  <c r="G538" i="4"/>
  <c r="M538" i="4" s="1"/>
  <c r="H538" i="4"/>
  <c r="N538" i="4" s="1"/>
  <c r="I538" i="4"/>
  <c r="O538" i="4" s="1"/>
  <c r="J538" i="4"/>
  <c r="Q538" i="4"/>
  <c r="V538" i="4" s="1"/>
  <c r="R538" i="4"/>
  <c r="W538" i="4" s="1"/>
  <c r="S538" i="4"/>
  <c r="T538" i="4"/>
  <c r="Y538" i="4" s="1"/>
  <c r="B539" i="4"/>
  <c r="C539" i="4"/>
  <c r="F539" i="4"/>
  <c r="G539" i="4"/>
  <c r="H539" i="4"/>
  <c r="N539" i="4" s="1"/>
  <c r="I539" i="4"/>
  <c r="O539" i="4" s="1"/>
  <c r="J539" i="4"/>
  <c r="Q539" i="4"/>
  <c r="R539" i="4"/>
  <c r="W539" i="4" s="1"/>
  <c r="S539" i="4"/>
  <c r="X539" i="4" s="1"/>
  <c r="T539" i="4"/>
  <c r="Y539" i="4" s="1"/>
  <c r="B540" i="4"/>
  <c r="C540" i="4"/>
  <c r="F540" i="4"/>
  <c r="G540" i="4"/>
  <c r="M540" i="4" s="1"/>
  <c r="H540" i="4"/>
  <c r="N540" i="4" s="1"/>
  <c r="I540" i="4"/>
  <c r="O540" i="4" s="1"/>
  <c r="J540" i="4"/>
  <c r="Q540" i="4"/>
  <c r="R540" i="4"/>
  <c r="W540" i="4" s="1"/>
  <c r="S540" i="4"/>
  <c r="X540" i="4" s="1"/>
  <c r="T540" i="4"/>
  <c r="Y540" i="4" s="1"/>
  <c r="B541" i="4"/>
  <c r="C541" i="4"/>
  <c r="F541" i="4"/>
  <c r="G541" i="4"/>
  <c r="M541" i="4" s="1"/>
  <c r="H541" i="4"/>
  <c r="N541" i="4" s="1"/>
  <c r="I541" i="4"/>
  <c r="O541" i="4" s="1"/>
  <c r="J541" i="4"/>
  <c r="Q541" i="4"/>
  <c r="R541" i="4"/>
  <c r="W541" i="4" s="1"/>
  <c r="S541" i="4"/>
  <c r="X541" i="4" s="1"/>
  <c r="T541" i="4"/>
  <c r="Y541" i="4" s="1"/>
  <c r="B542" i="4"/>
  <c r="C542" i="4"/>
  <c r="F542" i="4"/>
  <c r="G542" i="4"/>
  <c r="M542" i="4" s="1"/>
  <c r="H542" i="4"/>
  <c r="N542" i="4" s="1"/>
  <c r="I542" i="4"/>
  <c r="O542" i="4" s="1"/>
  <c r="J542" i="4"/>
  <c r="Q542" i="4"/>
  <c r="V542" i="4" s="1"/>
  <c r="R542" i="4"/>
  <c r="W542" i="4" s="1"/>
  <c r="S542" i="4"/>
  <c r="X542" i="4" s="1"/>
  <c r="T542" i="4"/>
  <c r="Y542" i="4" s="1"/>
  <c r="B543" i="4"/>
  <c r="C543" i="4"/>
  <c r="F543" i="4"/>
  <c r="G543" i="4"/>
  <c r="M543" i="4" s="1"/>
  <c r="H543" i="4"/>
  <c r="N543" i="4" s="1"/>
  <c r="I543" i="4"/>
  <c r="O543" i="4" s="1"/>
  <c r="J543" i="4"/>
  <c r="Q543" i="4"/>
  <c r="R543" i="4"/>
  <c r="W543" i="4" s="1"/>
  <c r="S543" i="4"/>
  <c r="X543" i="4" s="1"/>
  <c r="T543" i="4"/>
  <c r="Y543" i="4" s="1"/>
  <c r="B544" i="4"/>
  <c r="C544" i="4"/>
  <c r="F544" i="4"/>
  <c r="L544" i="4" s="1"/>
  <c r="G544" i="4"/>
  <c r="M544" i="4" s="1"/>
  <c r="H544" i="4"/>
  <c r="N544" i="4" s="1"/>
  <c r="I544" i="4"/>
  <c r="O544" i="4" s="1"/>
  <c r="J544" i="4"/>
  <c r="Q544" i="4"/>
  <c r="R544" i="4"/>
  <c r="W544" i="4" s="1"/>
  <c r="S544" i="4"/>
  <c r="X544" i="4" s="1"/>
  <c r="T544" i="4"/>
  <c r="Y544" i="4" s="1"/>
  <c r="B545" i="4"/>
  <c r="C545" i="4"/>
  <c r="F545" i="4"/>
  <c r="L545" i="4" s="1"/>
  <c r="G545" i="4"/>
  <c r="M545" i="4" s="1"/>
  <c r="H545" i="4"/>
  <c r="N545" i="4" s="1"/>
  <c r="I545" i="4"/>
  <c r="O545" i="4" s="1"/>
  <c r="J545" i="4"/>
  <c r="Q545" i="4"/>
  <c r="R545" i="4"/>
  <c r="W545" i="4" s="1"/>
  <c r="S545" i="4"/>
  <c r="X545" i="4" s="1"/>
  <c r="T545" i="4"/>
  <c r="Y545" i="4" s="1"/>
  <c r="B546" i="4"/>
  <c r="C546" i="4"/>
  <c r="F546" i="4"/>
  <c r="G546" i="4"/>
  <c r="M546" i="4" s="1"/>
  <c r="H546" i="4"/>
  <c r="N546" i="4" s="1"/>
  <c r="I546" i="4"/>
  <c r="O546" i="4" s="1"/>
  <c r="J546" i="4"/>
  <c r="Q546" i="4"/>
  <c r="R546" i="4"/>
  <c r="W546" i="4" s="1"/>
  <c r="S546" i="4"/>
  <c r="X546" i="4" s="1"/>
  <c r="T546" i="4"/>
  <c r="Y546" i="4" s="1"/>
  <c r="B547" i="4"/>
  <c r="C547" i="4"/>
  <c r="F547" i="4"/>
  <c r="G547" i="4"/>
  <c r="M547" i="4" s="1"/>
  <c r="H547" i="4"/>
  <c r="N547" i="4" s="1"/>
  <c r="I547" i="4"/>
  <c r="O547" i="4" s="1"/>
  <c r="J547" i="4"/>
  <c r="Q547" i="4"/>
  <c r="V547" i="4" s="1"/>
  <c r="R547" i="4"/>
  <c r="W547" i="4" s="1"/>
  <c r="S547" i="4"/>
  <c r="T547" i="4"/>
  <c r="Y547" i="4" s="1"/>
  <c r="B548" i="4"/>
  <c r="C548" i="4"/>
  <c r="F548" i="4"/>
  <c r="G548" i="4"/>
  <c r="M548" i="4" s="1"/>
  <c r="H548" i="4"/>
  <c r="N548" i="4" s="1"/>
  <c r="I548" i="4"/>
  <c r="O548" i="4" s="1"/>
  <c r="J548" i="4"/>
  <c r="Q548" i="4"/>
  <c r="V548" i="4" s="1"/>
  <c r="R548" i="4"/>
  <c r="S548" i="4"/>
  <c r="X548" i="4" s="1"/>
  <c r="T548" i="4"/>
  <c r="Y548" i="4" s="1"/>
  <c r="B549" i="4"/>
  <c r="C549" i="4"/>
  <c r="F549" i="4"/>
  <c r="G549" i="4"/>
  <c r="M549" i="4" s="1"/>
  <c r="H549" i="4"/>
  <c r="N549" i="4" s="1"/>
  <c r="I549" i="4"/>
  <c r="O549" i="4" s="1"/>
  <c r="J549" i="4"/>
  <c r="Q549" i="4"/>
  <c r="R549" i="4"/>
  <c r="W549" i="4" s="1"/>
  <c r="S549" i="4"/>
  <c r="X549" i="4" s="1"/>
  <c r="T549" i="4"/>
  <c r="Y549" i="4" s="1"/>
  <c r="B550" i="4"/>
  <c r="C550" i="4"/>
  <c r="F550" i="4"/>
  <c r="L550" i="4" s="1"/>
  <c r="G550" i="4"/>
  <c r="H550" i="4"/>
  <c r="N550" i="4" s="1"/>
  <c r="I550" i="4"/>
  <c r="O550" i="4" s="1"/>
  <c r="J550" i="4"/>
  <c r="Q550" i="4"/>
  <c r="R550" i="4"/>
  <c r="W550" i="4" s="1"/>
  <c r="S550" i="4"/>
  <c r="X550" i="4" s="1"/>
  <c r="T550" i="4"/>
  <c r="Y550" i="4" s="1"/>
  <c r="B551" i="4"/>
  <c r="C551" i="4"/>
  <c r="F551" i="4"/>
  <c r="L551" i="4" s="1"/>
  <c r="G551" i="4"/>
  <c r="H551" i="4"/>
  <c r="N551" i="4" s="1"/>
  <c r="I551" i="4"/>
  <c r="O551" i="4" s="1"/>
  <c r="J551" i="4"/>
  <c r="Q551" i="4"/>
  <c r="R551" i="4"/>
  <c r="W551" i="4" s="1"/>
  <c r="S551" i="4"/>
  <c r="X551" i="4" s="1"/>
  <c r="T551" i="4"/>
  <c r="Y551" i="4" s="1"/>
  <c r="B552" i="4"/>
  <c r="C552" i="4"/>
  <c r="F552" i="4"/>
  <c r="G552" i="4"/>
  <c r="M552" i="4" s="1"/>
  <c r="H552" i="4"/>
  <c r="N552" i="4" s="1"/>
  <c r="I552" i="4"/>
  <c r="O552" i="4" s="1"/>
  <c r="J552" i="4"/>
  <c r="Q552" i="4"/>
  <c r="R552" i="4"/>
  <c r="W552" i="4" s="1"/>
  <c r="S552" i="4"/>
  <c r="X552" i="4" s="1"/>
  <c r="T552" i="4"/>
  <c r="Y552" i="4" s="1"/>
  <c r="B553" i="4"/>
  <c r="C553" i="4"/>
  <c r="F553" i="4"/>
  <c r="G553" i="4"/>
  <c r="M553" i="4" s="1"/>
  <c r="H553" i="4"/>
  <c r="N553" i="4" s="1"/>
  <c r="I553" i="4"/>
  <c r="O553" i="4" s="1"/>
  <c r="J553" i="4"/>
  <c r="Q553" i="4"/>
  <c r="R553" i="4"/>
  <c r="W553" i="4" s="1"/>
  <c r="S553" i="4"/>
  <c r="X553" i="4" s="1"/>
  <c r="T553" i="4"/>
  <c r="Y553" i="4" s="1"/>
  <c r="B554" i="4"/>
  <c r="C554" i="4"/>
  <c r="F554" i="4"/>
  <c r="L554" i="4" s="1"/>
  <c r="G554" i="4"/>
  <c r="M554" i="4" s="1"/>
  <c r="H554" i="4"/>
  <c r="N554" i="4" s="1"/>
  <c r="I554" i="4"/>
  <c r="O554" i="4" s="1"/>
  <c r="J554" i="4"/>
  <c r="Q554" i="4"/>
  <c r="R554" i="4"/>
  <c r="W554" i="4" s="1"/>
  <c r="S554" i="4"/>
  <c r="X554" i="4" s="1"/>
  <c r="T554" i="4"/>
  <c r="Y554" i="4" s="1"/>
  <c r="B555" i="4"/>
  <c r="C555" i="4"/>
  <c r="F555" i="4"/>
  <c r="G555" i="4"/>
  <c r="M555" i="4" s="1"/>
  <c r="H555" i="4"/>
  <c r="N555" i="4" s="1"/>
  <c r="I555" i="4"/>
  <c r="O555" i="4" s="1"/>
  <c r="J555" i="4"/>
  <c r="Q555" i="4"/>
  <c r="V555" i="4" s="1"/>
  <c r="R555" i="4"/>
  <c r="W555" i="4" s="1"/>
  <c r="S555" i="4"/>
  <c r="X555" i="4" s="1"/>
  <c r="T555" i="4"/>
  <c r="Y555" i="4" s="1"/>
  <c r="B556" i="4"/>
  <c r="C556" i="4"/>
  <c r="F556" i="4"/>
  <c r="L556" i="4" s="1"/>
  <c r="G556" i="4"/>
  <c r="M556" i="4" s="1"/>
  <c r="H556" i="4"/>
  <c r="N556" i="4" s="1"/>
  <c r="I556" i="4"/>
  <c r="O556" i="4" s="1"/>
  <c r="J556" i="4"/>
  <c r="Q556" i="4"/>
  <c r="V556" i="4" s="1"/>
  <c r="R556" i="4"/>
  <c r="W556" i="4" s="1"/>
  <c r="S556" i="4"/>
  <c r="X556" i="4" s="1"/>
  <c r="T556" i="4"/>
  <c r="Y556" i="4" s="1"/>
  <c r="B557" i="4"/>
  <c r="C557" i="4"/>
  <c r="F557" i="4"/>
  <c r="G557" i="4"/>
  <c r="M557" i="4" s="1"/>
  <c r="H557" i="4"/>
  <c r="N557" i="4" s="1"/>
  <c r="I557" i="4"/>
  <c r="O557" i="4" s="1"/>
  <c r="J557" i="4"/>
  <c r="Q557" i="4"/>
  <c r="R557" i="4"/>
  <c r="W557" i="4" s="1"/>
  <c r="S557" i="4"/>
  <c r="X557" i="4" s="1"/>
  <c r="T557" i="4"/>
  <c r="Y557" i="4" s="1"/>
  <c r="B558" i="4"/>
  <c r="C558" i="4"/>
  <c r="F558" i="4"/>
  <c r="G558" i="4"/>
  <c r="M558" i="4" s="1"/>
  <c r="H558" i="4"/>
  <c r="N558" i="4" s="1"/>
  <c r="I558" i="4"/>
  <c r="O558" i="4" s="1"/>
  <c r="J558" i="4"/>
  <c r="Q558" i="4"/>
  <c r="V558" i="4" s="1"/>
  <c r="R558" i="4"/>
  <c r="W558" i="4" s="1"/>
  <c r="S558" i="4"/>
  <c r="X558" i="4" s="1"/>
  <c r="T558" i="4"/>
  <c r="Y558" i="4" s="1"/>
  <c r="B559" i="4"/>
  <c r="C559" i="4"/>
  <c r="F559" i="4"/>
  <c r="L559" i="4" s="1"/>
  <c r="G559" i="4"/>
  <c r="M559" i="4" s="1"/>
  <c r="H559" i="4"/>
  <c r="N559" i="4" s="1"/>
  <c r="I559" i="4"/>
  <c r="O559" i="4" s="1"/>
  <c r="J559" i="4"/>
  <c r="Q559" i="4"/>
  <c r="R559" i="4"/>
  <c r="W559" i="4" s="1"/>
  <c r="S559" i="4"/>
  <c r="X559" i="4" s="1"/>
  <c r="T559" i="4"/>
  <c r="Y559" i="4" s="1"/>
  <c r="B560" i="4"/>
  <c r="C560" i="4"/>
  <c r="F560" i="4"/>
  <c r="G560" i="4"/>
  <c r="M560" i="4" s="1"/>
  <c r="H560" i="4"/>
  <c r="N560" i="4" s="1"/>
  <c r="I560" i="4"/>
  <c r="O560" i="4" s="1"/>
  <c r="J560" i="4"/>
  <c r="Q560" i="4"/>
  <c r="R560" i="4"/>
  <c r="W560" i="4" s="1"/>
  <c r="S560" i="4"/>
  <c r="X560" i="4" s="1"/>
  <c r="T560" i="4"/>
  <c r="Y560" i="4" s="1"/>
  <c r="B561" i="4"/>
  <c r="C561" i="4"/>
  <c r="F561" i="4"/>
  <c r="G561" i="4"/>
  <c r="M561" i="4" s="1"/>
  <c r="H561" i="4"/>
  <c r="N561" i="4" s="1"/>
  <c r="I561" i="4"/>
  <c r="O561" i="4" s="1"/>
  <c r="J561" i="4"/>
  <c r="Q561" i="4"/>
  <c r="V561" i="4" s="1"/>
  <c r="R561" i="4"/>
  <c r="W561" i="4" s="1"/>
  <c r="S561" i="4"/>
  <c r="X561" i="4" s="1"/>
  <c r="T561" i="4"/>
  <c r="Y561" i="4" s="1"/>
  <c r="B562" i="4"/>
  <c r="C562" i="4"/>
  <c r="F562" i="4"/>
  <c r="G562" i="4"/>
  <c r="M562" i="4" s="1"/>
  <c r="H562" i="4"/>
  <c r="N562" i="4" s="1"/>
  <c r="I562" i="4"/>
  <c r="O562" i="4" s="1"/>
  <c r="J562" i="4"/>
  <c r="Q562" i="4"/>
  <c r="V562" i="4" s="1"/>
  <c r="R562" i="4"/>
  <c r="W562" i="4" s="1"/>
  <c r="S562" i="4"/>
  <c r="X562" i="4" s="1"/>
  <c r="T562" i="4"/>
  <c r="Y562" i="4" s="1"/>
  <c r="B563" i="4"/>
  <c r="C563" i="4"/>
  <c r="F563" i="4"/>
  <c r="L563" i="4" s="1"/>
  <c r="G563" i="4"/>
  <c r="H563" i="4"/>
  <c r="N563" i="4" s="1"/>
  <c r="I563" i="4"/>
  <c r="O563" i="4" s="1"/>
  <c r="J563" i="4"/>
  <c r="Q563" i="4"/>
  <c r="V563" i="4" s="1"/>
  <c r="R563" i="4"/>
  <c r="S563" i="4"/>
  <c r="X563" i="4" s="1"/>
  <c r="T563" i="4"/>
  <c r="Y563" i="4" s="1"/>
  <c r="B564" i="4"/>
  <c r="C564" i="4"/>
  <c r="F564" i="4"/>
  <c r="G564" i="4"/>
  <c r="M564" i="4" s="1"/>
  <c r="H564" i="4"/>
  <c r="N564" i="4" s="1"/>
  <c r="I564" i="4"/>
  <c r="O564" i="4" s="1"/>
  <c r="J564" i="4"/>
  <c r="Q564" i="4"/>
  <c r="V564" i="4" s="1"/>
  <c r="R564" i="4"/>
  <c r="W564" i="4" s="1"/>
  <c r="S564" i="4"/>
  <c r="X564" i="4" s="1"/>
  <c r="T564" i="4"/>
  <c r="Y564" i="4" s="1"/>
  <c r="B565" i="4"/>
  <c r="C565" i="4"/>
  <c r="F565" i="4"/>
  <c r="G565" i="4"/>
  <c r="H565" i="4"/>
  <c r="N565" i="4" s="1"/>
  <c r="I565" i="4"/>
  <c r="O565" i="4" s="1"/>
  <c r="J565" i="4"/>
  <c r="Q565" i="4"/>
  <c r="V565" i="4" s="1"/>
  <c r="R565" i="4"/>
  <c r="S565" i="4"/>
  <c r="X565" i="4" s="1"/>
  <c r="T565" i="4"/>
  <c r="Y565" i="4" s="1"/>
  <c r="B566" i="4"/>
  <c r="C566" i="4"/>
  <c r="F566" i="4"/>
  <c r="G566" i="4"/>
  <c r="M566" i="4" s="1"/>
  <c r="H566" i="4"/>
  <c r="N566" i="4" s="1"/>
  <c r="I566" i="4"/>
  <c r="O566" i="4" s="1"/>
  <c r="J566" i="4"/>
  <c r="Q566" i="4"/>
  <c r="V566" i="4" s="1"/>
  <c r="R566" i="4"/>
  <c r="W566" i="4" s="1"/>
  <c r="S566" i="4"/>
  <c r="X566" i="4" s="1"/>
  <c r="T566" i="4"/>
  <c r="Y566" i="4" s="1"/>
  <c r="B567" i="4"/>
  <c r="C567" i="4"/>
  <c r="F567" i="4"/>
  <c r="L567" i="4" s="1"/>
  <c r="G567" i="4"/>
  <c r="M567" i="4" s="1"/>
  <c r="H567" i="4"/>
  <c r="N567" i="4" s="1"/>
  <c r="I567" i="4"/>
  <c r="O567" i="4" s="1"/>
  <c r="J567" i="4"/>
  <c r="Q567" i="4"/>
  <c r="V567" i="4" s="1"/>
  <c r="R567" i="4"/>
  <c r="W567" i="4" s="1"/>
  <c r="S567" i="4"/>
  <c r="X567" i="4" s="1"/>
  <c r="T567" i="4"/>
  <c r="Y567" i="4" s="1"/>
  <c r="B568" i="4"/>
  <c r="C568" i="4"/>
  <c r="F568" i="4"/>
  <c r="L568" i="4" s="1"/>
  <c r="G568" i="4"/>
  <c r="M568" i="4" s="1"/>
  <c r="H568" i="4"/>
  <c r="N568" i="4" s="1"/>
  <c r="I568" i="4"/>
  <c r="O568" i="4" s="1"/>
  <c r="J568" i="4"/>
  <c r="Q568" i="4"/>
  <c r="V568" i="4" s="1"/>
  <c r="R568" i="4"/>
  <c r="W568" i="4" s="1"/>
  <c r="S568" i="4"/>
  <c r="X568" i="4" s="1"/>
  <c r="T568" i="4"/>
  <c r="Y568" i="4" s="1"/>
  <c r="B569" i="4"/>
  <c r="C569" i="4"/>
  <c r="F569" i="4"/>
  <c r="L569" i="4" s="1"/>
  <c r="G569" i="4"/>
  <c r="M569" i="4" s="1"/>
  <c r="H569" i="4"/>
  <c r="N569" i="4" s="1"/>
  <c r="I569" i="4"/>
  <c r="O569" i="4" s="1"/>
  <c r="J569" i="4"/>
  <c r="Q569" i="4"/>
  <c r="V569" i="4" s="1"/>
  <c r="R569" i="4"/>
  <c r="W569" i="4" s="1"/>
  <c r="S569" i="4"/>
  <c r="X569" i="4" s="1"/>
  <c r="T569" i="4"/>
  <c r="Y569" i="4" s="1"/>
  <c r="B570" i="4"/>
  <c r="C570" i="4"/>
  <c r="F570" i="4"/>
  <c r="G570" i="4"/>
  <c r="M570" i="4" s="1"/>
  <c r="H570" i="4"/>
  <c r="N570" i="4" s="1"/>
  <c r="I570" i="4"/>
  <c r="O570" i="4" s="1"/>
  <c r="J570" i="4"/>
  <c r="Q570" i="4"/>
  <c r="R570" i="4"/>
  <c r="W570" i="4" s="1"/>
  <c r="S570" i="4"/>
  <c r="X570" i="4" s="1"/>
  <c r="T570" i="4"/>
  <c r="Y570" i="4" s="1"/>
  <c r="B571" i="4"/>
  <c r="C571" i="4"/>
  <c r="F571" i="4"/>
  <c r="L571" i="4" s="1"/>
  <c r="G571" i="4"/>
  <c r="M571" i="4" s="1"/>
  <c r="H571" i="4"/>
  <c r="N571" i="4" s="1"/>
  <c r="I571" i="4"/>
  <c r="O571" i="4" s="1"/>
  <c r="J571" i="4"/>
  <c r="Q571" i="4"/>
  <c r="V571" i="4" s="1"/>
  <c r="R571" i="4"/>
  <c r="W571" i="4" s="1"/>
  <c r="S571" i="4"/>
  <c r="X571" i="4" s="1"/>
  <c r="T571" i="4"/>
  <c r="Y571" i="4" s="1"/>
  <c r="B572" i="4"/>
  <c r="C572" i="4"/>
  <c r="F572" i="4"/>
  <c r="L572" i="4" s="1"/>
  <c r="G572" i="4"/>
  <c r="M572" i="4" s="1"/>
  <c r="H572" i="4"/>
  <c r="N572" i="4" s="1"/>
  <c r="I572" i="4"/>
  <c r="O572" i="4" s="1"/>
  <c r="J572" i="4"/>
  <c r="Q572" i="4"/>
  <c r="V572" i="4" s="1"/>
  <c r="R572" i="4"/>
  <c r="W572" i="4" s="1"/>
  <c r="S572" i="4"/>
  <c r="X572" i="4" s="1"/>
  <c r="T572" i="4"/>
  <c r="Y572" i="4" s="1"/>
  <c r="B573" i="4"/>
  <c r="C573" i="4"/>
  <c r="F573" i="4"/>
  <c r="L573" i="4" s="1"/>
  <c r="G573" i="4"/>
  <c r="M573" i="4" s="1"/>
  <c r="H573" i="4"/>
  <c r="N573" i="4" s="1"/>
  <c r="I573" i="4"/>
  <c r="O573" i="4" s="1"/>
  <c r="J573" i="4"/>
  <c r="Q573" i="4"/>
  <c r="V573" i="4" s="1"/>
  <c r="R573" i="4"/>
  <c r="W573" i="4" s="1"/>
  <c r="S573" i="4"/>
  <c r="X573" i="4" s="1"/>
  <c r="T573" i="4"/>
  <c r="Y573" i="4" s="1"/>
  <c r="B574" i="4"/>
  <c r="C574" i="4"/>
  <c r="F574" i="4"/>
  <c r="G574" i="4"/>
  <c r="M574" i="4" s="1"/>
  <c r="H574" i="4"/>
  <c r="N574" i="4" s="1"/>
  <c r="I574" i="4"/>
  <c r="O574" i="4" s="1"/>
  <c r="J574" i="4"/>
  <c r="Q574" i="4"/>
  <c r="V574" i="4" s="1"/>
  <c r="R574" i="4"/>
  <c r="W574" i="4" s="1"/>
  <c r="S574" i="4"/>
  <c r="X574" i="4" s="1"/>
  <c r="T574" i="4"/>
  <c r="Y574" i="4" s="1"/>
  <c r="B575" i="4"/>
  <c r="C575" i="4"/>
  <c r="F575" i="4"/>
  <c r="G575" i="4"/>
  <c r="M575" i="4" s="1"/>
  <c r="H575" i="4"/>
  <c r="N575" i="4" s="1"/>
  <c r="I575" i="4"/>
  <c r="O575" i="4" s="1"/>
  <c r="J575" i="4"/>
  <c r="Q575" i="4"/>
  <c r="R575" i="4"/>
  <c r="W575" i="4" s="1"/>
  <c r="S575" i="4"/>
  <c r="X575" i="4" s="1"/>
  <c r="T575" i="4"/>
  <c r="Y575" i="4" s="1"/>
  <c r="B576" i="4"/>
  <c r="C576" i="4"/>
  <c r="F576" i="4"/>
  <c r="L576" i="4" s="1"/>
  <c r="G576" i="4"/>
  <c r="M576" i="4" s="1"/>
  <c r="H576" i="4"/>
  <c r="N576" i="4" s="1"/>
  <c r="I576" i="4"/>
  <c r="O576" i="4" s="1"/>
  <c r="J576" i="4"/>
  <c r="Q576" i="4"/>
  <c r="R576" i="4"/>
  <c r="W576" i="4" s="1"/>
  <c r="S576" i="4"/>
  <c r="X576" i="4" s="1"/>
  <c r="T576" i="4"/>
  <c r="Y576" i="4" s="1"/>
  <c r="B577" i="4"/>
  <c r="C577" i="4"/>
  <c r="F577" i="4"/>
  <c r="G577" i="4"/>
  <c r="M577" i="4" s="1"/>
  <c r="H577" i="4"/>
  <c r="N577" i="4" s="1"/>
  <c r="I577" i="4"/>
  <c r="O577" i="4" s="1"/>
  <c r="J577" i="4"/>
  <c r="Q577" i="4"/>
  <c r="R577" i="4"/>
  <c r="W577" i="4" s="1"/>
  <c r="S577" i="4"/>
  <c r="X577" i="4" s="1"/>
  <c r="T577" i="4"/>
  <c r="Y577" i="4" s="1"/>
  <c r="B578" i="4"/>
  <c r="F578" i="4"/>
  <c r="L578" i="4" s="1"/>
  <c r="G578" i="4"/>
  <c r="M578" i="4" s="1"/>
  <c r="H578" i="4"/>
  <c r="N578" i="4" s="1"/>
  <c r="I578" i="4"/>
  <c r="O578" i="4" s="1"/>
  <c r="J578" i="4"/>
  <c r="Q578" i="4"/>
  <c r="R578" i="4"/>
  <c r="W578" i="4" s="1"/>
  <c r="S578" i="4"/>
  <c r="X578" i="4" s="1"/>
  <c r="T578" i="4"/>
  <c r="Y578" i="4" s="1"/>
  <c r="F579" i="4"/>
  <c r="G579" i="4"/>
  <c r="M579" i="4" s="1"/>
  <c r="H579" i="4"/>
  <c r="N579" i="4" s="1"/>
  <c r="I579" i="4"/>
  <c r="O579" i="4" s="1"/>
  <c r="J579" i="4"/>
  <c r="Q579" i="4"/>
  <c r="V579" i="4" s="1"/>
  <c r="R579" i="4"/>
  <c r="W579" i="4" s="1"/>
  <c r="S579" i="4"/>
  <c r="X579" i="4" s="1"/>
  <c r="T579" i="4"/>
  <c r="Y579" i="4" s="1"/>
  <c r="F580" i="4"/>
  <c r="L580" i="4" s="1"/>
  <c r="G580" i="4"/>
  <c r="M580" i="4" s="1"/>
  <c r="H580" i="4"/>
  <c r="N580" i="4" s="1"/>
  <c r="I580" i="4"/>
  <c r="O580" i="4" s="1"/>
  <c r="J580" i="4"/>
  <c r="Q580" i="4"/>
  <c r="R580" i="4"/>
  <c r="W580" i="4" s="1"/>
  <c r="S580" i="4"/>
  <c r="X580" i="4" s="1"/>
  <c r="T580" i="4"/>
  <c r="Y580" i="4" s="1"/>
  <c r="F581" i="4"/>
  <c r="G581" i="4"/>
  <c r="M581" i="4" s="1"/>
  <c r="H581" i="4"/>
  <c r="N581" i="4" s="1"/>
  <c r="I581" i="4"/>
  <c r="O581" i="4" s="1"/>
  <c r="J581" i="4"/>
  <c r="Q581" i="4"/>
  <c r="R581" i="4"/>
  <c r="W581" i="4" s="1"/>
  <c r="S581" i="4"/>
  <c r="X581" i="4" s="1"/>
  <c r="T581" i="4"/>
  <c r="Y581" i="4" s="1"/>
  <c r="F582" i="4"/>
  <c r="G582" i="4"/>
  <c r="M582" i="4" s="1"/>
  <c r="H582" i="4"/>
  <c r="N582" i="4" s="1"/>
  <c r="I582" i="4"/>
  <c r="O582" i="4" s="1"/>
  <c r="J582" i="4"/>
  <c r="Q582" i="4"/>
  <c r="V582" i="4" s="1"/>
  <c r="R582" i="4"/>
  <c r="W582" i="4" s="1"/>
  <c r="S582" i="4"/>
  <c r="X582" i="4" s="1"/>
  <c r="T582" i="4"/>
  <c r="Y582" i="4" s="1"/>
  <c r="F583" i="4"/>
  <c r="G583" i="4"/>
  <c r="M583" i="4" s="1"/>
  <c r="H583" i="4"/>
  <c r="N583" i="4" s="1"/>
  <c r="I583" i="4"/>
  <c r="O583" i="4" s="1"/>
  <c r="J583" i="4"/>
  <c r="Q583" i="4"/>
  <c r="V583" i="4" s="1"/>
  <c r="R583" i="4"/>
  <c r="W583" i="4" s="1"/>
  <c r="S583" i="4"/>
  <c r="X583" i="4" s="1"/>
  <c r="T583" i="4"/>
  <c r="Y583" i="4" s="1"/>
  <c r="F584" i="4"/>
  <c r="G584" i="4"/>
  <c r="M584" i="4" s="1"/>
  <c r="H584" i="4"/>
  <c r="N584" i="4" s="1"/>
  <c r="I584" i="4"/>
  <c r="O584" i="4" s="1"/>
  <c r="J584" i="4"/>
  <c r="Q584" i="4"/>
  <c r="V584" i="4" s="1"/>
  <c r="R584" i="4"/>
  <c r="S584" i="4"/>
  <c r="X584" i="4" s="1"/>
  <c r="T584" i="4"/>
  <c r="Y584" i="4" s="1"/>
  <c r="F585" i="4"/>
  <c r="G585" i="4"/>
  <c r="M585" i="4" s="1"/>
  <c r="H585" i="4"/>
  <c r="N585" i="4" s="1"/>
  <c r="I585" i="4"/>
  <c r="O585" i="4" s="1"/>
  <c r="J585" i="4"/>
  <c r="Q585" i="4"/>
  <c r="V585" i="4" s="1"/>
  <c r="R585" i="4"/>
  <c r="W585" i="4" s="1"/>
  <c r="S585" i="4"/>
  <c r="X585" i="4" s="1"/>
  <c r="T585" i="4"/>
  <c r="Y585" i="4" s="1"/>
  <c r="F586" i="4"/>
  <c r="G586" i="4"/>
  <c r="M586" i="4" s="1"/>
  <c r="H586" i="4"/>
  <c r="N586" i="4" s="1"/>
  <c r="I586" i="4"/>
  <c r="O586" i="4" s="1"/>
  <c r="J586" i="4"/>
  <c r="Q586" i="4"/>
  <c r="V586" i="4" s="1"/>
  <c r="R586" i="4"/>
  <c r="W586" i="4" s="1"/>
  <c r="S586" i="4"/>
  <c r="X586" i="4" s="1"/>
  <c r="T586" i="4"/>
  <c r="Y586" i="4" s="1"/>
  <c r="F587" i="4"/>
  <c r="G587" i="4"/>
  <c r="M587" i="4" s="1"/>
  <c r="H587" i="4"/>
  <c r="N587" i="4" s="1"/>
  <c r="I587" i="4"/>
  <c r="O587" i="4" s="1"/>
  <c r="J587" i="4"/>
  <c r="Q587" i="4"/>
  <c r="R587" i="4"/>
  <c r="W587" i="4" s="1"/>
  <c r="S587" i="4"/>
  <c r="X587" i="4" s="1"/>
  <c r="T587" i="4"/>
  <c r="Y587" i="4" s="1"/>
  <c r="F588" i="4"/>
  <c r="L588" i="4" s="1"/>
  <c r="G588" i="4"/>
  <c r="M588" i="4" s="1"/>
  <c r="H588" i="4"/>
  <c r="N588" i="4" s="1"/>
  <c r="I588" i="4"/>
  <c r="O588" i="4" s="1"/>
  <c r="J588" i="4"/>
  <c r="Q588" i="4"/>
  <c r="V588" i="4" s="1"/>
  <c r="R588" i="4"/>
  <c r="W588" i="4" s="1"/>
  <c r="S588" i="4"/>
  <c r="X588" i="4" s="1"/>
  <c r="T588" i="4"/>
  <c r="Y588" i="4" s="1"/>
  <c r="F589" i="4"/>
  <c r="L589" i="4" s="1"/>
  <c r="G589" i="4"/>
  <c r="M589" i="4" s="1"/>
  <c r="H589" i="4"/>
  <c r="N589" i="4" s="1"/>
  <c r="I589" i="4"/>
  <c r="O589" i="4" s="1"/>
  <c r="J589" i="4"/>
  <c r="Q589" i="4"/>
  <c r="R589" i="4"/>
  <c r="W589" i="4" s="1"/>
  <c r="S589" i="4"/>
  <c r="X589" i="4" s="1"/>
  <c r="T589" i="4"/>
  <c r="Y589" i="4" s="1"/>
  <c r="F590" i="4"/>
  <c r="G590" i="4"/>
  <c r="M590" i="4" s="1"/>
  <c r="H590" i="4"/>
  <c r="N590" i="4" s="1"/>
  <c r="I590" i="4"/>
  <c r="O590" i="4" s="1"/>
  <c r="J590" i="4"/>
  <c r="Q590" i="4"/>
  <c r="V590" i="4" s="1"/>
  <c r="R590" i="4"/>
  <c r="W590" i="4" s="1"/>
  <c r="S590" i="4"/>
  <c r="X590" i="4" s="1"/>
  <c r="T590" i="4"/>
  <c r="Y590" i="4" s="1"/>
  <c r="F591" i="4"/>
  <c r="L591" i="4" s="1"/>
  <c r="G591" i="4"/>
  <c r="M591" i="4" s="1"/>
  <c r="H591" i="4"/>
  <c r="N591" i="4" s="1"/>
  <c r="I591" i="4"/>
  <c r="O591" i="4" s="1"/>
  <c r="J591" i="4"/>
  <c r="Q591" i="4"/>
  <c r="V591" i="4" s="1"/>
  <c r="R591" i="4"/>
  <c r="W591" i="4" s="1"/>
  <c r="S591" i="4"/>
  <c r="X591" i="4" s="1"/>
  <c r="T591" i="4"/>
  <c r="Y591" i="4" s="1"/>
  <c r="F592" i="4"/>
  <c r="L592" i="4" s="1"/>
  <c r="G592" i="4"/>
  <c r="M592" i="4" s="1"/>
  <c r="H592" i="4"/>
  <c r="N592" i="4" s="1"/>
  <c r="I592" i="4"/>
  <c r="O592" i="4" s="1"/>
  <c r="J592" i="4"/>
  <c r="Q592" i="4"/>
  <c r="V592" i="4" s="1"/>
  <c r="R592" i="4"/>
  <c r="S592" i="4"/>
  <c r="X592" i="4" s="1"/>
  <c r="T592" i="4"/>
  <c r="Y592" i="4" s="1"/>
  <c r="F593" i="4"/>
  <c r="G593" i="4"/>
  <c r="M593" i="4" s="1"/>
  <c r="H593" i="4"/>
  <c r="N593" i="4" s="1"/>
  <c r="I593" i="4"/>
  <c r="O593" i="4" s="1"/>
  <c r="J593" i="4"/>
  <c r="Q593" i="4"/>
  <c r="R593" i="4"/>
  <c r="W593" i="4" s="1"/>
  <c r="S593" i="4"/>
  <c r="X593" i="4" s="1"/>
  <c r="T593" i="4"/>
  <c r="Y593" i="4" s="1"/>
  <c r="F594" i="4"/>
  <c r="G594" i="4"/>
  <c r="M594" i="4" s="1"/>
  <c r="H594" i="4"/>
  <c r="N594" i="4" s="1"/>
  <c r="I594" i="4"/>
  <c r="O594" i="4" s="1"/>
  <c r="J594" i="4"/>
  <c r="Q594" i="4"/>
  <c r="R594" i="4"/>
  <c r="W594" i="4" s="1"/>
  <c r="S594" i="4"/>
  <c r="X594" i="4" s="1"/>
  <c r="T594" i="4"/>
  <c r="Y594" i="4" s="1"/>
  <c r="F595" i="4"/>
  <c r="L595" i="4" s="1"/>
  <c r="G595" i="4"/>
  <c r="M595" i="4" s="1"/>
  <c r="H595" i="4"/>
  <c r="N595" i="4" s="1"/>
  <c r="I595" i="4"/>
  <c r="O595" i="4" s="1"/>
  <c r="J595" i="4"/>
  <c r="Q595" i="4"/>
  <c r="V595" i="4" s="1"/>
  <c r="R595" i="4"/>
  <c r="W595" i="4" s="1"/>
  <c r="S595" i="4"/>
  <c r="X595" i="4" s="1"/>
  <c r="T595" i="4"/>
  <c r="Y595" i="4" s="1"/>
  <c r="F596" i="4"/>
  <c r="G596" i="4"/>
  <c r="M596" i="4" s="1"/>
  <c r="H596" i="4"/>
  <c r="N596" i="4" s="1"/>
  <c r="I596" i="4"/>
  <c r="O596" i="4" s="1"/>
  <c r="J596" i="4"/>
  <c r="Q596" i="4"/>
  <c r="R596" i="4"/>
  <c r="W596" i="4" s="1"/>
  <c r="S596" i="4"/>
  <c r="X596" i="4" s="1"/>
  <c r="T596" i="4"/>
  <c r="Y596" i="4" s="1"/>
  <c r="F597" i="4"/>
  <c r="G597" i="4"/>
  <c r="M597" i="4" s="1"/>
  <c r="H597" i="4"/>
  <c r="N597" i="4" s="1"/>
  <c r="I597" i="4"/>
  <c r="O597" i="4" s="1"/>
  <c r="J597" i="4"/>
  <c r="Q597" i="4"/>
  <c r="R597" i="4"/>
  <c r="W597" i="4" s="1"/>
  <c r="S597" i="4"/>
  <c r="X597" i="4" s="1"/>
  <c r="T597" i="4"/>
  <c r="Y597" i="4" s="1"/>
  <c r="F598" i="4"/>
  <c r="L598" i="4" s="1"/>
  <c r="G598" i="4"/>
  <c r="M598" i="4" s="1"/>
  <c r="H598" i="4"/>
  <c r="N598" i="4" s="1"/>
  <c r="I598" i="4"/>
  <c r="O598" i="4" s="1"/>
  <c r="J598" i="4"/>
  <c r="Q598" i="4"/>
  <c r="R598" i="4"/>
  <c r="W598" i="4" s="1"/>
  <c r="S598" i="4"/>
  <c r="X598" i="4" s="1"/>
  <c r="T598" i="4"/>
  <c r="Y598" i="4" s="1"/>
  <c r="F599" i="4"/>
  <c r="G599" i="4"/>
  <c r="M599" i="4" s="1"/>
  <c r="H599" i="4"/>
  <c r="N599" i="4" s="1"/>
  <c r="I599" i="4"/>
  <c r="O599" i="4" s="1"/>
  <c r="J599" i="4"/>
  <c r="Q599" i="4"/>
  <c r="R599" i="4"/>
  <c r="W599" i="4" s="1"/>
  <c r="S599" i="4"/>
  <c r="X599" i="4" s="1"/>
  <c r="T599" i="4"/>
  <c r="Y599" i="4" s="1"/>
  <c r="F600" i="4"/>
  <c r="G600" i="4"/>
  <c r="M600" i="4" s="1"/>
  <c r="H600" i="4"/>
  <c r="N600" i="4" s="1"/>
  <c r="I600" i="4"/>
  <c r="O600" i="4" s="1"/>
  <c r="J600" i="4"/>
  <c r="Q600" i="4"/>
  <c r="R600" i="4"/>
  <c r="W600" i="4" s="1"/>
  <c r="S600" i="4"/>
  <c r="X600" i="4" s="1"/>
  <c r="T600" i="4"/>
  <c r="Y600" i="4" s="1"/>
  <c r="A583" i="4"/>
  <c r="A582" i="4"/>
  <c r="A258" i="4"/>
  <c r="A581" i="4"/>
  <c r="U20" i="4" l="1"/>
  <c r="K351" i="4"/>
  <c r="Z351" i="4" s="1"/>
  <c r="K391" i="4"/>
  <c r="Z391" i="4" s="1"/>
  <c r="U514" i="4"/>
  <c r="U560" i="4"/>
  <c r="V514" i="4"/>
  <c r="K289" i="4"/>
  <c r="Z289" i="4" s="1"/>
  <c r="K768" i="4"/>
  <c r="Z768" i="4" s="1"/>
  <c r="K130" i="4"/>
  <c r="Z130" i="4" s="1"/>
  <c r="K35" i="4"/>
  <c r="Z35" i="4" s="1"/>
  <c r="U597" i="4"/>
  <c r="U559" i="4"/>
  <c r="U302" i="4"/>
  <c r="V560" i="4"/>
  <c r="U39" i="4"/>
  <c r="K769" i="4"/>
  <c r="Z769" i="4" s="1"/>
  <c r="K101" i="4"/>
  <c r="Z101" i="4" s="1"/>
  <c r="K562" i="4"/>
  <c r="Z562" i="4" s="1"/>
  <c r="U280" i="4"/>
  <c r="K574" i="4"/>
  <c r="Z574" i="4" s="1"/>
  <c r="K501" i="4"/>
  <c r="Z501" i="4" s="1"/>
  <c r="U398" i="4"/>
  <c r="K112" i="4"/>
  <c r="Z112" i="4" s="1"/>
  <c r="U578" i="4"/>
  <c r="U566" i="4"/>
  <c r="K405" i="4"/>
  <c r="Z405" i="4" s="1"/>
  <c r="U351" i="4"/>
  <c r="K322" i="4"/>
  <c r="Z322" i="4" s="1"/>
  <c r="K477" i="4"/>
  <c r="Z477" i="4" s="1"/>
  <c r="U579" i="4"/>
  <c r="U61" i="4"/>
  <c r="K566" i="4"/>
  <c r="Z566" i="4" s="1"/>
  <c r="K257" i="4"/>
  <c r="Z257" i="4" s="1"/>
  <c r="U114" i="4"/>
  <c r="U583" i="4"/>
  <c r="K576" i="4"/>
  <c r="Z576" i="4" s="1"/>
  <c r="U541" i="4"/>
  <c r="U240" i="4"/>
  <c r="U230" i="4"/>
  <c r="K129" i="4"/>
  <c r="Z129" i="4" s="1"/>
  <c r="K100" i="4"/>
  <c r="Z100" i="4" s="1"/>
  <c r="K495" i="4"/>
  <c r="Z495" i="4" s="1"/>
  <c r="K150" i="4"/>
  <c r="Z150" i="4" s="1"/>
  <c r="U31" i="4"/>
  <c r="K557" i="4"/>
  <c r="Z557" i="4" s="1"/>
  <c r="K155" i="4"/>
  <c r="Z155" i="4" s="1"/>
  <c r="K228" i="4"/>
  <c r="Z228" i="4" s="1"/>
  <c r="U368" i="4"/>
  <c r="V39" i="4"/>
  <c r="K508" i="4"/>
  <c r="Z508" i="4" s="1"/>
  <c r="K367" i="4"/>
  <c r="Z367" i="4" s="1"/>
  <c r="U195" i="4"/>
  <c r="U173" i="4"/>
  <c r="K133" i="4"/>
  <c r="Z133" i="4" s="1"/>
  <c r="U121" i="4"/>
  <c r="U118" i="4"/>
  <c r="X61" i="4"/>
  <c r="V230" i="4"/>
  <c r="K554" i="4"/>
  <c r="Z554" i="4" s="1"/>
  <c r="K524" i="4"/>
  <c r="Z524" i="4" s="1"/>
  <c r="L524" i="4"/>
  <c r="K494" i="4"/>
  <c r="Z494" i="4" s="1"/>
  <c r="L494" i="4"/>
  <c r="U369" i="4"/>
  <c r="U174" i="4"/>
  <c r="U576" i="4"/>
  <c r="U475" i="4"/>
  <c r="L266" i="4"/>
  <c r="K266" i="4"/>
  <c r="Z266" i="4" s="1"/>
  <c r="K736" i="4"/>
  <c r="Z736" i="4" s="1"/>
  <c r="K242" i="4"/>
  <c r="Z242" i="4" s="1"/>
  <c r="U100" i="4"/>
  <c r="K184" i="4"/>
  <c r="Z184" i="4" s="1"/>
  <c r="K23" i="4"/>
  <c r="Z23" i="4" s="1"/>
  <c r="K294" i="4"/>
  <c r="Z294" i="4" s="1"/>
  <c r="L294" i="4"/>
  <c r="K114" i="4"/>
  <c r="Z114" i="4" s="1"/>
  <c r="K173" i="4"/>
  <c r="Z173" i="4" s="1"/>
  <c r="K594" i="4"/>
  <c r="Z594" i="4" s="1"/>
  <c r="L594" i="4"/>
  <c r="K356" i="4"/>
  <c r="Z356" i="4" s="1"/>
  <c r="K542" i="4"/>
  <c r="Z542" i="4" s="1"/>
  <c r="K323" i="4"/>
  <c r="Z323" i="4" s="1"/>
  <c r="K77" i="4"/>
  <c r="Z77" i="4" s="1"/>
  <c r="K349" i="4"/>
  <c r="Z349" i="4" s="1"/>
  <c r="U146" i="4"/>
  <c r="V146" i="4"/>
  <c r="K502" i="4"/>
  <c r="Z502" i="4" s="1"/>
  <c r="K285" i="4"/>
  <c r="Z285" i="4" s="1"/>
  <c r="U90" i="4"/>
  <c r="L590" i="4"/>
  <c r="K590" i="4"/>
  <c r="Z590" i="4" s="1"/>
  <c r="U519" i="4"/>
  <c r="U437" i="4"/>
  <c r="K200" i="4"/>
  <c r="Z200" i="4" s="1"/>
  <c r="E449" i="4"/>
  <c r="U210" i="4"/>
  <c r="U388" i="4"/>
  <c r="U332" i="4"/>
  <c r="K198" i="4"/>
  <c r="Z198" i="4" s="1"/>
  <c r="K582" i="4"/>
  <c r="Z582" i="4" s="1"/>
  <c r="U556" i="4"/>
  <c r="K220" i="4"/>
  <c r="Z220" i="4" s="1"/>
  <c r="K759" i="4"/>
  <c r="Z759" i="4" s="1"/>
  <c r="P345" i="4"/>
  <c r="K691" i="4"/>
  <c r="Z691" i="4" s="1"/>
  <c r="K628" i="4"/>
  <c r="Z628" i="4" s="1"/>
  <c r="U589" i="4"/>
  <c r="U241" i="4"/>
  <c r="U342" i="4"/>
  <c r="U238" i="4"/>
  <c r="K91" i="4"/>
  <c r="Z91" i="4" s="1"/>
  <c r="U717" i="4"/>
  <c r="U243" i="4"/>
  <c r="L242" i="4"/>
  <c r="L200" i="4"/>
  <c r="L23" i="4"/>
  <c r="V210" i="4"/>
  <c r="U34" i="4"/>
  <c r="U366" i="4"/>
  <c r="V366" i="4"/>
  <c r="U282" i="4"/>
  <c r="K278" i="4"/>
  <c r="Z278" i="4" s="1"/>
  <c r="U164" i="4"/>
  <c r="X164" i="4"/>
  <c r="W79" i="4"/>
  <c r="U79" i="4"/>
  <c r="K565" i="4"/>
  <c r="Z565" i="4" s="1"/>
  <c r="M565" i="4"/>
  <c r="W536" i="4"/>
  <c r="U536" i="4"/>
  <c r="K532" i="4"/>
  <c r="Z532" i="4" s="1"/>
  <c r="K531" i="4"/>
  <c r="Z531" i="4" s="1"/>
  <c r="U462" i="4"/>
  <c r="P426" i="4"/>
  <c r="U426" i="4"/>
  <c r="V426" i="4"/>
  <c r="U350" i="4"/>
  <c r="U239" i="4"/>
  <c r="V239" i="4"/>
  <c r="U134" i="4"/>
  <c r="V674" i="4"/>
  <c r="U674" i="4"/>
  <c r="U595" i="4"/>
  <c r="U543" i="4"/>
  <c r="V543" i="4"/>
  <c r="K407" i="4"/>
  <c r="Z407" i="4" s="1"/>
  <c r="K300" i="4"/>
  <c r="Z300" i="4" s="1"/>
  <c r="N300" i="4"/>
  <c r="K226" i="4"/>
  <c r="Z226" i="4" s="1"/>
  <c r="U594" i="4"/>
  <c r="V594" i="4"/>
  <c r="K558" i="4"/>
  <c r="Z558" i="4" s="1"/>
  <c r="U293" i="4"/>
  <c r="V589" i="4"/>
  <c r="K373" i="4"/>
  <c r="Z373" i="4" s="1"/>
  <c r="V162" i="4"/>
  <c r="U162" i="4"/>
  <c r="N475" i="4"/>
  <c r="K475" i="4"/>
  <c r="Z475" i="4" s="1"/>
  <c r="U596" i="4"/>
  <c r="K543" i="4"/>
  <c r="Z543" i="4" s="1"/>
  <c r="U538" i="4"/>
  <c r="K325" i="4"/>
  <c r="Z325" i="4" s="1"/>
  <c r="L270" i="4"/>
  <c r="K270" i="4"/>
  <c r="Z270" i="4" s="1"/>
  <c r="U183" i="4"/>
  <c r="K55" i="4"/>
  <c r="Z55" i="4" s="1"/>
  <c r="L482" i="4"/>
  <c r="K482" i="4"/>
  <c r="Z482" i="4" s="1"/>
  <c r="L226" i="4"/>
  <c r="W126" i="4"/>
  <c r="U126" i="4"/>
  <c r="K108" i="4"/>
  <c r="Z108" i="4" s="1"/>
  <c r="L108" i="4"/>
  <c r="E723" i="4"/>
  <c r="L723" i="4"/>
  <c r="K729" i="4"/>
  <c r="Z729" i="4" s="1"/>
  <c r="E729" i="4"/>
  <c r="L729" i="4"/>
  <c r="U687" i="4"/>
  <c r="V687" i="4"/>
  <c r="L398" i="4"/>
  <c r="K398" i="4"/>
  <c r="Z398" i="4" s="1"/>
  <c r="U396" i="4"/>
  <c r="W123" i="4"/>
  <c r="U123" i="4"/>
  <c r="X25" i="4"/>
  <c r="U25" i="4"/>
  <c r="K547" i="4"/>
  <c r="Z547" i="4" s="1"/>
  <c r="K530" i="4"/>
  <c r="Z530" i="4" s="1"/>
  <c r="K492" i="4"/>
  <c r="Z492" i="4" s="1"/>
  <c r="U762" i="4"/>
  <c r="U600" i="4"/>
  <c r="U580" i="4"/>
  <c r="V580" i="4"/>
  <c r="L745" i="4"/>
  <c r="K745" i="4"/>
  <c r="Z745" i="4" s="1"/>
  <c r="U384" i="4"/>
  <c r="V178" i="4"/>
  <c r="U178" i="4"/>
  <c r="L8" i="4"/>
  <c r="K8" i="4"/>
  <c r="Z8" i="4" s="1"/>
  <c r="U577" i="4"/>
  <c r="U22" i="4"/>
  <c r="V22" i="4"/>
  <c r="V700" i="4"/>
  <c r="U700" i="4"/>
  <c r="M673" i="4"/>
  <c r="K673" i="4"/>
  <c r="Z673" i="4" s="1"/>
  <c r="W498" i="4"/>
  <c r="U498" i="4"/>
  <c r="W300" i="4"/>
  <c r="U300" i="4"/>
  <c r="V206" i="4"/>
  <c r="U206" i="4"/>
  <c r="U598" i="4"/>
  <c r="V598" i="4"/>
  <c r="M515" i="4"/>
  <c r="K515" i="4"/>
  <c r="Z515" i="4" s="1"/>
  <c r="K295" i="4"/>
  <c r="Z295" i="4" s="1"/>
  <c r="K471" i="4"/>
  <c r="Z471" i="4" s="1"/>
  <c r="L471" i="4"/>
  <c r="U252" i="4"/>
  <c r="L88" i="4"/>
  <c r="K88" i="4"/>
  <c r="Z88" i="4" s="1"/>
  <c r="V248" i="4"/>
  <c r="U248" i="4"/>
  <c r="V575" i="4"/>
  <c r="U575" i="4"/>
  <c r="U524" i="4"/>
  <c r="U473" i="4"/>
  <c r="V473" i="4"/>
  <c r="N389" i="4"/>
  <c r="K389" i="4"/>
  <c r="Z389" i="4" s="1"/>
  <c r="V600" i="4"/>
  <c r="K544" i="4"/>
  <c r="Z544" i="4" s="1"/>
  <c r="K473" i="4"/>
  <c r="Z473" i="4" s="1"/>
  <c r="W5" i="4"/>
  <c r="U5" i="4"/>
  <c r="K767" i="4"/>
  <c r="Z767" i="4" s="1"/>
  <c r="U619" i="4"/>
  <c r="K504" i="4"/>
  <c r="Z504" i="4" s="1"/>
  <c r="U502" i="4"/>
  <c r="K436" i="4"/>
  <c r="Z436" i="4" s="1"/>
  <c r="U393" i="4"/>
  <c r="U316" i="4"/>
  <c r="E299" i="4"/>
  <c r="K251" i="4"/>
  <c r="Z251" i="4" s="1"/>
  <c r="K572" i="4"/>
  <c r="Z572" i="4" s="1"/>
  <c r="U499" i="4"/>
  <c r="K476" i="4"/>
  <c r="Z476" i="4" s="1"/>
  <c r="K377" i="4"/>
  <c r="Z377" i="4" s="1"/>
  <c r="L59" i="4"/>
  <c r="K59" i="4"/>
  <c r="Z59" i="4" s="1"/>
  <c r="U692" i="4"/>
  <c r="V692" i="4"/>
  <c r="K581" i="4"/>
  <c r="Z581" i="4" s="1"/>
  <c r="U211" i="4"/>
  <c r="U144" i="4"/>
  <c r="K39" i="4"/>
  <c r="Z39" i="4" s="1"/>
  <c r="K762" i="4"/>
  <c r="Z762" i="4" s="1"/>
  <c r="M762" i="4"/>
  <c r="U311" i="4"/>
  <c r="K169" i="4"/>
  <c r="Z169" i="4" s="1"/>
  <c r="U245" i="4"/>
  <c r="U450" i="4"/>
  <c r="U215" i="4"/>
  <c r="K191" i="4"/>
  <c r="Z191" i="4" s="1"/>
  <c r="K96" i="4"/>
  <c r="Z96" i="4" s="1"/>
  <c r="U55" i="4"/>
  <c r="L772" i="4"/>
  <c r="K772" i="4"/>
  <c r="Z772" i="4" s="1"/>
  <c r="U549" i="4"/>
  <c r="L248" i="4"/>
  <c r="K248" i="4"/>
  <c r="Z248" i="4" s="1"/>
  <c r="M350" i="4"/>
  <c r="K350" i="4"/>
  <c r="Z350" i="4" s="1"/>
  <c r="K503" i="4"/>
  <c r="Z503" i="4" s="1"/>
  <c r="L503" i="4"/>
  <c r="K293" i="4"/>
  <c r="Z293" i="4" s="1"/>
  <c r="L83" i="4"/>
  <c r="K83" i="4"/>
  <c r="Z83" i="4" s="1"/>
  <c r="U81" i="4"/>
  <c r="W81" i="4"/>
  <c r="V709" i="4"/>
  <c r="U709" i="4"/>
  <c r="K415" i="4"/>
  <c r="Z415" i="4" s="1"/>
  <c r="L415" i="4"/>
  <c r="K16" i="4"/>
  <c r="Z16" i="4" s="1"/>
  <c r="M16" i="4"/>
  <c r="K591" i="4"/>
  <c r="Z591" i="4" s="1"/>
  <c r="N511" i="4"/>
  <c r="K511" i="4"/>
  <c r="Z511" i="4" s="1"/>
  <c r="U386" i="4"/>
  <c r="L298" i="4"/>
  <c r="K298" i="4"/>
  <c r="Z298" i="4" s="1"/>
  <c r="K93" i="4"/>
  <c r="Z93" i="4" s="1"/>
  <c r="U17" i="4"/>
  <c r="K506" i="4"/>
  <c r="Z506" i="4" s="1"/>
  <c r="U504" i="4"/>
  <c r="U310" i="4"/>
  <c r="E207" i="4"/>
  <c r="K145" i="4"/>
  <c r="Z145" i="4" s="1"/>
  <c r="P20" i="4"/>
  <c r="K710" i="4"/>
  <c r="Z710" i="4" s="1"/>
  <c r="U493" i="4"/>
  <c r="U722" i="4"/>
  <c r="K446" i="4"/>
  <c r="Z446" i="4" s="1"/>
  <c r="U495" i="4"/>
  <c r="U456" i="4"/>
  <c r="K87" i="4"/>
  <c r="Z87" i="4" s="1"/>
  <c r="P661" i="4"/>
  <c r="K168" i="4"/>
  <c r="Z168" i="4" s="1"/>
  <c r="U14" i="4"/>
  <c r="K740" i="4"/>
  <c r="Z740" i="4" s="1"/>
  <c r="U378" i="4"/>
  <c r="U163" i="4"/>
  <c r="K153" i="4"/>
  <c r="Z153" i="4" s="1"/>
  <c r="U428" i="4"/>
  <c r="K421" i="4"/>
  <c r="Z421" i="4" s="1"/>
  <c r="U262" i="4"/>
  <c r="K159" i="4"/>
  <c r="Z159" i="4" s="1"/>
  <c r="U138" i="4"/>
  <c r="K705" i="4"/>
  <c r="Z705" i="4" s="1"/>
  <c r="U614" i="4"/>
  <c r="U307" i="4"/>
  <c r="V307" i="4"/>
  <c r="E222" i="4"/>
  <c r="K222" i="4"/>
  <c r="Z222" i="4" s="1"/>
  <c r="U185" i="4"/>
  <c r="V185" i="4"/>
  <c r="K665" i="4"/>
  <c r="Z665" i="4" s="1"/>
  <c r="N665" i="4"/>
  <c r="U532" i="4"/>
  <c r="P352" i="4"/>
  <c r="U352" i="4"/>
  <c r="K299" i="4"/>
  <c r="Z299" i="4" s="1"/>
  <c r="P755" i="4"/>
  <c r="U755" i="4"/>
  <c r="V755" i="4"/>
  <c r="W730" i="4"/>
  <c r="U730" i="4"/>
  <c r="U683" i="4"/>
  <c r="V683" i="4"/>
  <c r="U623" i="4"/>
  <c r="W623" i="4"/>
  <c r="M531" i="4"/>
  <c r="K526" i="4"/>
  <c r="Z526" i="4" s="1"/>
  <c r="U517" i="4"/>
  <c r="K483" i="4"/>
  <c r="Z483" i="4" s="1"/>
  <c r="K470" i="4"/>
  <c r="Z470" i="4" s="1"/>
  <c r="L470" i="4"/>
  <c r="L446" i="4"/>
  <c r="K416" i="4"/>
  <c r="Z416" i="4" s="1"/>
  <c r="K383" i="4"/>
  <c r="Z383" i="4" s="1"/>
  <c r="L383" i="4"/>
  <c r="U320" i="4"/>
  <c r="V320" i="4"/>
  <c r="K303" i="4"/>
  <c r="Z303" i="4" s="1"/>
  <c r="L303" i="4"/>
  <c r="K275" i="4"/>
  <c r="Z275" i="4" s="1"/>
  <c r="M275" i="4"/>
  <c r="E676" i="4"/>
  <c r="L676" i="4"/>
  <c r="K676" i="4"/>
  <c r="Z676" i="4" s="1"/>
  <c r="L612" i="4"/>
  <c r="K612" i="4"/>
  <c r="Z612" i="4" s="1"/>
  <c r="W609" i="4"/>
  <c r="U609" i="4"/>
  <c r="E594" i="4"/>
  <c r="U542" i="4"/>
  <c r="U37" i="4"/>
  <c r="X37" i="4"/>
  <c r="E576" i="4"/>
  <c r="K546" i="4"/>
  <c r="Z546" i="4" s="1"/>
  <c r="P541" i="4"/>
  <c r="V541" i="4"/>
  <c r="K509" i="4"/>
  <c r="Z509" i="4" s="1"/>
  <c r="V490" i="4"/>
  <c r="U490" i="4"/>
  <c r="K472" i="4"/>
  <c r="Z472" i="4" s="1"/>
  <c r="E327" i="4"/>
  <c r="K327" i="4"/>
  <c r="Z327" i="4" s="1"/>
  <c r="L327" i="4"/>
  <c r="U325" i="4"/>
  <c r="P643" i="4"/>
  <c r="V643" i="4"/>
  <c r="U395" i="4"/>
  <c r="U472" i="4"/>
  <c r="K364" i="4"/>
  <c r="Z364" i="4" s="1"/>
  <c r="M364" i="4"/>
  <c r="K360" i="4"/>
  <c r="Z360" i="4" s="1"/>
  <c r="U142" i="4"/>
  <c r="U48" i="4"/>
  <c r="V48" i="4"/>
  <c r="M767" i="4"/>
  <c r="K598" i="4"/>
  <c r="Z598" i="4" s="1"/>
  <c r="K578" i="4"/>
  <c r="Z578" i="4" s="1"/>
  <c r="K573" i="4"/>
  <c r="Z573" i="4" s="1"/>
  <c r="U569" i="4"/>
  <c r="U547" i="4"/>
  <c r="X547" i="4"/>
  <c r="L520" i="4"/>
  <c r="K520" i="4"/>
  <c r="Z520" i="4" s="1"/>
  <c r="U497" i="4"/>
  <c r="E457" i="4"/>
  <c r="K457" i="4"/>
  <c r="Z457" i="4" s="1"/>
  <c r="L457" i="4"/>
  <c r="K328" i="4"/>
  <c r="Z328" i="4" s="1"/>
  <c r="P300" i="4"/>
  <c r="E298" i="4"/>
  <c r="K206" i="4"/>
  <c r="Z206" i="4" s="1"/>
  <c r="K157" i="4"/>
  <c r="Z157" i="4" s="1"/>
  <c r="E156" i="4"/>
  <c r="K156" i="4"/>
  <c r="Z156" i="4" s="1"/>
  <c r="L156" i="4"/>
  <c r="K41" i="4"/>
  <c r="Z41" i="4" s="1"/>
  <c r="V31" i="4"/>
  <c r="U30" i="4"/>
  <c r="V30" i="4"/>
  <c r="U748" i="4"/>
  <c r="W748" i="4"/>
  <c r="E694" i="4"/>
  <c r="L694" i="4"/>
  <c r="K694" i="4"/>
  <c r="Z694" i="4" s="1"/>
  <c r="U364" i="4"/>
  <c r="V364" i="4"/>
  <c r="U275" i="4"/>
  <c r="X275" i="4"/>
  <c r="P176" i="4"/>
  <c r="U176" i="4"/>
  <c r="V176" i="4"/>
  <c r="K110" i="4"/>
  <c r="Z110" i="4" s="1"/>
  <c r="L110" i="4"/>
  <c r="U54" i="4"/>
  <c r="W54" i="4"/>
  <c r="W214" i="4"/>
  <c r="U214" i="4"/>
  <c r="M179" i="4"/>
  <c r="K179" i="4"/>
  <c r="Z179" i="4" s="1"/>
  <c r="E756" i="4"/>
  <c r="L756" i="4"/>
  <c r="P587" i="4"/>
  <c r="K491" i="4"/>
  <c r="Z491" i="4" s="1"/>
  <c r="K602" i="4"/>
  <c r="Z602" i="4" s="1"/>
  <c r="L602" i="4"/>
  <c r="E553" i="4"/>
  <c r="K342" i="4"/>
  <c r="Z342" i="4" s="1"/>
  <c r="E560" i="4"/>
  <c r="P344" i="4"/>
  <c r="K240" i="4"/>
  <c r="Z240" i="4" s="1"/>
  <c r="M124" i="4"/>
  <c r="K124" i="4"/>
  <c r="Z124" i="4" s="1"/>
  <c r="K513" i="4"/>
  <c r="Z513" i="4" s="1"/>
  <c r="L513" i="4"/>
  <c r="K570" i="4"/>
  <c r="Z570" i="4" s="1"/>
  <c r="E524" i="4"/>
  <c r="U45" i="4"/>
  <c r="W45" i="4"/>
  <c r="U568" i="4"/>
  <c r="U506" i="4"/>
  <c r="K666" i="4"/>
  <c r="Z666" i="4" s="1"/>
  <c r="K567" i="4"/>
  <c r="Z567" i="4" s="1"/>
  <c r="K521" i="4"/>
  <c r="Z521" i="4" s="1"/>
  <c r="L521" i="4"/>
  <c r="L506" i="4"/>
  <c r="V493" i="4"/>
  <c r="U387" i="4"/>
  <c r="E311" i="4"/>
  <c r="K311" i="4"/>
  <c r="Z311" i="4" s="1"/>
  <c r="K308" i="4"/>
  <c r="Z308" i="4" s="1"/>
  <c r="K170" i="4"/>
  <c r="Z170" i="4" s="1"/>
  <c r="M170" i="4"/>
  <c r="U553" i="4"/>
  <c r="P544" i="4"/>
  <c r="E446" i="4"/>
  <c r="K324" i="4"/>
  <c r="Z324" i="4" s="1"/>
  <c r="K592" i="4"/>
  <c r="Z592" i="4" s="1"/>
  <c r="K579" i="4"/>
  <c r="Z579" i="4" s="1"/>
  <c r="L579" i="4"/>
  <c r="E565" i="4"/>
  <c r="E531" i="4"/>
  <c r="K528" i="4"/>
  <c r="Z528" i="4" s="1"/>
  <c r="W525" i="4"/>
  <c r="U525" i="4"/>
  <c r="W502" i="4"/>
  <c r="K489" i="4"/>
  <c r="Z489" i="4" s="1"/>
  <c r="L489" i="4"/>
  <c r="K485" i="4"/>
  <c r="Z485" i="4" s="1"/>
  <c r="V456" i="4"/>
  <c r="U444" i="4"/>
  <c r="K438" i="4"/>
  <c r="Z438" i="4" s="1"/>
  <c r="K347" i="4"/>
  <c r="Z347" i="4" s="1"/>
  <c r="E264" i="4"/>
  <c r="K264" i="4"/>
  <c r="Z264" i="4" s="1"/>
  <c r="L264" i="4"/>
  <c r="U226" i="4"/>
  <c r="W226" i="4"/>
  <c r="N68" i="4"/>
  <c r="K68" i="4"/>
  <c r="Z68" i="4" s="1"/>
  <c r="K727" i="4"/>
  <c r="Z727" i="4" s="1"/>
  <c r="M715" i="4"/>
  <c r="K715" i="4"/>
  <c r="Z715" i="4" s="1"/>
  <c r="E397" i="4"/>
  <c r="L397" i="4"/>
  <c r="K397" i="4"/>
  <c r="Z397" i="4" s="1"/>
  <c r="P140" i="4"/>
  <c r="U140" i="4"/>
  <c r="V140" i="4"/>
  <c r="E542" i="4"/>
  <c r="U430" i="4"/>
  <c r="U370" i="4"/>
  <c r="K321" i="4"/>
  <c r="Z321" i="4" s="1"/>
  <c r="U258" i="4"/>
  <c r="K534" i="4"/>
  <c r="Z534" i="4" s="1"/>
  <c r="P461" i="4"/>
  <c r="V461" i="4"/>
  <c r="X371" i="4"/>
  <c r="U371" i="4"/>
  <c r="K359" i="4"/>
  <c r="Z359" i="4" s="1"/>
  <c r="M359" i="4"/>
  <c r="P279" i="4"/>
  <c r="V279" i="4"/>
  <c r="P550" i="4"/>
  <c r="E296" i="4"/>
  <c r="L296" i="4"/>
  <c r="K296" i="4"/>
  <c r="Z296" i="4" s="1"/>
  <c r="P250" i="4"/>
  <c r="V250" i="4"/>
  <c r="U250" i="4"/>
  <c r="P237" i="4"/>
  <c r="E685" i="4"/>
  <c r="K685" i="4"/>
  <c r="Z685" i="4" s="1"/>
  <c r="L685" i="4"/>
  <c r="N455" i="4"/>
  <c r="K455" i="4"/>
  <c r="Z455" i="4" s="1"/>
  <c r="K595" i="4"/>
  <c r="Z595" i="4" s="1"/>
  <c r="U531" i="4"/>
  <c r="U117" i="4"/>
  <c r="W117" i="4"/>
  <c r="K32" i="4"/>
  <c r="Z32" i="4" s="1"/>
  <c r="N32" i="4"/>
  <c r="U21" i="4"/>
  <c r="V21" i="4"/>
  <c r="P533" i="4"/>
  <c r="U533" i="4"/>
  <c r="V533" i="4"/>
  <c r="U135" i="4"/>
  <c r="W135" i="4"/>
  <c r="K763" i="4"/>
  <c r="Z763" i="4" s="1"/>
  <c r="M763" i="4"/>
  <c r="K564" i="4"/>
  <c r="Z564" i="4" s="1"/>
  <c r="L558" i="4"/>
  <c r="U518" i="4"/>
  <c r="P212" i="4"/>
  <c r="L207" i="4"/>
  <c r="L542" i="4"/>
  <c r="K522" i="4"/>
  <c r="Z522" i="4" s="1"/>
  <c r="X499" i="4"/>
  <c r="K484" i="4"/>
  <c r="Z484" i="4" s="1"/>
  <c r="K320" i="4"/>
  <c r="Z320" i="4" s="1"/>
  <c r="V7" i="4"/>
  <c r="U7" i="4"/>
  <c r="U455" i="4"/>
  <c r="K437" i="4"/>
  <c r="Z437" i="4" s="1"/>
  <c r="U382" i="4"/>
  <c r="U278" i="4"/>
  <c r="V278" i="4"/>
  <c r="K276" i="4"/>
  <c r="Z276" i="4" s="1"/>
  <c r="U171" i="4"/>
  <c r="V171" i="4"/>
  <c r="M159" i="4"/>
  <c r="U696" i="4"/>
  <c r="L581" i="4"/>
  <c r="U554" i="4"/>
  <c r="V554" i="4"/>
  <c r="V549" i="4"/>
  <c r="U500" i="4"/>
  <c r="K490" i="4"/>
  <c r="Z490" i="4" s="1"/>
  <c r="U461" i="4"/>
  <c r="K442" i="4"/>
  <c r="Z442" i="4" s="1"/>
  <c r="P400" i="4"/>
  <c r="V393" i="4"/>
  <c r="K386" i="4"/>
  <c r="Z386" i="4" s="1"/>
  <c r="M342" i="4"/>
  <c r="K312" i="4"/>
  <c r="Z312" i="4" s="1"/>
  <c r="X310" i="4"/>
  <c r="U279" i="4"/>
  <c r="K268" i="4"/>
  <c r="Z268" i="4" s="1"/>
  <c r="E255" i="4"/>
  <c r="P253" i="4"/>
  <c r="V253" i="4"/>
  <c r="U253" i="4"/>
  <c r="V237" i="4"/>
  <c r="N87" i="4"/>
  <c r="E748" i="4"/>
  <c r="L748" i="4"/>
  <c r="K734" i="4"/>
  <c r="Z734" i="4" s="1"/>
  <c r="E313" i="4"/>
  <c r="K313" i="4"/>
  <c r="Z313" i="4" s="1"/>
  <c r="L313" i="4"/>
  <c r="K681" i="4"/>
  <c r="Z681" i="4" s="1"/>
  <c r="N681" i="4"/>
  <c r="E175" i="4"/>
  <c r="K175" i="4"/>
  <c r="Z175" i="4" s="1"/>
  <c r="L175" i="4"/>
  <c r="K115" i="4"/>
  <c r="Z115" i="4" s="1"/>
  <c r="M115" i="4"/>
  <c r="K7" i="4"/>
  <c r="Z7" i="4" s="1"/>
  <c r="M7" i="4"/>
  <c r="U562" i="4"/>
  <c r="U9" i="4"/>
  <c r="W9" i="4"/>
  <c r="E712" i="4"/>
  <c r="K712" i="4"/>
  <c r="Z712" i="4" s="1"/>
  <c r="U563" i="4"/>
  <c r="U288" i="4"/>
  <c r="W251" i="4"/>
  <c r="U251" i="4"/>
  <c r="K529" i="4"/>
  <c r="Z529" i="4" s="1"/>
  <c r="E253" i="4"/>
  <c r="L253" i="4"/>
  <c r="K253" i="4"/>
  <c r="Z253" i="4" s="1"/>
  <c r="P184" i="4"/>
  <c r="U184" i="4"/>
  <c r="V184" i="4"/>
  <c r="U145" i="4"/>
  <c r="K481" i="4"/>
  <c r="Z481" i="4" s="1"/>
  <c r="K369" i="4"/>
  <c r="Z369" i="4" s="1"/>
  <c r="L92" i="4"/>
  <c r="K92" i="4"/>
  <c r="Z92" i="4" s="1"/>
  <c r="K24" i="4"/>
  <c r="Z24" i="4" s="1"/>
  <c r="M24" i="4"/>
  <c r="U551" i="4"/>
  <c r="P462" i="4"/>
  <c r="U357" i="4"/>
  <c r="K577" i="4"/>
  <c r="Z577" i="4" s="1"/>
  <c r="L577" i="4"/>
  <c r="U699" i="4"/>
  <c r="V699" i="4"/>
  <c r="K390" i="4"/>
  <c r="Z390" i="4" s="1"/>
  <c r="U381" i="4"/>
  <c r="U765" i="4"/>
  <c r="X765" i="4"/>
  <c r="E597" i="4"/>
  <c r="K207" i="4"/>
  <c r="Z207" i="4" s="1"/>
  <c r="U159" i="4"/>
  <c r="K730" i="4"/>
  <c r="Z730" i="4" s="1"/>
  <c r="M730" i="4"/>
  <c r="V712" i="4"/>
  <c r="U712" i="4"/>
  <c r="L649" i="4"/>
  <c r="K649" i="4"/>
  <c r="Z649" i="4" s="1"/>
  <c r="K467" i="4"/>
  <c r="Z467" i="4" s="1"/>
  <c r="K453" i="4"/>
  <c r="Z453" i="4" s="1"/>
  <c r="U449" i="4"/>
  <c r="W563" i="4"/>
  <c r="K560" i="4"/>
  <c r="Z560" i="4" s="1"/>
  <c r="U548" i="4"/>
  <c r="U508" i="4"/>
  <c r="K439" i="4"/>
  <c r="Z439" i="4" s="1"/>
  <c r="N405" i="4"/>
  <c r="M333" i="4"/>
  <c r="K333" i="4"/>
  <c r="Z333" i="4" s="1"/>
  <c r="U237" i="4"/>
  <c r="U124" i="4"/>
  <c r="V124" i="4"/>
  <c r="E99" i="4"/>
  <c r="K99" i="4"/>
  <c r="Z99" i="4" s="1"/>
  <c r="L99" i="4"/>
  <c r="L96" i="4"/>
  <c r="E56" i="4"/>
  <c r="W760" i="4"/>
  <c r="U760" i="4"/>
  <c r="E335" i="4"/>
  <c r="K335" i="4"/>
  <c r="Z335" i="4" s="1"/>
  <c r="L335" i="4"/>
  <c r="U296" i="4"/>
  <c r="V296" i="4"/>
  <c r="X224" i="4"/>
  <c r="U224" i="4"/>
  <c r="U197" i="4"/>
  <c r="W197" i="4"/>
  <c r="K187" i="4"/>
  <c r="Z187" i="4" s="1"/>
  <c r="U131" i="4"/>
  <c r="X82" i="4"/>
  <c r="U82" i="4"/>
  <c r="M80" i="4"/>
  <c r="K80" i="4"/>
  <c r="Z80" i="4" s="1"/>
  <c r="K57" i="4"/>
  <c r="Z57" i="4" s="1"/>
  <c r="M57" i="4"/>
  <c r="K771" i="4"/>
  <c r="Z771" i="4" s="1"/>
  <c r="L771" i="4"/>
  <c r="M601" i="4"/>
  <c r="K601" i="4"/>
  <c r="Z601" i="4" s="1"/>
  <c r="U346" i="4"/>
  <c r="P310" i="4"/>
  <c r="V310" i="4"/>
  <c r="U231" i="4"/>
  <c r="K178" i="4"/>
  <c r="Z178" i="4" s="1"/>
  <c r="L178" i="4"/>
  <c r="E134" i="4"/>
  <c r="K134" i="4"/>
  <c r="Z134" i="4" s="1"/>
  <c r="V106" i="4"/>
  <c r="U106" i="4"/>
  <c r="K14" i="4"/>
  <c r="Z14" i="4" s="1"/>
  <c r="M14" i="4"/>
  <c r="K588" i="4"/>
  <c r="Z588" i="4" s="1"/>
  <c r="E527" i="4"/>
  <c r="E501" i="4"/>
  <c r="K480" i="4"/>
  <c r="Z480" i="4" s="1"/>
  <c r="K408" i="4"/>
  <c r="Z408" i="4" s="1"/>
  <c r="W249" i="4"/>
  <c r="U249" i="4"/>
  <c r="U247" i="4"/>
  <c r="K569" i="4"/>
  <c r="Z569" i="4" s="1"/>
  <c r="P552" i="4"/>
  <c r="U516" i="4"/>
  <c r="K435" i="4"/>
  <c r="Z435" i="4" s="1"/>
  <c r="E418" i="4"/>
  <c r="E389" i="4"/>
  <c r="L389" i="4"/>
  <c r="U324" i="4"/>
  <c r="E289" i="4"/>
  <c r="L289" i="4"/>
  <c r="U167" i="4"/>
  <c r="X167" i="4"/>
  <c r="L126" i="4"/>
  <c r="K126" i="4"/>
  <c r="Z126" i="4" s="1"/>
  <c r="K113" i="4"/>
  <c r="Z113" i="4" s="1"/>
  <c r="U103" i="4"/>
  <c r="W103" i="4"/>
  <c r="U96" i="4"/>
  <c r="W96" i="4"/>
  <c r="K163" i="4"/>
  <c r="Z163" i="4" s="1"/>
  <c r="P757" i="4"/>
  <c r="U757" i="4"/>
  <c r="K703" i="4"/>
  <c r="Z703" i="4" s="1"/>
  <c r="K687" i="4"/>
  <c r="Z687" i="4" s="1"/>
  <c r="U602" i="4"/>
  <c r="E713" i="4"/>
  <c r="K713" i="4"/>
  <c r="Z713" i="4" s="1"/>
  <c r="L713" i="4"/>
  <c r="W702" i="4"/>
  <c r="U702" i="4"/>
  <c r="E677" i="4"/>
  <c r="L677" i="4"/>
  <c r="U612" i="4"/>
  <c r="X612" i="4"/>
  <c r="K427" i="4"/>
  <c r="Z427" i="4" s="1"/>
  <c r="U297" i="4"/>
  <c r="V297" i="4"/>
  <c r="E242" i="4"/>
  <c r="K132" i="4"/>
  <c r="Z132" i="4" s="1"/>
  <c r="U85" i="4"/>
  <c r="K84" i="4"/>
  <c r="Z84" i="4" s="1"/>
  <c r="L84" i="4"/>
  <c r="P759" i="4"/>
  <c r="U759" i="4"/>
  <c r="V759" i="4"/>
  <c r="K757" i="4"/>
  <c r="Z757" i="4" s="1"/>
  <c r="L606" i="4"/>
  <c r="K606" i="4"/>
  <c r="Z606" i="4" s="1"/>
  <c r="U539" i="4"/>
  <c r="U513" i="4"/>
  <c r="U484" i="4"/>
  <c r="U474" i="4"/>
  <c r="K571" i="4"/>
  <c r="Z571" i="4" s="1"/>
  <c r="K549" i="4"/>
  <c r="Z549" i="4" s="1"/>
  <c r="P523" i="4"/>
  <c r="P500" i="4"/>
  <c r="K497" i="4"/>
  <c r="Z497" i="4" s="1"/>
  <c r="K414" i="4"/>
  <c r="Z414" i="4" s="1"/>
  <c r="P398" i="4"/>
  <c r="K368" i="4"/>
  <c r="Z368" i="4" s="1"/>
  <c r="K51" i="4"/>
  <c r="Z51" i="4" s="1"/>
  <c r="U636" i="4"/>
  <c r="K282" i="4"/>
  <c r="Z282" i="4" s="1"/>
  <c r="U270" i="4"/>
  <c r="E159" i="4"/>
  <c r="L75" i="4"/>
  <c r="K75" i="4"/>
  <c r="Z75" i="4" s="1"/>
  <c r="K605" i="4"/>
  <c r="Z605" i="4" s="1"/>
  <c r="U697" i="4"/>
  <c r="U693" i="4"/>
  <c r="U204" i="4"/>
  <c r="W74" i="4"/>
  <c r="U74" i="4"/>
  <c r="K50" i="4"/>
  <c r="Z50" i="4" s="1"/>
  <c r="P761" i="4"/>
  <c r="U761" i="4"/>
  <c r="V761" i="4"/>
  <c r="K688" i="4"/>
  <c r="Z688" i="4" s="1"/>
  <c r="E648" i="4"/>
  <c r="K326" i="4"/>
  <c r="Z326" i="4" s="1"/>
  <c r="K760" i="4"/>
  <c r="Z760" i="4" s="1"/>
  <c r="P399" i="4"/>
  <c r="K385" i="4"/>
  <c r="Z385" i="4" s="1"/>
  <c r="K346" i="4"/>
  <c r="Z346" i="4" s="1"/>
  <c r="E251" i="4"/>
  <c r="P239" i="4"/>
  <c r="K238" i="4"/>
  <c r="Z238" i="4" s="1"/>
  <c r="K121" i="4"/>
  <c r="Z121" i="4" s="1"/>
  <c r="K98" i="4"/>
  <c r="Z98" i="4" s="1"/>
  <c r="U608" i="4"/>
  <c r="P199" i="4"/>
  <c r="K74" i="4"/>
  <c r="Z74" i="4" s="1"/>
  <c r="U52" i="4"/>
  <c r="W52" i="4"/>
  <c r="K36" i="4"/>
  <c r="Z36" i="4" s="1"/>
  <c r="P754" i="4"/>
  <c r="K732" i="4"/>
  <c r="Z732" i="4" s="1"/>
  <c r="U715" i="4"/>
  <c r="N708" i="4"/>
  <c r="K708" i="4"/>
  <c r="Z708" i="4" s="1"/>
  <c r="U281" i="4"/>
  <c r="P226" i="4"/>
  <c r="K138" i="4"/>
  <c r="Z138" i="4" s="1"/>
  <c r="U73" i="4"/>
  <c r="U747" i="4"/>
  <c r="P609" i="4"/>
  <c r="K12" i="4"/>
  <c r="Z12" i="4" s="1"/>
  <c r="E129" i="4"/>
  <c r="U110" i="4"/>
  <c r="K106" i="4"/>
  <c r="Z106" i="4" s="1"/>
  <c r="U19" i="4"/>
  <c r="U604" i="4"/>
  <c r="E601" i="4"/>
  <c r="U112" i="4"/>
  <c r="E16" i="4"/>
  <c r="K109" i="4"/>
  <c r="Z109" i="4" s="1"/>
  <c r="K33" i="4"/>
  <c r="Z33" i="4" s="1"/>
  <c r="U28" i="4"/>
  <c r="E708" i="4"/>
  <c r="P672" i="4"/>
  <c r="U739" i="4"/>
  <c r="P687" i="4"/>
  <c r="E627" i="4"/>
  <c r="P623" i="4"/>
  <c r="P570" i="4"/>
  <c r="U570" i="4"/>
  <c r="V570" i="4"/>
  <c r="P464" i="4"/>
  <c r="U464" i="4"/>
  <c r="V464" i="4"/>
  <c r="E582" i="4"/>
  <c r="E547" i="4"/>
  <c r="V523" i="4"/>
  <c r="W518" i="4"/>
  <c r="W465" i="4"/>
  <c r="U465" i="4"/>
  <c r="E463" i="4"/>
  <c r="L463" i="4"/>
  <c r="U458" i="4"/>
  <c r="X458" i="4"/>
  <c r="P439" i="4"/>
  <c r="V439" i="4"/>
  <c r="U439" i="4"/>
  <c r="M427" i="4"/>
  <c r="E338" i="4"/>
  <c r="L338" i="4"/>
  <c r="K338" i="4"/>
  <c r="Z338" i="4" s="1"/>
  <c r="E318" i="4"/>
  <c r="K318" i="4"/>
  <c r="Z318" i="4" s="1"/>
  <c r="L318" i="4"/>
  <c r="N197" i="4"/>
  <c r="K197" i="4"/>
  <c r="Z197" i="4" s="1"/>
  <c r="E181" i="4"/>
  <c r="L181" i="4"/>
  <c r="K181" i="4"/>
  <c r="Z181" i="4" s="1"/>
  <c r="M396" i="4"/>
  <c r="K396" i="4"/>
  <c r="Z396" i="4" s="1"/>
  <c r="E362" i="4"/>
  <c r="K362" i="4"/>
  <c r="Z362" i="4" s="1"/>
  <c r="L362" i="4"/>
  <c r="E353" i="4"/>
  <c r="K353" i="4"/>
  <c r="Z353" i="4" s="1"/>
  <c r="V345" i="4"/>
  <c r="E339" i="4"/>
  <c r="K339" i="4"/>
  <c r="Z339" i="4" s="1"/>
  <c r="L339" i="4"/>
  <c r="E495" i="4"/>
  <c r="L495" i="4"/>
  <c r="P456" i="4"/>
  <c r="E443" i="4"/>
  <c r="L443" i="4"/>
  <c r="K443" i="4"/>
  <c r="Z443" i="4" s="1"/>
  <c r="P372" i="4"/>
  <c r="U372" i="4"/>
  <c r="V372" i="4"/>
  <c r="U345" i="4"/>
  <c r="U344" i="4"/>
  <c r="P335" i="4"/>
  <c r="U335" i="4"/>
  <c r="V335" i="4"/>
  <c r="U326" i="4"/>
  <c r="E286" i="4"/>
  <c r="L286" i="4"/>
  <c r="K286" i="4"/>
  <c r="Z286" i="4" s="1"/>
  <c r="N274" i="4"/>
  <c r="K274" i="4"/>
  <c r="Z274" i="4" s="1"/>
  <c r="P267" i="4"/>
  <c r="U267" i="4"/>
  <c r="V267" i="4"/>
  <c r="U254" i="4"/>
  <c r="W254" i="4"/>
  <c r="E244" i="4"/>
  <c r="K244" i="4"/>
  <c r="Z244" i="4" s="1"/>
  <c r="L244" i="4"/>
  <c r="K231" i="4"/>
  <c r="Z231" i="4" s="1"/>
  <c r="M231" i="4"/>
  <c r="P220" i="4"/>
  <c r="U220" i="4"/>
  <c r="V220" i="4"/>
  <c r="M146" i="4"/>
  <c r="K146" i="4"/>
  <c r="Z146" i="4" s="1"/>
  <c r="P10" i="4"/>
  <c r="U10" i="4"/>
  <c r="V10" i="4"/>
  <c r="N687" i="4"/>
  <c r="P600" i="4"/>
  <c r="P599" i="4"/>
  <c r="V599" i="4"/>
  <c r="U599" i="4"/>
  <c r="P593" i="4"/>
  <c r="V593" i="4"/>
  <c r="U593" i="4"/>
  <c r="V587" i="4"/>
  <c r="U585" i="4"/>
  <c r="E578" i="4"/>
  <c r="E577" i="4"/>
  <c r="P563" i="4"/>
  <c r="P527" i="4"/>
  <c r="V527" i="4"/>
  <c r="P524" i="4"/>
  <c r="U522" i="4"/>
  <c r="W522" i="4"/>
  <c r="P521" i="4"/>
  <c r="U521" i="4"/>
  <c r="P510" i="4"/>
  <c r="U510" i="4"/>
  <c r="K505" i="4"/>
  <c r="Z505" i="4" s="1"/>
  <c r="E492" i="4"/>
  <c r="L492" i="4"/>
  <c r="P466" i="4"/>
  <c r="V466" i="4"/>
  <c r="U466" i="4"/>
  <c r="E434" i="4"/>
  <c r="K434" i="4"/>
  <c r="Z434" i="4" s="1"/>
  <c r="E433" i="4"/>
  <c r="K433" i="4"/>
  <c r="Z433" i="4" s="1"/>
  <c r="E424" i="4"/>
  <c r="K424" i="4"/>
  <c r="Z424" i="4" s="1"/>
  <c r="L424" i="4"/>
  <c r="V387" i="4"/>
  <c r="M368" i="4"/>
  <c r="P359" i="4"/>
  <c r="V359" i="4"/>
  <c r="U359" i="4"/>
  <c r="P358" i="4"/>
  <c r="U358" i="4"/>
  <c r="P342" i="4"/>
  <c r="V342" i="4"/>
  <c r="K290" i="4"/>
  <c r="Z290" i="4" s="1"/>
  <c r="E241" i="4"/>
  <c r="K241" i="4"/>
  <c r="Z241" i="4" s="1"/>
  <c r="L241" i="4"/>
  <c r="M217" i="4"/>
  <c r="K217" i="4"/>
  <c r="Z217" i="4" s="1"/>
  <c r="U213" i="4"/>
  <c r="V212" i="4"/>
  <c r="E198" i="4"/>
  <c r="L198" i="4"/>
  <c r="E182" i="4"/>
  <c r="L182" i="4"/>
  <c r="K182" i="4"/>
  <c r="Z182" i="4" s="1"/>
  <c r="P163" i="4"/>
  <c r="V163" i="4"/>
  <c r="P154" i="4"/>
  <c r="U154" i="4"/>
  <c r="V154" i="4"/>
  <c r="P753" i="4"/>
  <c r="U753" i="4"/>
  <c r="V753" i="4"/>
  <c r="X657" i="4"/>
  <c r="P657" i="4"/>
  <c r="U657" i="4"/>
  <c r="E548" i="4"/>
  <c r="L548" i="4"/>
  <c r="E462" i="4"/>
  <c r="L462" i="4"/>
  <c r="E580" i="4"/>
  <c r="K580" i="4"/>
  <c r="Z580" i="4" s="1"/>
  <c r="E540" i="4"/>
  <c r="K540" i="4"/>
  <c r="Z540" i="4" s="1"/>
  <c r="L540" i="4"/>
  <c r="E535" i="4"/>
  <c r="K535" i="4"/>
  <c r="Z535" i="4" s="1"/>
  <c r="P506" i="4"/>
  <c r="V506" i="4"/>
  <c r="P480" i="4"/>
  <c r="U480" i="4"/>
  <c r="V480" i="4"/>
  <c r="P402" i="4"/>
  <c r="U402" i="4"/>
  <c r="P371" i="4"/>
  <c r="E351" i="4"/>
  <c r="L351" i="4"/>
  <c r="P321" i="4"/>
  <c r="V321" i="4"/>
  <c r="U321" i="4"/>
  <c r="E196" i="4"/>
  <c r="K196" i="4"/>
  <c r="Z196" i="4" s="1"/>
  <c r="L196" i="4"/>
  <c r="U193" i="4"/>
  <c r="X193" i="4"/>
  <c r="P98" i="4"/>
  <c r="U98" i="4"/>
  <c r="V98" i="4"/>
  <c r="M701" i="4"/>
  <c r="K701" i="4"/>
  <c r="Z701" i="4" s="1"/>
  <c r="E700" i="4"/>
  <c r="K700" i="4"/>
  <c r="Z700" i="4" s="1"/>
  <c r="L700" i="4"/>
  <c r="V552" i="4"/>
  <c r="V550" i="4"/>
  <c r="V544" i="4"/>
  <c r="E541" i="4"/>
  <c r="K541" i="4"/>
  <c r="Z541" i="4" s="1"/>
  <c r="L541" i="4"/>
  <c r="E488" i="4"/>
  <c r="K488" i="4"/>
  <c r="Z488" i="4" s="1"/>
  <c r="U457" i="4"/>
  <c r="W457" i="4"/>
  <c r="P428" i="4"/>
  <c r="E409" i="4"/>
  <c r="K409" i="4"/>
  <c r="Z409" i="4" s="1"/>
  <c r="P333" i="4"/>
  <c r="U333" i="4"/>
  <c r="P311" i="4"/>
  <c r="V311" i="4"/>
  <c r="M258" i="4"/>
  <c r="K258" i="4"/>
  <c r="Z258" i="4" s="1"/>
  <c r="W201" i="4"/>
  <c r="U201" i="4"/>
  <c r="E173" i="4"/>
  <c r="L173" i="4"/>
  <c r="P170" i="4"/>
  <c r="U170" i="4"/>
  <c r="V170" i="4"/>
  <c r="W105" i="4"/>
  <c r="U105" i="4"/>
  <c r="N5" i="4"/>
  <c r="K5" i="4"/>
  <c r="Z5" i="4" s="1"/>
  <c r="W770" i="4"/>
  <c r="U770" i="4"/>
  <c r="U592" i="4"/>
  <c r="W592" i="4"/>
  <c r="P591" i="4"/>
  <c r="U591" i="4"/>
  <c r="P557" i="4"/>
  <c r="U557" i="4"/>
  <c r="V557" i="4"/>
  <c r="P555" i="4"/>
  <c r="U555" i="4"/>
  <c r="U552" i="4"/>
  <c r="U550" i="4"/>
  <c r="U544" i="4"/>
  <c r="X538" i="4"/>
  <c r="U527" i="4"/>
  <c r="X527" i="4"/>
  <c r="P525" i="4"/>
  <c r="U523" i="4"/>
  <c r="V519" i="4"/>
  <c r="P507" i="4"/>
  <c r="U507" i="4"/>
  <c r="P503" i="4"/>
  <c r="U503" i="4"/>
  <c r="E491" i="4"/>
  <c r="L491" i="4"/>
  <c r="U482" i="4"/>
  <c r="W482" i="4"/>
  <c r="P481" i="4"/>
  <c r="U481" i="4"/>
  <c r="V481" i="4"/>
  <c r="K479" i="4"/>
  <c r="Z479" i="4" s="1"/>
  <c r="P457" i="4"/>
  <c r="N439" i="4"/>
  <c r="E432" i="4"/>
  <c r="L432" i="4"/>
  <c r="K432" i="4"/>
  <c r="Z432" i="4" s="1"/>
  <c r="K395" i="4"/>
  <c r="Z395" i="4" s="1"/>
  <c r="M395" i="4"/>
  <c r="E394" i="4"/>
  <c r="L394" i="4"/>
  <c r="K394" i="4"/>
  <c r="Z394" i="4" s="1"/>
  <c r="N365" i="4"/>
  <c r="K365" i="4"/>
  <c r="Z365" i="4" s="1"/>
  <c r="V344" i="4"/>
  <c r="P341" i="4"/>
  <c r="V341" i="4"/>
  <c r="U341" i="4"/>
  <c r="P313" i="4"/>
  <c r="V313" i="4"/>
  <c r="U313" i="4"/>
  <c r="P301" i="4"/>
  <c r="U301" i="4"/>
  <c r="W270" i="4"/>
  <c r="E240" i="4"/>
  <c r="L240" i="4"/>
  <c r="E239" i="4"/>
  <c r="K239" i="4"/>
  <c r="Z239" i="4" s="1"/>
  <c r="L239" i="4"/>
  <c r="P209" i="4"/>
  <c r="U209" i="4"/>
  <c r="V209" i="4"/>
  <c r="E174" i="4"/>
  <c r="L174" i="4"/>
  <c r="K174" i="4"/>
  <c r="Z174" i="4" s="1"/>
  <c r="U148" i="4"/>
  <c r="P590" i="4"/>
  <c r="U590" i="4"/>
  <c r="P564" i="4"/>
  <c r="U564" i="4"/>
  <c r="P559" i="4"/>
  <c r="V559" i="4"/>
  <c r="P558" i="4"/>
  <c r="U558" i="4"/>
  <c r="P554" i="4"/>
  <c r="W548" i="4"/>
  <c r="U509" i="4"/>
  <c r="W509" i="4"/>
  <c r="P501" i="4"/>
  <c r="U501" i="4"/>
  <c r="U587" i="4"/>
  <c r="E573" i="4"/>
  <c r="L565" i="4"/>
  <c r="P562" i="4"/>
  <c r="L560" i="4"/>
  <c r="K555" i="4"/>
  <c r="Z555" i="4" s="1"/>
  <c r="P553" i="4"/>
  <c r="V553" i="4"/>
  <c r="P520" i="4"/>
  <c r="U520" i="4"/>
  <c r="K507" i="4"/>
  <c r="Z507" i="4" s="1"/>
  <c r="E496" i="4"/>
  <c r="L496" i="4"/>
  <c r="K496" i="4"/>
  <c r="Z496" i="4" s="1"/>
  <c r="P483" i="4"/>
  <c r="U483" i="4"/>
  <c r="V483" i="4"/>
  <c r="E478" i="4"/>
  <c r="L478" i="4"/>
  <c r="K478" i="4"/>
  <c r="Z478" i="4" s="1"/>
  <c r="K449" i="4"/>
  <c r="Z449" i="4" s="1"/>
  <c r="L449" i="4"/>
  <c r="E448" i="4"/>
  <c r="L448" i="4"/>
  <c r="K448" i="4"/>
  <c r="Z448" i="4" s="1"/>
  <c r="E401" i="4"/>
  <c r="L401" i="4"/>
  <c r="K401" i="4"/>
  <c r="Z401" i="4" s="1"/>
  <c r="P360" i="4"/>
  <c r="V360" i="4"/>
  <c r="U360" i="4"/>
  <c r="E340" i="4"/>
  <c r="L340" i="4"/>
  <c r="K340" i="4"/>
  <c r="Z340" i="4" s="1"/>
  <c r="P314" i="4"/>
  <c r="V314" i="4"/>
  <c r="U314" i="4"/>
  <c r="P234" i="4"/>
  <c r="V234" i="4"/>
  <c r="U234" i="4"/>
  <c r="U212" i="4"/>
  <c r="P202" i="4"/>
  <c r="U202" i="4"/>
  <c r="V202" i="4"/>
  <c r="P63" i="4"/>
  <c r="V63" i="4"/>
  <c r="U63" i="4"/>
  <c r="K738" i="4"/>
  <c r="Z738" i="4" s="1"/>
  <c r="N738" i="4"/>
  <c r="P698" i="4"/>
  <c r="V698" i="4"/>
  <c r="U698" i="4"/>
  <c r="K646" i="4"/>
  <c r="Z646" i="4" s="1"/>
  <c r="M646" i="4"/>
  <c r="E641" i="4"/>
  <c r="K641" i="4"/>
  <c r="Z641" i="4" s="1"/>
  <c r="L641" i="4"/>
  <c r="U565" i="4"/>
  <c r="W565" i="4"/>
  <c r="K536" i="4"/>
  <c r="Z536" i="4" s="1"/>
  <c r="E574" i="4"/>
  <c r="L574" i="4"/>
  <c r="E570" i="4"/>
  <c r="L570" i="4"/>
  <c r="P551" i="4"/>
  <c r="V551" i="4"/>
  <c r="E464" i="4"/>
  <c r="K464" i="4"/>
  <c r="Z464" i="4" s="1"/>
  <c r="E450" i="4"/>
  <c r="K450" i="4"/>
  <c r="Z450" i="4" s="1"/>
  <c r="L450" i="4"/>
  <c r="U408" i="4"/>
  <c r="X408" i="4"/>
  <c r="M402" i="4"/>
  <c r="K402" i="4"/>
  <c r="Z402" i="4" s="1"/>
  <c r="E366" i="4"/>
  <c r="K366" i="4"/>
  <c r="Z366" i="4" s="1"/>
  <c r="L366" i="4"/>
  <c r="E354" i="4"/>
  <c r="K354" i="4"/>
  <c r="Z354" i="4" s="1"/>
  <c r="L354" i="4"/>
  <c r="P291" i="4"/>
  <c r="U291" i="4"/>
  <c r="V291" i="4"/>
  <c r="P281" i="4"/>
  <c r="V281" i="4"/>
  <c r="L597" i="4"/>
  <c r="P588" i="4"/>
  <c r="U588" i="4"/>
  <c r="P519" i="4"/>
  <c r="E435" i="4"/>
  <c r="L435" i="4"/>
  <c r="K412" i="4"/>
  <c r="Z412" i="4" s="1"/>
  <c r="N412" i="4"/>
  <c r="P385" i="4"/>
  <c r="U385" i="4"/>
  <c r="V385" i="4"/>
  <c r="E321" i="4"/>
  <c r="L321" i="4"/>
  <c r="N310" i="4"/>
  <c r="K310" i="4"/>
  <c r="Z310" i="4" s="1"/>
  <c r="P282" i="4"/>
  <c r="V282" i="4"/>
  <c r="P269" i="4"/>
  <c r="U269" i="4"/>
  <c r="X256" i="4"/>
  <c r="U256" i="4"/>
  <c r="P255" i="4"/>
  <c r="U255" i="4"/>
  <c r="V255" i="4"/>
  <c r="P194" i="4"/>
  <c r="V194" i="4"/>
  <c r="U189" i="4"/>
  <c r="W189" i="4"/>
  <c r="P49" i="4"/>
  <c r="U49" i="4"/>
  <c r="V49" i="4"/>
  <c r="K770" i="4"/>
  <c r="Z770" i="4" s="1"/>
  <c r="M770" i="4"/>
  <c r="E738" i="4"/>
  <c r="L738" i="4"/>
  <c r="U735" i="4"/>
  <c r="X735" i="4"/>
  <c r="E569" i="4"/>
  <c r="E561" i="4"/>
  <c r="L561" i="4"/>
  <c r="K561" i="4"/>
  <c r="Z561" i="4" s="1"/>
  <c r="W495" i="4"/>
  <c r="K456" i="4"/>
  <c r="Z456" i="4" s="1"/>
  <c r="M456" i="4"/>
  <c r="E438" i="4"/>
  <c r="L438" i="4"/>
  <c r="W399" i="4"/>
  <c r="P389" i="4"/>
  <c r="U389" i="4"/>
  <c r="P380" i="4"/>
  <c r="U380" i="4"/>
  <c r="V380" i="4"/>
  <c r="M373" i="4"/>
  <c r="E372" i="4"/>
  <c r="K372" i="4"/>
  <c r="Z372" i="4" s="1"/>
  <c r="L372" i="4"/>
  <c r="M360" i="4"/>
  <c r="K355" i="4"/>
  <c r="Z355" i="4" s="1"/>
  <c r="M355" i="4"/>
  <c r="P328" i="4"/>
  <c r="V328" i="4"/>
  <c r="E320" i="4"/>
  <c r="L320" i="4"/>
  <c r="W305" i="4"/>
  <c r="U305" i="4"/>
  <c r="N233" i="4"/>
  <c r="K233" i="4"/>
  <c r="Z233" i="4" s="1"/>
  <c r="P223" i="4"/>
  <c r="U223" i="4"/>
  <c r="V223" i="4"/>
  <c r="P211" i="4"/>
  <c r="V211" i="4"/>
  <c r="P581" i="4"/>
  <c r="U581" i="4"/>
  <c r="V581" i="4"/>
  <c r="V576" i="4"/>
  <c r="K553" i="4"/>
  <c r="Z553" i="4" s="1"/>
  <c r="P529" i="4"/>
  <c r="U529" i="4"/>
  <c r="E506" i="4"/>
  <c r="E498" i="4"/>
  <c r="L498" i="4"/>
  <c r="K498" i="4"/>
  <c r="Z498" i="4" s="1"/>
  <c r="E497" i="4"/>
  <c r="L497" i="4"/>
  <c r="P487" i="4"/>
  <c r="U487" i="4"/>
  <c r="V487" i="4"/>
  <c r="L485" i="4"/>
  <c r="M484" i="4"/>
  <c r="X450" i="4"/>
  <c r="U446" i="4"/>
  <c r="X446" i="4"/>
  <c r="U443" i="4"/>
  <c r="M416" i="4"/>
  <c r="K406" i="4"/>
  <c r="Z406" i="4" s="1"/>
  <c r="K403" i="4"/>
  <c r="Z403" i="4" s="1"/>
  <c r="M403" i="4"/>
  <c r="P387" i="4"/>
  <c r="P382" i="4"/>
  <c r="V382" i="4"/>
  <c r="E369" i="4"/>
  <c r="L369" i="4"/>
  <c r="P361" i="4"/>
  <c r="U361" i="4"/>
  <c r="V361" i="4"/>
  <c r="M346" i="4"/>
  <c r="K341" i="4"/>
  <c r="Z341" i="4" s="1"/>
  <c r="M341" i="4"/>
  <c r="U284" i="4"/>
  <c r="W284" i="4"/>
  <c r="P283" i="4"/>
  <c r="U283" i="4"/>
  <c r="K235" i="4"/>
  <c r="Z235" i="4" s="1"/>
  <c r="W231" i="4"/>
  <c r="M209" i="4"/>
  <c r="K209" i="4"/>
  <c r="Z209" i="4" s="1"/>
  <c r="U756" i="4"/>
  <c r="X756" i="4"/>
  <c r="U710" i="4"/>
  <c r="W710" i="4"/>
  <c r="E696" i="4"/>
  <c r="L696" i="4"/>
  <c r="K696" i="4"/>
  <c r="Z696" i="4" s="1"/>
  <c r="E656" i="4"/>
  <c r="L656" i="4"/>
  <c r="M563" i="4"/>
  <c r="K563" i="4"/>
  <c r="Z563" i="4" s="1"/>
  <c r="E556" i="4"/>
  <c r="K556" i="4"/>
  <c r="Z556" i="4" s="1"/>
  <c r="P543" i="4"/>
  <c r="P540" i="4"/>
  <c r="V540" i="4"/>
  <c r="U540" i="4"/>
  <c r="P535" i="4"/>
  <c r="U535" i="4"/>
  <c r="V535" i="4"/>
  <c r="K516" i="4"/>
  <c r="Z516" i="4" s="1"/>
  <c r="M516" i="4"/>
  <c r="E507" i="4"/>
  <c r="K486" i="4"/>
  <c r="Z486" i="4" s="1"/>
  <c r="E480" i="4"/>
  <c r="P468" i="4"/>
  <c r="U468" i="4"/>
  <c r="K465" i="4"/>
  <c r="Z465" i="4" s="1"/>
  <c r="E454" i="4"/>
  <c r="L454" i="4"/>
  <c r="W400" i="4"/>
  <c r="U399" i="4"/>
  <c r="P391" i="4"/>
  <c r="U391" i="4"/>
  <c r="P388" i="4"/>
  <c r="V388" i="4"/>
  <c r="X375" i="4"/>
  <c r="U375" i="4"/>
  <c r="K344" i="4"/>
  <c r="Z344" i="4" s="1"/>
  <c r="E334" i="4"/>
  <c r="K334" i="4"/>
  <c r="Z334" i="4" s="1"/>
  <c r="L334" i="4"/>
  <c r="P329" i="4"/>
  <c r="V329" i="4"/>
  <c r="N328" i="4"/>
  <c r="M326" i="4"/>
  <c r="U285" i="4"/>
  <c r="W285" i="4"/>
  <c r="P263" i="4"/>
  <c r="U263" i="4"/>
  <c r="V263" i="4"/>
  <c r="E260" i="4"/>
  <c r="L260" i="4"/>
  <c r="K260" i="4"/>
  <c r="Z260" i="4" s="1"/>
  <c r="L255" i="4"/>
  <c r="N234" i="4"/>
  <c r="K234" i="4"/>
  <c r="Z234" i="4" s="1"/>
  <c r="U229" i="4"/>
  <c r="U216" i="4"/>
  <c r="P65" i="4"/>
  <c r="V65" i="4"/>
  <c r="U65" i="4"/>
  <c r="E62" i="4"/>
  <c r="L62" i="4"/>
  <c r="K62" i="4"/>
  <c r="Z62" i="4" s="1"/>
  <c r="N40" i="4"/>
  <c r="K40" i="4"/>
  <c r="Z40" i="4" s="1"/>
  <c r="X36" i="4"/>
  <c r="U36" i="4"/>
  <c r="M551" i="4"/>
  <c r="K551" i="4"/>
  <c r="Z551" i="4" s="1"/>
  <c r="P530" i="4"/>
  <c r="U530" i="4"/>
  <c r="E517" i="4"/>
  <c r="K517" i="4"/>
  <c r="Z517" i="4" s="1"/>
  <c r="L517" i="4"/>
  <c r="E510" i="4"/>
  <c r="L510" i="4"/>
  <c r="P491" i="4"/>
  <c r="V491" i="4"/>
  <c r="U491" i="4"/>
  <c r="P474" i="4"/>
  <c r="V474" i="4"/>
  <c r="P463" i="4"/>
  <c r="V463" i="4"/>
  <c r="U463" i="4"/>
  <c r="E459" i="4"/>
  <c r="K459" i="4"/>
  <c r="Z459" i="4" s="1"/>
  <c r="L459" i="4"/>
  <c r="P395" i="4"/>
  <c r="V395" i="4"/>
  <c r="P394" i="4"/>
  <c r="U394" i="4"/>
  <c r="W376" i="4"/>
  <c r="U376" i="4"/>
  <c r="P362" i="4"/>
  <c r="V362" i="4"/>
  <c r="U362" i="4"/>
  <c r="X339" i="4"/>
  <c r="U339" i="4"/>
  <c r="P330" i="4"/>
  <c r="U330" i="4"/>
  <c r="V330" i="4"/>
  <c r="E325" i="4"/>
  <c r="L325" i="4"/>
  <c r="E324" i="4"/>
  <c r="L324" i="4"/>
  <c r="E280" i="4"/>
  <c r="K280" i="4"/>
  <c r="Z280" i="4" s="1"/>
  <c r="P273" i="4"/>
  <c r="V273" i="4"/>
  <c r="U273" i="4"/>
  <c r="N271" i="4"/>
  <c r="K271" i="4"/>
  <c r="Z271" i="4" s="1"/>
  <c r="E269" i="4"/>
  <c r="L269" i="4"/>
  <c r="K269" i="4"/>
  <c r="Z269" i="4" s="1"/>
  <c r="N262" i="4"/>
  <c r="K262" i="4"/>
  <c r="Z262" i="4" s="1"/>
  <c r="E211" i="4"/>
  <c r="L211" i="4"/>
  <c r="K211" i="4"/>
  <c r="Z211" i="4" s="1"/>
  <c r="E194" i="4"/>
  <c r="K194" i="4"/>
  <c r="Z194" i="4" s="1"/>
  <c r="L194" i="4"/>
  <c r="E149" i="4"/>
  <c r="L149" i="4"/>
  <c r="K149" i="4"/>
  <c r="Z149" i="4" s="1"/>
  <c r="U127" i="4"/>
  <c r="X127" i="4"/>
  <c r="X72" i="4"/>
  <c r="U72" i="4"/>
  <c r="P66" i="4"/>
  <c r="U66" i="4"/>
  <c r="V66" i="4"/>
  <c r="E586" i="4"/>
  <c r="L586" i="4"/>
  <c r="K586" i="4"/>
  <c r="Z586" i="4" s="1"/>
  <c r="P576" i="4"/>
  <c r="E552" i="4"/>
  <c r="K552" i="4"/>
  <c r="Z552" i="4" s="1"/>
  <c r="E518" i="4"/>
  <c r="L518" i="4"/>
  <c r="K518" i="4"/>
  <c r="Z518" i="4" s="1"/>
  <c r="E512" i="4"/>
  <c r="P492" i="4"/>
  <c r="V492" i="4"/>
  <c r="U492" i="4"/>
  <c r="M460" i="4"/>
  <c r="K460" i="4"/>
  <c r="Z460" i="4" s="1"/>
  <c r="E430" i="4"/>
  <c r="L430" i="4"/>
  <c r="K430" i="4"/>
  <c r="Z430" i="4" s="1"/>
  <c r="W377" i="4"/>
  <c r="U377" i="4"/>
  <c r="E374" i="4"/>
  <c r="K374" i="4"/>
  <c r="Z374" i="4" s="1"/>
  <c r="E345" i="4"/>
  <c r="K345" i="4"/>
  <c r="Z345" i="4" s="1"/>
  <c r="K304" i="4"/>
  <c r="Z304" i="4" s="1"/>
  <c r="M304" i="4"/>
  <c r="X287" i="4"/>
  <c r="U287" i="4"/>
  <c r="E281" i="4"/>
  <c r="L281" i="4"/>
  <c r="K281" i="4"/>
  <c r="Z281" i="4" s="1"/>
  <c r="P244" i="4"/>
  <c r="U244" i="4"/>
  <c r="V244" i="4"/>
  <c r="P159" i="4"/>
  <c r="V159" i="4"/>
  <c r="N144" i="4"/>
  <c r="K144" i="4"/>
  <c r="Z144" i="4" s="1"/>
  <c r="P139" i="4"/>
  <c r="U139" i="4"/>
  <c r="V139" i="4"/>
  <c r="E107" i="4"/>
  <c r="K107" i="4"/>
  <c r="Z107" i="4" s="1"/>
  <c r="L107" i="4"/>
  <c r="U15" i="4"/>
  <c r="W15" i="4"/>
  <c r="E549" i="4"/>
  <c r="L549" i="4"/>
  <c r="K545" i="4"/>
  <c r="Z545" i="4" s="1"/>
  <c r="K539" i="4"/>
  <c r="Z539" i="4" s="1"/>
  <c r="M539" i="4"/>
  <c r="E528" i="4"/>
  <c r="E485" i="4"/>
  <c r="E467" i="4"/>
  <c r="L467" i="4"/>
  <c r="K462" i="4"/>
  <c r="Z462" i="4" s="1"/>
  <c r="N462" i="4"/>
  <c r="P448" i="4"/>
  <c r="U448" i="4"/>
  <c r="U435" i="4"/>
  <c r="X435" i="4"/>
  <c r="P434" i="4"/>
  <c r="V434" i="4"/>
  <c r="E408" i="4"/>
  <c r="L408" i="4"/>
  <c r="E380" i="4"/>
  <c r="L380" i="4"/>
  <c r="K380" i="4"/>
  <c r="Z380" i="4" s="1"/>
  <c r="P365" i="4"/>
  <c r="U365" i="4"/>
  <c r="V365" i="4"/>
  <c r="P331" i="4"/>
  <c r="V331" i="4"/>
  <c r="P308" i="4"/>
  <c r="V308" i="4"/>
  <c r="U308" i="4"/>
  <c r="P299" i="4"/>
  <c r="V299" i="4"/>
  <c r="U299" i="4"/>
  <c r="E203" i="4"/>
  <c r="L203" i="4"/>
  <c r="K203" i="4"/>
  <c r="Z203" i="4" s="1"/>
  <c r="P192" i="4"/>
  <c r="V192" i="4"/>
  <c r="P168" i="4"/>
  <c r="U168" i="4"/>
  <c r="W160" i="4"/>
  <c r="U160" i="4"/>
  <c r="E137" i="4"/>
  <c r="K137" i="4"/>
  <c r="Z137" i="4" s="1"/>
  <c r="L137" i="4"/>
  <c r="P97" i="4"/>
  <c r="U97" i="4"/>
  <c r="E587" i="4"/>
  <c r="L587" i="4"/>
  <c r="K587" i="4"/>
  <c r="Z587" i="4" s="1"/>
  <c r="E585" i="4"/>
  <c r="L585" i="4"/>
  <c r="E584" i="4"/>
  <c r="L584" i="4"/>
  <c r="E487" i="4"/>
  <c r="L487" i="4"/>
  <c r="P479" i="4"/>
  <c r="U479" i="4"/>
  <c r="V479" i="4"/>
  <c r="P340" i="4"/>
  <c r="U340" i="4"/>
  <c r="V340" i="4"/>
  <c r="M316" i="4"/>
  <c r="K316" i="4"/>
  <c r="Z316" i="4" s="1"/>
  <c r="X312" i="4"/>
  <c r="U312" i="4"/>
  <c r="E305" i="4"/>
  <c r="K305" i="4"/>
  <c r="Z305" i="4" s="1"/>
  <c r="E195" i="4"/>
  <c r="K195" i="4"/>
  <c r="Z195" i="4" s="1"/>
  <c r="L195" i="4"/>
  <c r="E165" i="4"/>
  <c r="K165" i="4"/>
  <c r="Z165" i="4" s="1"/>
  <c r="E519" i="4"/>
  <c r="L519" i="4"/>
  <c r="K519" i="4"/>
  <c r="Z519" i="4" s="1"/>
  <c r="W169" i="4"/>
  <c r="U169" i="4"/>
  <c r="E538" i="4"/>
  <c r="L538" i="4"/>
  <c r="P436" i="4"/>
  <c r="V436" i="4"/>
  <c r="E431" i="4"/>
  <c r="L431" i="4"/>
  <c r="P401" i="4"/>
  <c r="U401" i="4"/>
  <c r="E387" i="4"/>
  <c r="L387" i="4"/>
  <c r="K382" i="4"/>
  <c r="Z382" i="4" s="1"/>
  <c r="M382" i="4"/>
  <c r="E381" i="4"/>
  <c r="K381" i="4"/>
  <c r="Z381" i="4" s="1"/>
  <c r="L381" i="4"/>
  <c r="E361" i="4"/>
  <c r="L361" i="4"/>
  <c r="K361" i="4"/>
  <c r="Z361" i="4" s="1"/>
  <c r="E315" i="4"/>
  <c r="K315" i="4"/>
  <c r="Z315" i="4" s="1"/>
  <c r="E292" i="4"/>
  <c r="L292" i="4"/>
  <c r="K292" i="4"/>
  <c r="Z292" i="4" s="1"/>
  <c r="E583" i="4"/>
  <c r="L583" i="4"/>
  <c r="P496" i="4"/>
  <c r="U496" i="4"/>
  <c r="V496" i="4"/>
  <c r="E461" i="4"/>
  <c r="L461" i="4"/>
  <c r="E419" i="4"/>
  <c r="K419" i="4"/>
  <c r="Z419" i="4" s="1"/>
  <c r="E417" i="4"/>
  <c r="M392" i="4"/>
  <c r="K392" i="4"/>
  <c r="Z392" i="4" s="1"/>
  <c r="E388" i="4"/>
  <c r="K388" i="4"/>
  <c r="Z388" i="4" s="1"/>
  <c r="L388" i="4"/>
  <c r="P332" i="4"/>
  <c r="V332" i="4"/>
  <c r="K329" i="4"/>
  <c r="Z329" i="4" s="1"/>
  <c r="P259" i="4"/>
  <c r="V259" i="4"/>
  <c r="U259" i="4"/>
  <c r="E204" i="4"/>
  <c r="L204" i="4"/>
  <c r="K204" i="4"/>
  <c r="Z204" i="4" s="1"/>
  <c r="E189" i="4"/>
  <c r="K189" i="4"/>
  <c r="Z189" i="4" s="1"/>
  <c r="W120" i="4"/>
  <c r="U120" i="4"/>
  <c r="U99" i="4"/>
  <c r="X99" i="4"/>
  <c r="P46" i="4"/>
  <c r="V46" i="4"/>
  <c r="U46" i="4"/>
  <c r="P566" i="4"/>
  <c r="E546" i="4"/>
  <c r="E534" i="4"/>
  <c r="P505" i="4"/>
  <c r="U505" i="4"/>
  <c r="U486" i="4"/>
  <c r="W486" i="4"/>
  <c r="U467" i="4"/>
  <c r="W467" i="4"/>
  <c r="U348" i="4"/>
  <c r="W348" i="4"/>
  <c r="P343" i="4"/>
  <c r="U343" i="4"/>
  <c r="V343" i="4"/>
  <c r="U328" i="4"/>
  <c r="X328" i="4"/>
  <c r="E319" i="4"/>
  <c r="K319" i="4"/>
  <c r="Z319" i="4" s="1"/>
  <c r="L319" i="4"/>
  <c r="M301" i="4"/>
  <c r="K301" i="4"/>
  <c r="Z301" i="4" s="1"/>
  <c r="P222" i="4"/>
  <c r="U222" i="4"/>
  <c r="V222" i="4"/>
  <c r="M218" i="4"/>
  <c r="K218" i="4"/>
  <c r="Z218" i="4" s="1"/>
  <c r="X203" i="4"/>
  <c r="U203" i="4"/>
  <c r="M193" i="4"/>
  <c r="K193" i="4"/>
  <c r="Z193" i="4" s="1"/>
  <c r="P122" i="4"/>
  <c r="U122" i="4"/>
  <c r="V122" i="4"/>
  <c r="X742" i="4"/>
  <c r="U742" i="4"/>
  <c r="U728" i="4"/>
  <c r="X728" i="4"/>
  <c r="E660" i="4"/>
  <c r="K660" i="4"/>
  <c r="Z660" i="4" s="1"/>
  <c r="L660" i="4"/>
  <c r="E575" i="4"/>
  <c r="L575" i="4"/>
  <c r="K575" i="4"/>
  <c r="Z575" i="4" s="1"/>
  <c r="E568" i="4"/>
  <c r="K568" i="4"/>
  <c r="Z568" i="4" s="1"/>
  <c r="P545" i="4"/>
  <c r="U545" i="4"/>
  <c r="V545" i="4"/>
  <c r="P517" i="4"/>
  <c r="V517" i="4"/>
  <c r="P430" i="4"/>
  <c r="V430" i="4"/>
  <c r="E411" i="4"/>
  <c r="K411" i="4"/>
  <c r="Z411" i="4" s="1"/>
  <c r="L411" i="4"/>
  <c r="K378" i="4"/>
  <c r="Z378" i="4" s="1"/>
  <c r="M378" i="4"/>
  <c r="E371" i="4"/>
  <c r="L371" i="4"/>
  <c r="K371" i="4"/>
  <c r="Z371" i="4" s="1"/>
  <c r="P327" i="4"/>
  <c r="U327" i="4"/>
  <c r="V327" i="4"/>
  <c r="P315" i="4"/>
  <c r="V315" i="4"/>
  <c r="U315" i="4"/>
  <c r="E246" i="4"/>
  <c r="K246" i="4"/>
  <c r="Z246" i="4" s="1"/>
  <c r="P188" i="4"/>
  <c r="U188" i="4"/>
  <c r="V188" i="4"/>
  <c r="P86" i="4"/>
  <c r="U86" i="4"/>
  <c r="V86" i="4"/>
  <c r="P77" i="4"/>
  <c r="V77" i="4"/>
  <c r="U77" i="4"/>
  <c r="E38" i="4"/>
  <c r="K38" i="4"/>
  <c r="Z38" i="4" s="1"/>
  <c r="L38" i="4"/>
  <c r="K597" i="4"/>
  <c r="Z597" i="4" s="1"/>
  <c r="P586" i="4"/>
  <c r="U586" i="4"/>
  <c r="L553" i="4"/>
  <c r="P546" i="4"/>
  <c r="U546" i="4"/>
  <c r="V546" i="4"/>
  <c r="U534" i="4"/>
  <c r="W534" i="4"/>
  <c r="L527" i="4"/>
  <c r="L512" i="4"/>
  <c r="K510" i="4"/>
  <c r="Z510" i="4" s="1"/>
  <c r="X87" i="4"/>
  <c r="U87" i="4"/>
  <c r="E752" i="4"/>
  <c r="L752" i="4"/>
  <c r="U670" i="4"/>
  <c r="W670" i="4"/>
  <c r="E595" i="4"/>
  <c r="P582" i="4"/>
  <c r="U582" i="4"/>
  <c r="L552" i="4"/>
  <c r="P539" i="4"/>
  <c r="V539" i="4"/>
  <c r="V530" i="4"/>
  <c r="M528" i="4"/>
  <c r="K527" i="4"/>
  <c r="Z527" i="4" s="1"/>
  <c r="K512" i="4"/>
  <c r="Z512" i="4" s="1"/>
  <c r="E599" i="4"/>
  <c r="K599" i="4"/>
  <c r="Z599" i="4" s="1"/>
  <c r="L599" i="4"/>
  <c r="K585" i="4"/>
  <c r="Z585" i="4" s="1"/>
  <c r="K584" i="4"/>
  <c r="Z584" i="4" s="1"/>
  <c r="P579" i="4"/>
  <c r="E562" i="4"/>
  <c r="L562" i="4"/>
  <c r="K548" i="4"/>
  <c r="Z548" i="4" s="1"/>
  <c r="K538" i="4"/>
  <c r="Z538" i="4" s="1"/>
  <c r="P532" i="4"/>
  <c r="V532" i="4"/>
  <c r="E515" i="4"/>
  <c r="L515" i="4"/>
  <c r="E508" i="4"/>
  <c r="L508" i="4"/>
  <c r="P489" i="4"/>
  <c r="U489" i="4"/>
  <c r="P488" i="4"/>
  <c r="V488" i="4"/>
  <c r="U488" i="4"/>
  <c r="K487" i="4"/>
  <c r="Z487" i="4" s="1"/>
  <c r="E482" i="4"/>
  <c r="P470" i="4"/>
  <c r="U470" i="4"/>
  <c r="P469" i="4"/>
  <c r="U469" i="4"/>
  <c r="W449" i="4"/>
  <c r="W448" i="4"/>
  <c r="P446" i="4"/>
  <c r="P442" i="4"/>
  <c r="V442" i="4"/>
  <c r="U442" i="4"/>
  <c r="E440" i="4"/>
  <c r="K440" i="4"/>
  <c r="Z440" i="4" s="1"/>
  <c r="K422" i="4"/>
  <c r="Z422" i="4" s="1"/>
  <c r="L418" i="4"/>
  <c r="L417" i="4"/>
  <c r="K387" i="4"/>
  <c r="Z387" i="4" s="1"/>
  <c r="P351" i="4"/>
  <c r="E323" i="4"/>
  <c r="L323" i="4"/>
  <c r="E322" i="4"/>
  <c r="L315" i="4"/>
  <c r="L305" i="4"/>
  <c r="E302" i="4"/>
  <c r="L302" i="4"/>
  <c r="K302" i="4"/>
  <c r="Z302" i="4" s="1"/>
  <c r="K255" i="4"/>
  <c r="Z255" i="4" s="1"/>
  <c r="P243" i="4"/>
  <c r="V243" i="4"/>
  <c r="P242" i="4"/>
  <c r="U242" i="4"/>
  <c r="M238" i="4"/>
  <c r="P224" i="4"/>
  <c r="V224" i="4"/>
  <c r="N210" i="4"/>
  <c r="K210" i="4"/>
  <c r="Z210" i="4" s="1"/>
  <c r="V168" i="4"/>
  <c r="L165" i="4"/>
  <c r="M122" i="4"/>
  <c r="K122" i="4"/>
  <c r="Z122" i="4" s="1"/>
  <c r="V97" i="4"/>
  <c r="E18" i="4"/>
  <c r="K18" i="4"/>
  <c r="Z18" i="4" s="1"/>
  <c r="L18" i="4"/>
  <c r="E698" i="4"/>
  <c r="L698" i="4"/>
  <c r="K698" i="4"/>
  <c r="Z698" i="4" s="1"/>
  <c r="K662" i="4"/>
  <c r="Z662" i="4" s="1"/>
  <c r="M662" i="4"/>
  <c r="E600" i="4"/>
  <c r="L600" i="4"/>
  <c r="K600" i="4"/>
  <c r="Z600" i="4" s="1"/>
  <c r="E593" i="4"/>
  <c r="L593" i="4"/>
  <c r="K593" i="4"/>
  <c r="Z593" i="4" s="1"/>
  <c r="E591" i="4"/>
  <c r="K583" i="4"/>
  <c r="Z583" i="4" s="1"/>
  <c r="L582" i="4"/>
  <c r="P578" i="4"/>
  <c r="V578" i="4"/>
  <c r="P577" i="4"/>
  <c r="V577" i="4"/>
  <c r="E559" i="4"/>
  <c r="K559" i="4"/>
  <c r="Z559" i="4" s="1"/>
  <c r="E558" i="4"/>
  <c r="K550" i="4"/>
  <c r="Z550" i="4" s="1"/>
  <c r="M550" i="4"/>
  <c r="L547" i="4"/>
  <c r="L546" i="4"/>
  <c r="K537" i="4"/>
  <c r="Z537" i="4" s="1"/>
  <c r="L534" i="4"/>
  <c r="E514" i="4"/>
  <c r="L514" i="4"/>
  <c r="K514" i="4"/>
  <c r="Z514" i="4" s="1"/>
  <c r="E509" i="4"/>
  <c r="L509" i="4"/>
  <c r="E500" i="4"/>
  <c r="L500" i="4"/>
  <c r="K500" i="4"/>
  <c r="Z500" i="4" s="1"/>
  <c r="E499" i="4"/>
  <c r="K499" i="4"/>
  <c r="Z499" i="4" s="1"/>
  <c r="L499" i="4"/>
  <c r="E483" i="4"/>
  <c r="L483" i="4"/>
  <c r="E481" i="4"/>
  <c r="U478" i="4"/>
  <c r="P475" i="4"/>
  <c r="V475" i="4"/>
  <c r="P472" i="4"/>
  <c r="E466" i="4"/>
  <c r="K466" i="4"/>
  <c r="Z466" i="4" s="1"/>
  <c r="K461" i="4"/>
  <c r="Z461" i="4" s="1"/>
  <c r="K420" i="4"/>
  <c r="Z420" i="4" s="1"/>
  <c r="L419" i="4"/>
  <c r="K418" i="4"/>
  <c r="Z418" i="4" s="1"/>
  <c r="K417" i="4"/>
  <c r="Z417" i="4" s="1"/>
  <c r="V401" i="4"/>
  <c r="U400" i="4"/>
  <c r="P353" i="4"/>
  <c r="U353" i="4"/>
  <c r="V353" i="4"/>
  <c r="K337" i="4"/>
  <c r="Z337" i="4" s="1"/>
  <c r="E336" i="4"/>
  <c r="K336" i="4"/>
  <c r="Z336" i="4" s="1"/>
  <c r="L336" i="4"/>
  <c r="M329" i="4"/>
  <c r="K291" i="4"/>
  <c r="Z291" i="4" s="1"/>
  <c r="M291" i="4"/>
  <c r="E278" i="4"/>
  <c r="L278" i="4"/>
  <c r="P257" i="4"/>
  <c r="U257" i="4"/>
  <c r="X227" i="4"/>
  <c r="U227" i="4"/>
  <c r="E219" i="4"/>
  <c r="K219" i="4"/>
  <c r="Z219" i="4" s="1"/>
  <c r="L189" i="4"/>
  <c r="E54" i="4"/>
  <c r="L54" i="4"/>
  <c r="K54" i="4"/>
  <c r="Z54" i="4" s="1"/>
  <c r="E48" i="4"/>
  <c r="K48" i="4"/>
  <c r="Z48" i="4" s="1"/>
  <c r="L48" i="4"/>
  <c r="E19" i="4"/>
  <c r="K19" i="4"/>
  <c r="Z19" i="4" s="1"/>
  <c r="K765" i="4"/>
  <c r="Z765" i="4" s="1"/>
  <c r="M765" i="4"/>
  <c r="U750" i="4"/>
  <c r="X750" i="4"/>
  <c r="P749" i="4"/>
  <c r="V749" i="4"/>
  <c r="X141" i="4"/>
  <c r="U141" i="4"/>
  <c r="E102" i="4"/>
  <c r="L102" i="4"/>
  <c r="K102" i="4"/>
  <c r="Z102" i="4" s="1"/>
  <c r="E93" i="4"/>
  <c r="L93" i="4"/>
  <c r="P595" i="4"/>
  <c r="P575" i="4"/>
  <c r="U574" i="4"/>
  <c r="P561" i="4"/>
  <c r="U561" i="4"/>
  <c r="E555" i="4"/>
  <c r="L555" i="4"/>
  <c r="E544" i="4"/>
  <c r="P515" i="4"/>
  <c r="U515" i="4"/>
  <c r="P494" i="4"/>
  <c r="U494" i="4"/>
  <c r="E473" i="4"/>
  <c r="E472" i="4"/>
  <c r="L472" i="4"/>
  <c r="E471" i="4"/>
  <c r="E469" i="4"/>
  <c r="K469" i="4"/>
  <c r="Z469" i="4" s="1"/>
  <c r="P403" i="4"/>
  <c r="V403" i="4"/>
  <c r="E357" i="4"/>
  <c r="K357" i="4"/>
  <c r="Z357" i="4" s="1"/>
  <c r="L357" i="4"/>
  <c r="P337" i="4"/>
  <c r="U337" i="4"/>
  <c r="V337" i="4"/>
  <c r="K332" i="4"/>
  <c r="Z332" i="4" s="1"/>
  <c r="M332" i="4"/>
  <c r="E293" i="4"/>
  <c r="L293" i="4"/>
  <c r="E283" i="4"/>
  <c r="K283" i="4"/>
  <c r="Z283" i="4" s="1"/>
  <c r="P272" i="4"/>
  <c r="U272" i="4"/>
  <c r="V272" i="4"/>
  <c r="P249" i="4"/>
  <c r="V249" i="4"/>
  <c r="E236" i="4"/>
  <c r="K236" i="4"/>
  <c r="Z236" i="4" s="1"/>
  <c r="E223" i="4"/>
  <c r="K223" i="4"/>
  <c r="Z223" i="4" s="1"/>
  <c r="P207" i="4"/>
  <c r="V207" i="4"/>
  <c r="U207" i="4"/>
  <c r="E179" i="4"/>
  <c r="L179" i="4"/>
  <c r="P165" i="4"/>
  <c r="U165" i="4"/>
  <c r="V165" i="4"/>
  <c r="U157" i="4"/>
  <c r="W149" i="4"/>
  <c r="U149" i="4"/>
  <c r="E663" i="4"/>
  <c r="L663" i="4"/>
  <c r="E533" i="4"/>
  <c r="K533" i="4"/>
  <c r="Z533" i="4" s="1"/>
  <c r="E529" i="4"/>
  <c r="L529" i="4"/>
  <c r="E476" i="4"/>
  <c r="E474" i="4"/>
  <c r="L474" i="4"/>
  <c r="K474" i="4"/>
  <c r="Z474" i="4" s="1"/>
  <c r="E425" i="4"/>
  <c r="K425" i="4"/>
  <c r="Z425" i="4" s="1"/>
  <c r="P412" i="4"/>
  <c r="E379" i="4"/>
  <c r="K379" i="4"/>
  <c r="Z379" i="4" s="1"/>
  <c r="P367" i="4"/>
  <c r="U367" i="4"/>
  <c r="V367" i="4"/>
  <c r="P363" i="4"/>
  <c r="U363" i="4"/>
  <c r="V363" i="4"/>
  <c r="E343" i="4"/>
  <c r="K343" i="4"/>
  <c r="Z343" i="4" s="1"/>
  <c r="P336" i="4"/>
  <c r="U336" i="4"/>
  <c r="P334" i="4"/>
  <c r="V334" i="4"/>
  <c r="U334" i="4"/>
  <c r="K331" i="4"/>
  <c r="Z331" i="4" s="1"/>
  <c r="M331" i="4"/>
  <c r="P303" i="4"/>
  <c r="V303" i="4"/>
  <c r="U303" i="4"/>
  <c r="P289" i="4"/>
  <c r="V289" i="4"/>
  <c r="U289" i="4"/>
  <c r="P261" i="4"/>
  <c r="V261" i="4"/>
  <c r="U261" i="4"/>
  <c r="E213" i="4"/>
  <c r="K213" i="4"/>
  <c r="Z213" i="4" s="1"/>
  <c r="P155" i="4"/>
  <c r="U155" i="4"/>
  <c r="V155" i="4"/>
  <c r="K79" i="4"/>
  <c r="Z79" i="4" s="1"/>
  <c r="M79" i="4"/>
  <c r="P751" i="4"/>
  <c r="V751" i="4"/>
  <c r="P737" i="4"/>
  <c r="V737" i="4"/>
  <c r="U737" i="4"/>
  <c r="P585" i="4"/>
  <c r="P597" i="4"/>
  <c r="V597" i="4"/>
  <c r="K589" i="4"/>
  <c r="Z589" i="4" s="1"/>
  <c r="E579" i="4"/>
  <c r="P572" i="4"/>
  <c r="U572" i="4"/>
  <c r="E567" i="4"/>
  <c r="P549" i="4"/>
  <c r="E543" i="4"/>
  <c r="L543" i="4"/>
  <c r="P511" i="4"/>
  <c r="V511" i="4"/>
  <c r="U511" i="4"/>
  <c r="E504" i="4"/>
  <c r="L504" i="4"/>
  <c r="E503" i="4"/>
  <c r="P422" i="4"/>
  <c r="V422" i="4"/>
  <c r="P413" i="4"/>
  <c r="U413" i="4"/>
  <c r="E410" i="4"/>
  <c r="L410" i="4"/>
  <c r="U405" i="4"/>
  <c r="W405" i="4"/>
  <c r="P369" i="4"/>
  <c r="V369" i="4"/>
  <c r="P368" i="4"/>
  <c r="V368" i="4"/>
  <c r="P288" i="4"/>
  <c r="V288" i="4"/>
  <c r="E266" i="4"/>
  <c r="E237" i="4"/>
  <c r="K237" i="4"/>
  <c r="Z237" i="4" s="1"/>
  <c r="E224" i="4"/>
  <c r="K224" i="4"/>
  <c r="Z224" i="4" s="1"/>
  <c r="E215" i="4"/>
  <c r="K215" i="4"/>
  <c r="Z215" i="4" s="1"/>
  <c r="L215" i="4"/>
  <c r="X208" i="4"/>
  <c r="U208" i="4"/>
  <c r="P196" i="4"/>
  <c r="W196" i="4"/>
  <c r="E184" i="4"/>
  <c r="L184" i="4"/>
  <c r="P172" i="4"/>
  <c r="U172" i="4"/>
  <c r="V172" i="4"/>
  <c r="P136" i="4"/>
  <c r="V136" i="4"/>
  <c r="U136" i="4"/>
  <c r="E658" i="4"/>
  <c r="L658" i="4"/>
  <c r="U584" i="4"/>
  <c r="W584" i="4"/>
  <c r="P573" i="4"/>
  <c r="U573" i="4"/>
  <c r="P596" i="4"/>
  <c r="V596" i="4"/>
  <c r="P594" i="4"/>
  <c r="P571" i="4"/>
  <c r="U571" i="4"/>
  <c r="E566" i="4"/>
  <c r="L566" i="4"/>
  <c r="P537" i="4"/>
  <c r="U537" i="4"/>
  <c r="E523" i="4"/>
  <c r="L523" i="4"/>
  <c r="K523" i="4"/>
  <c r="Z523" i="4" s="1"/>
  <c r="E522" i="4"/>
  <c r="E521" i="4"/>
  <c r="P514" i="4"/>
  <c r="P512" i="4"/>
  <c r="U512" i="4"/>
  <c r="V512" i="4"/>
  <c r="E445" i="4"/>
  <c r="K445" i="4"/>
  <c r="Z445" i="4" s="1"/>
  <c r="P437" i="4"/>
  <c r="V437" i="4"/>
  <c r="E429" i="4"/>
  <c r="L429" i="4"/>
  <c r="P421" i="4"/>
  <c r="U421" i="4"/>
  <c r="E384" i="4"/>
  <c r="K384" i="4"/>
  <c r="Z384" i="4" s="1"/>
  <c r="E358" i="4"/>
  <c r="L358" i="4"/>
  <c r="K358" i="4"/>
  <c r="Z358" i="4" s="1"/>
  <c r="E333" i="4"/>
  <c r="L333" i="4"/>
  <c r="P304" i="4"/>
  <c r="U304" i="4"/>
  <c r="U264" i="4"/>
  <c r="X264" i="4"/>
  <c r="K243" i="4"/>
  <c r="Z243" i="4" s="1"/>
  <c r="U219" i="4"/>
  <c r="X219" i="4"/>
  <c r="P190" i="4"/>
  <c r="U190" i="4"/>
  <c r="P485" i="4"/>
  <c r="U485" i="4"/>
  <c r="P478" i="4"/>
  <c r="U477" i="4"/>
  <c r="P459" i="4"/>
  <c r="V459" i="4"/>
  <c r="U459" i="4"/>
  <c r="P458" i="4"/>
  <c r="K423" i="4"/>
  <c r="Z423" i="4" s="1"/>
  <c r="N423" i="4"/>
  <c r="P404" i="4"/>
  <c r="U404" i="4"/>
  <c r="V404" i="4"/>
  <c r="P397" i="4"/>
  <c r="U397" i="4"/>
  <c r="V397" i="4"/>
  <c r="P396" i="4"/>
  <c r="V396" i="4"/>
  <c r="P390" i="4"/>
  <c r="U390" i="4"/>
  <c r="E370" i="4"/>
  <c r="K370" i="4"/>
  <c r="Z370" i="4" s="1"/>
  <c r="P350" i="4"/>
  <c r="V350" i="4"/>
  <c r="P349" i="4"/>
  <c r="U349" i="4"/>
  <c r="V349" i="4"/>
  <c r="P347" i="4"/>
  <c r="U347" i="4"/>
  <c r="P312" i="4"/>
  <c r="V312" i="4"/>
  <c r="P306" i="4"/>
  <c r="U306" i="4"/>
  <c r="E297" i="4"/>
  <c r="K297" i="4"/>
  <c r="Z297" i="4" s="1"/>
  <c r="L297" i="4"/>
  <c r="E295" i="4"/>
  <c r="L295" i="4"/>
  <c r="E247" i="4"/>
  <c r="K247" i="4"/>
  <c r="Z247" i="4" s="1"/>
  <c r="L247" i="4"/>
  <c r="P225" i="4"/>
  <c r="V225" i="4"/>
  <c r="U225" i="4"/>
  <c r="W180" i="4"/>
  <c r="U180" i="4"/>
  <c r="E176" i="4"/>
  <c r="K176" i="4"/>
  <c r="Z176" i="4" s="1"/>
  <c r="L176" i="4"/>
  <c r="P147" i="4"/>
  <c r="U147" i="4"/>
  <c r="V147" i="4"/>
  <c r="E104" i="4"/>
  <c r="L104" i="4"/>
  <c r="K104" i="4"/>
  <c r="Z104" i="4" s="1"/>
  <c r="E43" i="4"/>
  <c r="K43" i="4"/>
  <c r="Z43" i="4" s="1"/>
  <c r="L43" i="4"/>
  <c r="U769" i="4"/>
  <c r="W769" i="4"/>
  <c r="U751" i="4"/>
  <c r="W751" i="4"/>
  <c r="W724" i="4"/>
  <c r="U724" i="4"/>
  <c r="P569" i="4"/>
  <c r="E532" i="4"/>
  <c r="L532" i="4"/>
  <c r="P516" i="4"/>
  <c r="E513" i="4"/>
  <c r="P509" i="4"/>
  <c r="P493" i="4"/>
  <c r="E489" i="4"/>
  <c r="P484" i="4"/>
  <c r="E468" i="4"/>
  <c r="K468" i="4"/>
  <c r="Z468" i="4" s="1"/>
  <c r="P449" i="4"/>
  <c r="V449" i="4"/>
  <c r="V445" i="4"/>
  <c r="U445" i="4"/>
  <c r="P441" i="4"/>
  <c r="U434" i="4"/>
  <c r="K428" i="4"/>
  <c r="Z428" i="4" s="1"/>
  <c r="N428" i="4"/>
  <c r="E422" i="4"/>
  <c r="E416" i="4"/>
  <c r="P386" i="4"/>
  <c r="V386" i="4"/>
  <c r="P383" i="4"/>
  <c r="U383" i="4"/>
  <c r="E368" i="4"/>
  <c r="L368" i="4"/>
  <c r="E367" i="4"/>
  <c r="L367" i="4"/>
  <c r="E363" i="4"/>
  <c r="K363" i="4"/>
  <c r="Z363" i="4" s="1"/>
  <c r="P346" i="4"/>
  <c r="U331" i="4"/>
  <c r="U329" i="4"/>
  <c r="X329" i="4"/>
  <c r="P309" i="4"/>
  <c r="U309" i="4"/>
  <c r="E301" i="4"/>
  <c r="L301" i="4"/>
  <c r="P290" i="4"/>
  <c r="V290" i="4"/>
  <c r="U290" i="4"/>
  <c r="U217" i="4"/>
  <c r="X217" i="4"/>
  <c r="E177" i="4"/>
  <c r="K177" i="4"/>
  <c r="Z177" i="4" s="1"/>
  <c r="L177" i="4"/>
  <c r="E151" i="4"/>
  <c r="K151" i="4"/>
  <c r="Z151" i="4" s="1"/>
  <c r="L151" i="4"/>
  <c r="E145" i="4"/>
  <c r="L145" i="4"/>
  <c r="E89" i="4"/>
  <c r="K89" i="4"/>
  <c r="Z89" i="4" s="1"/>
  <c r="L89" i="4"/>
  <c r="U76" i="4"/>
  <c r="W76" i="4"/>
  <c r="M4" i="4"/>
  <c r="K4" i="4"/>
  <c r="Z4" i="4" s="1"/>
  <c r="U725" i="4"/>
  <c r="W725" i="4"/>
  <c r="E589" i="4"/>
  <c r="P580" i="4"/>
  <c r="P567" i="4"/>
  <c r="U567" i="4"/>
  <c r="E564" i="4"/>
  <c r="L564" i="4"/>
  <c r="P534" i="4"/>
  <c r="P499" i="4"/>
  <c r="P490" i="4"/>
  <c r="E439" i="4"/>
  <c r="E426" i="4"/>
  <c r="K426" i="4"/>
  <c r="Z426" i="4" s="1"/>
  <c r="E399" i="4"/>
  <c r="K399" i="4"/>
  <c r="Z399" i="4" s="1"/>
  <c r="P381" i="4"/>
  <c r="P376" i="4"/>
  <c r="V376" i="4"/>
  <c r="P373" i="4"/>
  <c r="U373" i="4"/>
  <c r="E352" i="4"/>
  <c r="K352" i="4"/>
  <c r="Z352" i="4" s="1"/>
  <c r="P322" i="4"/>
  <c r="U322" i="4"/>
  <c r="V322" i="4"/>
  <c r="P319" i="4"/>
  <c r="U319" i="4"/>
  <c r="P318" i="4"/>
  <c r="U318" i="4"/>
  <c r="P317" i="4"/>
  <c r="U317" i="4"/>
  <c r="E306" i="4"/>
  <c r="K306" i="4"/>
  <c r="Z306" i="4" s="1"/>
  <c r="L306" i="4"/>
  <c r="P294" i="4"/>
  <c r="U294" i="4"/>
  <c r="P292" i="4"/>
  <c r="U292" i="4"/>
  <c r="V292" i="4"/>
  <c r="E284" i="4"/>
  <c r="K284" i="4"/>
  <c r="Z284" i="4" s="1"/>
  <c r="E274" i="4"/>
  <c r="U268" i="4"/>
  <c r="P266" i="4"/>
  <c r="U266" i="4"/>
  <c r="V266" i="4"/>
  <c r="P245" i="4"/>
  <c r="V245" i="4"/>
  <c r="M230" i="4"/>
  <c r="K230" i="4"/>
  <c r="Z230" i="4" s="1"/>
  <c r="E227" i="4"/>
  <c r="K227" i="4"/>
  <c r="Z227" i="4" s="1"/>
  <c r="E225" i="4"/>
  <c r="K225" i="4"/>
  <c r="Z225" i="4" s="1"/>
  <c r="L225" i="4"/>
  <c r="E162" i="4"/>
  <c r="K162" i="4"/>
  <c r="Z162" i="4" s="1"/>
  <c r="L162" i="4"/>
  <c r="P119" i="4"/>
  <c r="U119" i="4"/>
  <c r="V119" i="4"/>
  <c r="U88" i="4"/>
  <c r="X88" i="4"/>
  <c r="E750" i="4"/>
  <c r="K750" i="4"/>
  <c r="Z750" i="4" s="1"/>
  <c r="L750" i="4"/>
  <c r="U689" i="4"/>
  <c r="X689" i="4"/>
  <c r="P667" i="4"/>
  <c r="V667" i="4"/>
  <c r="U667" i="4"/>
  <c r="P598" i="4"/>
  <c r="E588" i="4"/>
  <c r="P560" i="4"/>
  <c r="E557" i="4"/>
  <c r="L557" i="4"/>
  <c r="E551" i="4"/>
  <c r="P548" i="4"/>
  <c r="E537" i="4"/>
  <c r="E525" i="4"/>
  <c r="K525" i="4"/>
  <c r="Z525" i="4" s="1"/>
  <c r="P498" i="4"/>
  <c r="E494" i="4"/>
  <c r="K493" i="4"/>
  <c r="Z493" i="4" s="1"/>
  <c r="M493" i="4"/>
  <c r="E486" i="4"/>
  <c r="E477" i="4"/>
  <c r="E460" i="4"/>
  <c r="K454" i="4"/>
  <c r="Z454" i="4" s="1"/>
  <c r="U422" i="4"/>
  <c r="X422" i="4"/>
  <c r="U417" i="4"/>
  <c r="P411" i="4"/>
  <c r="E393" i="4"/>
  <c r="K393" i="4"/>
  <c r="Z393" i="4" s="1"/>
  <c r="L393" i="4"/>
  <c r="E392" i="4"/>
  <c r="L392" i="4"/>
  <c r="E390" i="4"/>
  <c r="E350" i="4"/>
  <c r="E349" i="4"/>
  <c r="L349" i="4"/>
  <c r="P325" i="4"/>
  <c r="P323" i="4"/>
  <c r="U323" i="4"/>
  <c r="V323" i="4"/>
  <c r="P295" i="4"/>
  <c r="U295" i="4"/>
  <c r="V295" i="4"/>
  <c r="E277" i="4"/>
  <c r="K277" i="4"/>
  <c r="Z277" i="4" s="1"/>
  <c r="P271" i="4"/>
  <c r="U271" i="4"/>
  <c r="V271" i="4"/>
  <c r="P254" i="4"/>
  <c r="V254" i="4"/>
  <c r="P246" i="4"/>
  <c r="U246" i="4"/>
  <c r="V246" i="4"/>
  <c r="P221" i="4"/>
  <c r="U221" i="4"/>
  <c r="V221" i="4"/>
  <c r="E216" i="4"/>
  <c r="K216" i="4"/>
  <c r="Z216" i="4" s="1"/>
  <c r="L216" i="4"/>
  <c r="K201" i="4"/>
  <c r="Z201" i="4" s="1"/>
  <c r="E191" i="4"/>
  <c r="L191" i="4"/>
  <c r="P166" i="4"/>
  <c r="U166" i="4"/>
  <c r="V166" i="4"/>
  <c r="M118" i="4"/>
  <c r="K118" i="4"/>
  <c r="Z118" i="4" s="1"/>
  <c r="P96" i="4"/>
  <c r="V96" i="4"/>
  <c r="P95" i="4"/>
  <c r="U95" i="4"/>
  <c r="P56" i="4"/>
  <c r="U56" i="4"/>
  <c r="E25" i="4"/>
  <c r="K25" i="4"/>
  <c r="Z25" i="4" s="1"/>
  <c r="L25" i="4"/>
  <c r="P721" i="4"/>
  <c r="U721" i="4"/>
  <c r="V721" i="4"/>
  <c r="E172" i="4"/>
  <c r="L172" i="4"/>
  <c r="K172" i="4"/>
  <c r="Z172" i="4" s="1"/>
  <c r="E163" i="4"/>
  <c r="L163" i="4"/>
  <c r="E147" i="4"/>
  <c r="L147" i="4"/>
  <c r="K147" i="4"/>
  <c r="Z147" i="4" s="1"/>
  <c r="P130" i="4"/>
  <c r="U130" i="4"/>
  <c r="U50" i="4"/>
  <c r="W50" i="4"/>
  <c r="E20" i="4"/>
  <c r="L20" i="4"/>
  <c r="K20" i="4"/>
  <c r="Z20" i="4" s="1"/>
  <c r="P4" i="4"/>
  <c r="U4" i="4"/>
  <c r="V4" i="4"/>
  <c r="E753" i="4"/>
  <c r="K753" i="4"/>
  <c r="Z753" i="4" s="1"/>
  <c r="L753" i="4"/>
  <c r="U729" i="4"/>
  <c r="W729" i="4"/>
  <c r="P473" i="4"/>
  <c r="P465" i="4"/>
  <c r="E458" i="4"/>
  <c r="P454" i="4"/>
  <c r="U454" i="4"/>
  <c r="P450" i="4"/>
  <c r="P435" i="4"/>
  <c r="E421" i="4"/>
  <c r="E420" i="4"/>
  <c r="E407" i="4"/>
  <c r="E406" i="4"/>
  <c r="E405" i="4"/>
  <c r="E403" i="4"/>
  <c r="E376" i="4"/>
  <c r="L376" i="4"/>
  <c r="K376" i="4"/>
  <c r="Z376" i="4" s="1"/>
  <c r="E375" i="4"/>
  <c r="K375" i="4"/>
  <c r="Z375" i="4" s="1"/>
  <c r="L375" i="4"/>
  <c r="P370" i="4"/>
  <c r="P355" i="4"/>
  <c r="U355" i="4"/>
  <c r="P354" i="4"/>
  <c r="U354" i="4"/>
  <c r="E348" i="4"/>
  <c r="K348" i="4"/>
  <c r="Z348" i="4" s="1"/>
  <c r="P326" i="4"/>
  <c r="E317" i="4"/>
  <c r="K317" i="4"/>
  <c r="Z317" i="4" s="1"/>
  <c r="P274" i="4"/>
  <c r="U274" i="4"/>
  <c r="V274" i="4"/>
  <c r="P260" i="4"/>
  <c r="U260" i="4"/>
  <c r="V260" i="4"/>
  <c r="P248" i="4"/>
  <c r="P238" i="4"/>
  <c r="V238" i="4"/>
  <c r="W236" i="4"/>
  <c r="U236" i="4"/>
  <c r="P235" i="4"/>
  <c r="V235" i="4"/>
  <c r="U235" i="4"/>
  <c r="E221" i="4"/>
  <c r="K221" i="4"/>
  <c r="Z221" i="4" s="1"/>
  <c r="P208" i="4"/>
  <c r="V208" i="4"/>
  <c r="P205" i="4"/>
  <c r="U205" i="4"/>
  <c r="E188" i="4"/>
  <c r="L188" i="4"/>
  <c r="P169" i="4"/>
  <c r="V169" i="4"/>
  <c r="E164" i="4"/>
  <c r="K164" i="4"/>
  <c r="Z164" i="4" s="1"/>
  <c r="L164" i="4"/>
  <c r="M69" i="4"/>
  <c r="K69" i="4"/>
  <c r="Z69" i="4" s="1"/>
  <c r="E21" i="4"/>
  <c r="L21" i="4"/>
  <c r="K21" i="4"/>
  <c r="Z21" i="4" s="1"/>
  <c r="P16" i="4"/>
  <c r="V16" i="4"/>
  <c r="U16" i="4"/>
  <c r="U749" i="4"/>
  <c r="W749" i="4"/>
  <c r="P662" i="4"/>
  <c r="V662" i="4"/>
  <c r="E598" i="4"/>
  <c r="E592" i="4"/>
  <c r="P589" i="4"/>
  <c r="P584" i="4"/>
  <c r="E571" i="4"/>
  <c r="P568" i="4"/>
  <c r="E550" i="4"/>
  <c r="P542" i="4"/>
  <c r="E516" i="4"/>
  <c r="P508" i="4"/>
  <c r="E490" i="4"/>
  <c r="P482" i="4"/>
  <c r="P471" i="4"/>
  <c r="U471" i="4"/>
  <c r="E456" i="4"/>
  <c r="L456" i="4"/>
  <c r="E442" i="4"/>
  <c r="E412" i="4"/>
  <c r="L412" i="4"/>
  <c r="E386" i="4"/>
  <c r="E385" i="4"/>
  <c r="L385" i="4"/>
  <c r="P379" i="4"/>
  <c r="U379" i="4"/>
  <c r="V379" i="4"/>
  <c r="P378" i="4"/>
  <c r="V378" i="4"/>
  <c r="E332" i="4"/>
  <c r="E330" i="4"/>
  <c r="K330" i="4"/>
  <c r="Z330" i="4" s="1"/>
  <c r="P320" i="4"/>
  <c r="E310" i="4"/>
  <c r="E309" i="4"/>
  <c r="K309" i="4"/>
  <c r="Z309" i="4" s="1"/>
  <c r="E307" i="4"/>
  <c r="K307" i="4"/>
  <c r="Z307" i="4" s="1"/>
  <c r="L307" i="4"/>
  <c r="P264" i="4"/>
  <c r="V264" i="4"/>
  <c r="P262" i="4"/>
  <c r="V262" i="4"/>
  <c r="E258" i="4"/>
  <c r="E254" i="4"/>
  <c r="K254" i="4"/>
  <c r="Z254" i="4" s="1"/>
  <c r="L254" i="4"/>
  <c r="E233" i="4"/>
  <c r="E230" i="4"/>
  <c r="L230" i="4"/>
  <c r="E229" i="4"/>
  <c r="K229" i="4"/>
  <c r="Z229" i="4" s="1"/>
  <c r="U196" i="4"/>
  <c r="V196" i="4"/>
  <c r="P195" i="4"/>
  <c r="V195" i="4"/>
  <c r="E180" i="4"/>
  <c r="K180" i="4"/>
  <c r="Z180" i="4" s="1"/>
  <c r="L180" i="4"/>
  <c r="M167" i="4"/>
  <c r="K167" i="4"/>
  <c r="Z167" i="4" s="1"/>
  <c r="P161" i="4"/>
  <c r="V161" i="4"/>
  <c r="U161" i="4"/>
  <c r="P151" i="4"/>
  <c r="U151" i="4"/>
  <c r="V151" i="4"/>
  <c r="P115" i="4"/>
  <c r="V115" i="4"/>
  <c r="U115" i="4"/>
  <c r="N90" i="4"/>
  <c r="K90" i="4"/>
  <c r="Z90" i="4" s="1"/>
  <c r="P67" i="4"/>
  <c r="V67" i="4"/>
  <c r="U67" i="4"/>
  <c r="M716" i="4"/>
  <c r="K716" i="4"/>
  <c r="Z716" i="4" s="1"/>
  <c r="U711" i="4"/>
  <c r="W711" i="4"/>
  <c r="E539" i="4"/>
  <c r="L539" i="4"/>
  <c r="P536" i="4"/>
  <c r="P531" i="4"/>
  <c r="E526" i="4"/>
  <c r="P518" i="4"/>
  <c r="E505" i="4"/>
  <c r="L505" i="4"/>
  <c r="P502" i="4"/>
  <c r="P497" i="4"/>
  <c r="E479" i="4"/>
  <c r="P476" i="4"/>
  <c r="U476" i="4"/>
  <c r="E455" i="4"/>
  <c r="L455" i="4"/>
  <c r="E453" i="4"/>
  <c r="P445" i="4"/>
  <c r="E413" i="4"/>
  <c r="K413" i="4"/>
  <c r="Z413" i="4" s="1"/>
  <c r="U403" i="4"/>
  <c r="X403" i="4"/>
  <c r="E398" i="4"/>
  <c r="P377" i="4"/>
  <c r="V377" i="4"/>
  <c r="P364" i="4"/>
  <c r="E356" i="4"/>
  <c r="E344" i="4"/>
  <c r="E279" i="4"/>
  <c r="K279" i="4"/>
  <c r="Z279" i="4" s="1"/>
  <c r="L279" i="4"/>
  <c r="P265" i="4"/>
  <c r="V265" i="4"/>
  <c r="E245" i="4"/>
  <c r="K245" i="4"/>
  <c r="Z245" i="4" s="1"/>
  <c r="E238" i="4"/>
  <c r="L238" i="4"/>
  <c r="E235" i="4"/>
  <c r="P218" i="4"/>
  <c r="U218" i="4"/>
  <c r="V218" i="4"/>
  <c r="K208" i="4"/>
  <c r="Z208" i="4" s="1"/>
  <c r="W187" i="4"/>
  <c r="U187" i="4"/>
  <c r="E168" i="4"/>
  <c r="L168" i="4"/>
  <c r="E150" i="4"/>
  <c r="L150" i="4"/>
  <c r="E136" i="4"/>
  <c r="L136" i="4"/>
  <c r="K136" i="4"/>
  <c r="Z136" i="4" s="1"/>
  <c r="P73" i="4"/>
  <c r="V73" i="4"/>
  <c r="P44" i="4"/>
  <c r="U44" i="4"/>
  <c r="P671" i="4"/>
  <c r="U671" i="4"/>
  <c r="V671" i="4"/>
  <c r="P664" i="4"/>
  <c r="V664" i="4"/>
  <c r="E402" i="4"/>
  <c r="E396" i="4"/>
  <c r="E378" i="4"/>
  <c r="E360" i="4"/>
  <c r="E342" i="4"/>
  <c r="E329" i="4"/>
  <c r="P316" i="4"/>
  <c r="V316" i="4"/>
  <c r="E287" i="4"/>
  <c r="K287" i="4"/>
  <c r="Z287" i="4" s="1"/>
  <c r="P280" i="4"/>
  <c r="E270" i="4"/>
  <c r="P232" i="4"/>
  <c r="U232" i="4"/>
  <c r="E209" i="4"/>
  <c r="E205" i="4"/>
  <c r="K205" i="4"/>
  <c r="Z205" i="4" s="1"/>
  <c r="K188" i="4"/>
  <c r="Z188" i="4" s="1"/>
  <c r="E186" i="4"/>
  <c r="L186" i="4"/>
  <c r="K186" i="4"/>
  <c r="Z186" i="4" s="1"/>
  <c r="P152" i="4"/>
  <c r="U152" i="4"/>
  <c r="V152" i="4"/>
  <c r="E141" i="4"/>
  <c r="K141" i="4"/>
  <c r="Z141" i="4" s="1"/>
  <c r="P28" i="4"/>
  <c r="V28" i="4"/>
  <c r="P592" i="4"/>
  <c r="E590" i="4"/>
  <c r="P583" i="4"/>
  <c r="E581" i="4"/>
  <c r="P574" i="4"/>
  <c r="E572" i="4"/>
  <c r="P565" i="4"/>
  <c r="E563" i="4"/>
  <c r="P556" i="4"/>
  <c r="E554" i="4"/>
  <c r="P547" i="4"/>
  <c r="E545" i="4"/>
  <c r="P538" i="4"/>
  <c r="E536" i="4"/>
  <c r="P522" i="4"/>
  <c r="E520" i="4"/>
  <c r="P513" i="4"/>
  <c r="E511" i="4"/>
  <c r="P504" i="4"/>
  <c r="E502" i="4"/>
  <c r="P495" i="4"/>
  <c r="E493" i="4"/>
  <c r="P486" i="4"/>
  <c r="E484" i="4"/>
  <c r="P477" i="4"/>
  <c r="E475" i="4"/>
  <c r="E465" i="4"/>
  <c r="U452" i="4"/>
  <c r="P444" i="4"/>
  <c r="E428" i="4"/>
  <c r="L428" i="4"/>
  <c r="E415" i="4"/>
  <c r="P407" i="4"/>
  <c r="U407" i="4"/>
  <c r="P392" i="4"/>
  <c r="U392" i="4"/>
  <c r="E383" i="4"/>
  <c r="P374" i="4"/>
  <c r="U374" i="4"/>
  <c r="E365" i="4"/>
  <c r="P356" i="4"/>
  <c r="U356" i="4"/>
  <c r="E347" i="4"/>
  <c r="P338" i="4"/>
  <c r="U338" i="4"/>
  <c r="E328" i="4"/>
  <c r="P324" i="4"/>
  <c r="P302" i="4"/>
  <c r="P298" i="4"/>
  <c r="V298" i="4"/>
  <c r="U298" i="4"/>
  <c r="E288" i="4"/>
  <c r="K288" i="4"/>
  <c r="Z288" i="4" s="1"/>
  <c r="L288" i="4"/>
  <c r="E268" i="4"/>
  <c r="L268" i="4"/>
  <c r="E257" i="4"/>
  <c r="L257" i="4"/>
  <c r="E256" i="4"/>
  <c r="K256" i="4"/>
  <c r="Z256" i="4" s="1"/>
  <c r="E249" i="4"/>
  <c r="K249" i="4"/>
  <c r="Z249" i="4" s="1"/>
  <c r="P233" i="4"/>
  <c r="U233" i="4"/>
  <c r="V233" i="4"/>
  <c r="E212" i="4"/>
  <c r="K212" i="4"/>
  <c r="Z212" i="4" s="1"/>
  <c r="L212" i="4"/>
  <c r="E206" i="4"/>
  <c r="U198" i="4"/>
  <c r="X198" i="4"/>
  <c r="E185" i="4"/>
  <c r="K185" i="4"/>
  <c r="Z185" i="4" s="1"/>
  <c r="E183" i="4"/>
  <c r="K183" i="4"/>
  <c r="Z183" i="4" s="1"/>
  <c r="L183" i="4"/>
  <c r="P174" i="4"/>
  <c r="V174" i="4"/>
  <c r="P173" i="4"/>
  <c r="V173" i="4"/>
  <c r="P64" i="4"/>
  <c r="U64" i="4"/>
  <c r="V64" i="4"/>
  <c r="P54" i="4"/>
  <c r="V54" i="4"/>
  <c r="E52" i="4"/>
  <c r="K52" i="4"/>
  <c r="Z52" i="4" s="1"/>
  <c r="L52" i="4"/>
  <c r="P32" i="4"/>
  <c r="U32" i="4"/>
  <c r="V32" i="4"/>
  <c r="P738" i="4"/>
  <c r="U738" i="4"/>
  <c r="P726" i="4"/>
  <c r="V726" i="4"/>
  <c r="E682" i="4"/>
  <c r="K682" i="4"/>
  <c r="Z682" i="4" s="1"/>
  <c r="L682" i="4"/>
  <c r="P679" i="4"/>
  <c r="V679" i="4"/>
  <c r="U679" i="4"/>
  <c r="K643" i="4"/>
  <c r="Z643" i="4" s="1"/>
  <c r="M643" i="4"/>
  <c r="E470" i="4"/>
  <c r="P467" i="4"/>
  <c r="P452" i="4"/>
  <c r="P451" i="4"/>
  <c r="E447" i="4"/>
  <c r="P443" i="4"/>
  <c r="E437" i="4"/>
  <c r="E427" i="4"/>
  <c r="E414" i="4"/>
  <c r="P405" i="4"/>
  <c r="K400" i="4"/>
  <c r="Z400" i="4" s="1"/>
  <c r="E395" i="4"/>
  <c r="E377" i="4"/>
  <c r="E359" i="4"/>
  <c r="E341" i="4"/>
  <c r="E308" i="4"/>
  <c r="P297" i="4"/>
  <c r="P277" i="4"/>
  <c r="U277" i="4"/>
  <c r="V277" i="4"/>
  <c r="P276" i="4"/>
  <c r="U276" i="4"/>
  <c r="P230" i="4"/>
  <c r="P228" i="4"/>
  <c r="U228" i="4"/>
  <c r="V228" i="4"/>
  <c r="U200" i="4"/>
  <c r="P198" i="4"/>
  <c r="V198" i="4"/>
  <c r="M192" i="4"/>
  <c r="K192" i="4"/>
  <c r="Z192" i="4" s="1"/>
  <c r="E171" i="4"/>
  <c r="K171" i="4"/>
  <c r="Z171" i="4" s="1"/>
  <c r="L171" i="4"/>
  <c r="P153" i="4"/>
  <c r="V153" i="4"/>
  <c r="U153" i="4"/>
  <c r="E128" i="4"/>
  <c r="K128" i="4"/>
  <c r="Z128" i="4" s="1"/>
  <c r="L128" i="4"/>
  <c r="P84" i="4"/>
  <c r="U84" i="4"/>
  <c r="V84" i="4"/>
  <c r="P70" i="4"/>
  <c r="U70" i="4"/>
  <c r="P13" i="4"/>
  <c r="U13" i="4"/>
  <c r="V13" i="4"/>
  <c r="M731" i="4"/>
  <c r="K731" i="4"/>
  <c r="Z731" i="4" s="1"/>
  <c r="W626" i="4"/>
  <c r="U626" i="4"/>
  <c r="P625" i="4"/>
  <c r="V625" i="4"/>
  <c r="U625" i="4"/>
  <c r="E613" i="4"/>
  <c r="L613" i="4"/>
  <c r="E423" i="4"/>
  <c r="P419" i="4"/>
  <c r="E400" i="4"/>
  <c r="P393" i="4"/>
  <c r="E391" i="4"/>
  <c r="P384" i="4"/>
  <c r="E382" i="4"/>
  <c r="P375" i="4"/>
  <c r="E373" i="4"/>
  <c r="P366" i="4"/>
  <c r="E364" i="4"/>
  <c r="P357" i="4"/>
  <c r="E355" i="4"/>
  <c r="P348" i="4"/>
  <c r="E346" i="4"/>
  <c r="P339" i="4"/>
  <c r="E337" i="4"/>
  <c r="E316" i="4"/>
  <c r="E273" i="4"/>
  <c r="K273" i="4"/>
  <c r="Z273" i="4" s="1"/>
  <c r="E272" i="4"/>
  <c r="K272" i="4"/>
  <c r="Z272" i="4" s="1"/>
  <c r="K265" i="4"/>
  <c r="Z265" i="4" s="1"/>
  <c r="P241" i="4"/>
  <c r="E228" i="4"/>
  <c r="L228" i="4"/>
  <c r="P216" i="4"/>
  <c r="V216" i="4"/>
  <c r="P215" i="4"/>
  <c r="V215" i="4"/>
  <c r="P214" i="4"/>
  <c r="U192" i="4"/>
  <c r="P175" i="4"/>
  <c r="U175" i="4"/>
  <c r="P150" i="4"/>
  <c r="U150" i="4"/>
  <c r="E148" i="4"/>
  <c r="K148" i="4"/>
  <c r="Z148" i="4" s="1"/>
  <c r="L148" i="4"/>
  <c r="U132" i="4"/>
  <c r="X132" i="4"/>
  <c r="E120" i="4"/>
  <c r="K120" i="4"/>
  <c r="Z120" i="4" s="1"/>
  <c r="L120" i="4"/>
  <c r="P75" i="4"/>
  <c r="U75" i="4"/>
  <c r="V75" i="4"/>
  <c r="P74" i="4"/>
  <c r="M70" i="4"/>
  <c r="K70" i="4"/>
  <c r="Z70" i="4" s="1"/>
  <c r="E64" i="4"/>
  <c r="K64" i="4"/>
  <c r="Z64" i="4" s="1"/>
  <c r="L64" i="4"/>
  <c r="P58" i="4"/>
  <c r="V58" i="4"/>
  <c r="U58" i="4"/>
  <c r="P705" i="4"/>
  <c r="V705" i="4"/>
  <c r="U705" i="4"/>
  <c r="N670" i="4"/>
  <c r="K670" i="4"/>
  <c r="Z670" i="4" s="1"/>
  <c r="E605" i="4"/>
  <c r="L605" i="4"/>
  <c r="P455" i="4"/>
  <c r="E436" i="4"/>
  <c r="P417" i="4"/>
  <c r="P408" i="4"/>
  <c r="E331" i="4"/>
  <c r="E326" i="4"/>
  <c r="E314" i="4"/>
  <c r="K314" i="4"/>
  <c r="Z314" i="4" s="1"/>
  <c r="E262" i="4"/>
  <c r="K261" i="4"/>
  <c r="Z261" i="4" s="1"/>
  <c r="P252" i="4"/>
  <c r="V252" i="4"/>
  <c r="P251" i="4"/>
  <c r="V251" i="4"/>
  <c r="P236" i="4"/>
  <c r="V236" i="4"/>
  <c r="P206" i="4"/>
  <c r="P204" i="4"/>
  <c r="V204" i="4"/>
  <c r="P197" i="4"/>
  <c r="P193" i="4"/>
  <c r="V193" i="4"/>
  <c r="P186" i="4"/>
  <c r="U186" i="4"/>
  <c r="P164" i="4"/>
  <c r="V164" i="4"/>
  <c r="P118" i="4"/>
  <c r="V118" i="4"/>
  <c r="E116" i="4"/>
  <c r="K116" i="4"/>
  <c r="Z116" i="4" s="1"/>
  <c r="E105" i="4"/>
  <c r="L105" i="4"/>
  <c r="K105" i="4"/>
  <c r="Z105" i="4" s="1"/>
  <c r="W53" i="4"/>
  <c r="U53" i="4"/>
  <c r="P35" i="4"/>
  <c r="U35" i="4"/>
  <c r="V35" i="4"/>
  <c r="U26" i="4"/>
  <c r="W26" i="4"/>
  <c r="E22" i="4"/>
  <c r="L22" i="4"/>
  <c r="K22" i="4"/>
  <c r="Z22" i="4" s="1"/>
  <c r="X743" i="4"/>
  <c r="U743" i="4"/>
  <c r="U736" i="4"/>
  <c r="X736" i="4"/>
  <c r="K714" i="4"/>
  <c r="Z714" i="4" s="1"/>
  <c r="M714" i="4"/>
  <c r="E686" i="4"/>
  <c r="K686" i="4"/>
  <c r="Z686" i="4" s="1"/>
  <c r="L686" i="4"/>
  <c r="M697" i="4"/>
  <c r="K697" i="4"/>
  <c r="Z697" i="4" s="1"/>
  <c r="E688" i="4"/>
  <c r="L688" i="4"/>
  <c r="P646" i="4"/>
  <c r="V646" i="4"/>
  <c r="E608" i="4"/>
  <c r="K608" i="4"/>
  <c r="Z608" i="4" s="1"/>
  <c r="L608" i="4"/>
  <c r="E290" i="4"/>
  <c r="P286" i="4"/>
  <c r="U286" i="4"/>
  <c r="P227" i="4"/>
  <c r="P213" i="4"/>
  <c r="K199" i="4"/>
  <c r="Z199" i="4" s="1"/>
  <c r="P181" i="4"/>
  <c r="U181" i="4"/>
  <c r="E117" i="4"/>
  <c r="L117" i="4"/>
  <c r="K117" i="4"/>
  <c r="Z117" i="4" s="1"/>
  <c r="E94" i="4"/>
  <c r="K94" i="4"/>
  <c r="Z94" i="4" s="1"/>
  <c r="L94" i="4"/>
  <c r="N86" i="4"/>
  <c r="K86" i="4"/>
  <c r="Z86" i="4" s="1"/>
  <c r="E85" i="4"/>
  <c r="K85" i="4"/>
  <c r="Z85" i="4" s="1"/>
  <c r="L85" i="4"/>
  <c r="P78" i="4"/>
  <c r="V78" i="4"/>
  <c r="U78" i="4"/>
  <c r="K28" i="4"/>
  <c r="Z28" i="4" s="1"/>
  <c r="W684" i="4"/>
  <c r="U684" i="4"/>
  <c r="P307" i="4"/>
  <c r="E304" i="4"/>
  <c r="P285" i="4"/>
  <c r="E275" i="4"/>
  <c r="E263" i="4"/>
  <c r="K263" i="4"/>
  <c r="Z263" i="4" s="1"/>
  <c r="E252" i="4"/>
  <c r="K252" i="4"/>
  <c r="Z252" i="4" s="1"/>
  <c r="L252" i="4"/>
  <c r="E231" i="4"/>
  <c r="E218" i="4"/>
  <c r="L218" i="4"/>
  <c r="E200" i="4"/>
  <c r="E199" i="4"/>
  <c r="L199" i="4"/>
  <c r="E193" i="4"/>
  <c r="L193" i="4"/>
  <c r="E190" i="4"/>
  <c r="K190" i="4"/>
  <c r="Z190" i="4" s="1"/>
  <c r="L190" i="4"/>
  <c r="P158" i="4"/>
  <c r="U158" i="4"/>
  <c r="V158" i="4"/>
  <c r="E135" i="4"/>
  <c r="K135" i="4"/>
  <c r="Z135" i="4" s="1"/>
  <c r="E133" i="4"/>
  <c r="E131" i="4"/>
  <c r="K131" i="4"/>
  <c r="Z131" i="4" s="1"/>
  <c r="L131" i="4"/>
  <c r="P120" i="4"/>
  <c r="V120" i="4"/>
  <c r="P102" i="4"/>
  <c r="U102" i="4"/>
  <c r="V102" i="4"/>
  <c r="M58" i="4"/>
  <c r="K58" i="4"/>
  <c r="Z58" i="4" s="1"/>
  <c r="E49" i="4"/>
  <c r="L49" i="4"/>
  <c r="K49" i="4"/>
  <c r="Z49" i="4" s="1"/>
  <c r="M29" i="4"/>
  <c r="K29" i="4"/>
  <c r="Z29" i="4" s="1"/>
  <c r="E730" i="4"/>
  <c r="L730" i="4"/>
  <c r="P720" i="4"/>
  <c r="V720" i="4"/>
  <c r="U720" i="4"/>
  <c r="P606" i="4"/>
  <c r="U606" i="4"/>
  <c r="V606" i="4"/>
  <c r="E300" i="4"/>
  <c r="P293" i="4"/>
  <c r="E291" i="4"/>
  <c r="P284" i="4"/>
  <c r="E282" i="4"/>
  <c r="P275" i="4"/>
  <c r="P270" i="4"/>
  <c r="E261" i="4"/>
  <c r="P258" i="4"/>
  <c r="E250" i="4"/>
  <c r="K250" i="4"/>
  <c r="Z250" i="4" s="1"/>
  <c r="P247" i="4"/>
  <c r="E234" i="4"/>
  <c r="P231" i="4"/>
  <c r="E210" i="4"/>
  <c r="E202" i="4"/>
  <c r="K202" i="4"/>
  <c r="Z202" i="4" s="1"/>
  <c r="L202" i="4"/>
  <c r="U113" i="4"/>
  <c r="P100" i="4"/>
  <c r="V100" i="4"/>
  <c r="U57" i="4"/>
  <c r="E42" i="4"/>
  <c r="K42" i="4"/>
  <c r="Z42" i="4" s="1"/>
  <c r="E34" i="4"/>
  <c r="K34" i="4"/>
  <c r="Z34" i="4" s="1"/>
  <c r="L34" i="4"/>
  <c r="N766" i="4"/>
  <c r="K766" i="4"/>
  <c r="Z766" i="4" s="1"/>
  <c r="X758" i="4"/>
  <c r="U758" i="4"/>
  <c r="P603" i="4"/>
  <c r="U603" i="4"/>
  <c r="V603" i="4"/>
  <c r="E615" i="4"/>
  <c r="L615" i="4"/>
  <c r="E109" i="4"/>
  <c r="L109" i="4"/>
  <c r="E95" i="4"/>
  <c r="L95" i="4"/>
  <c r="K95" i="4"/>
  <c r="Z95" i="4" s="1"/>
  <c r="P89" i="4"/>
  <c r="U89" i="4"/>
  <c r="V89" i="4"/>
  <c r="P59" i="4"/>
  <c r="V59" i="4"/>
  <c r="U59" i="4"/>
  <c r="K46" i="4"/>
  <c r="Z46" i="4" s="1"/>
  <c r="N46" i="4"/>
  <c r="E44" i="4"/>
  <c r="L44" i="4"/>
  <c r="K44" i="4"/>
  <c r="Z44" i="4" s="1"/>
  <c r="U11" i="4"/>
  <c r="W11" i="4"/>
  <c r="E312" i="4"/>
  <c r="P305" i="4"/>
  <c r="E303" i="4"/>
  <c r="P296" i="4"/>
  <c r="E294" i="4"/>
  <c r="P287" i="4"/>
  <c r="E285" i="4"/>
  <c r="P278" i="4"/>
  <c r="E276" i="4"/>
  <c r="E271" i="4"/>
  <c r="E259" i="4"/>
  <c r="K259" i="4"/>
  <c r="Z259" i="4" s="1"/>
  <c r="P256" i="4"/>
  <c r="E243" i="4"/>
  <c r="P240" i="4"/>
  <c r="E232" i="4"/>
  <c r="K232" i="4"/>
  <c r="Z232" i="4" s="1"/>
  <c r="P229" i="4"/>
  <c r="P217" i="4"/>
  <c r="E214" i="4"/>
  <c r="K214" i="4"/>
  <c r="Z214" i="4" s="1"/>
  <c r="P191" i="4"/>
  <c r="E187" i="4"/>
  <c r="P178" i="4"/>
  <c r="P177" i="4"/>
  <c r="U177" i="4"/>
  <c r="V177" i="4"/>
  <c r="P137" i="4"/>
  <c r="U137" i="4"/>
  <c r="V137" i="4"/>
  <c r="P116" i="4"/>
  <c r="U116" i="4"/>
  <c r="V116" i="4"/>
  <c r="P91" i="4"/>
  <c r="V91" i="4"/>
  <c r="U91" i="4"/>
  <c r="E72" i="4"/>
  <c r="K72" i="4"/>
  <c r="Z72" i="4" s="1"/>
  <c r="L72" i="4"/>
  <c r="E36" i="4"/>
  <c r="L36" i="4"/>
  <c r="P23" i="4"/>
  <c r="U23" i="4"/>
  <c r="V23" i="4"/>
  <c r="U12" i="4"/>
  <c r="W12" i="4"/>
  <c r="W678" i="4"/>
  <c r="U678" i="4"/>
  <c r="W663" i="4"/>
  <c r="U663" i="4"/>
  <c r="P652" i="4"/>
  <c r="V652" i="4"/>
  <c r="E645" i="4"/>
  <c r="K645" i="4"/>
  <c r="Z645" i="4" s="1"/>
  <c r="L645" i="4"/>
  <c r="E248" i="4"/>
  <c r="E220" i="4"/>
  <c r="L220" i="4"/>
  <c r="P203" i="4"/>
  <c r="E143" i="4"/>
  <c r="K143" i="4"/>
  <c r="Z143" i="4" s="1"/>
  <c r="W104" i="4"/>
  <c r="U104" i="4"/>
  <c r="P92" i="4"/>
  <c r="U92" i="4"/>
  <c r="V92" i="4"/>
  <c r="P83" i="4"/>
  <c r="U83" i="4"/>
  <c r="V83" i="4"/>
  <c r="P41" i="4"/>
  <c r="U41" i="4"/>
  <c r="P40" i="4"/>
  <c r="V40" i="4"/>
  <c r="U40" i="4"/>
  <c r="M37" i="4"/>
  <c r="K37" i="4"/>
  <c r="Z37" i="4" s="1"/>
  <c r="M27" i="4"/>
  <c r="K27" i="4"/>
  <c r="Z27" i="4" s="1"/>
  <c r="P771" i="4"/>
  <c r="U771" i="4"/>
  <c r="V771" i="4"/>
  <c r="E734" i="4"/>
  <c r="L734" i="4"/>
  <c r="E727" i="4"/>
  <c r="L727" i="4"/>
  <c r="E668" i="4"/>
  <c r="K668" i="4"/>
  <c r="Z668" i="4" s="1"/>
  <c r="L668" i="4"/>
  <c r="E226" i="4"/>
  <c r="P219" i="4"/>
  <c r="E217" i="4"/>
  <c r="P210" i="4"/>
  <c r="E208" i="4"/>
  <c r="P201" i="4"/>
  <c r="P200" i="4"/>
  <c r="U194" i="4"/>
  <c r="E192" i="4"/>
  <c r="P189" i="4"/>
  <c r="E167" i="4"/>
  <c r="E152" i="4"/>
  <c r="K152" i="4"/>
  <c r="Z152" i="4" s="1"/>
  <c r="U129" i="4"/>
  <c r="W129" i="4"/>
  <c r="E111" i="4"/>
  <c r="K111" i="4"/>
  <c r="Z111" i="4" s="1"/>
  <c r="L56" i="4"/>
  <c r="P45" i="4"/>
  <c r="V45" i="4"/>
  <c r="E39" i="4"/>
  <c r="L39" i="4"/>
  <c r="P33" i="4"/>
  <c r="U33" i="4"/>
  <c r="K754" i="4"/>
  <c r="Z754" i="4" s="1"/>
  <c r="M754" i="4"/>
  <c r="P732" i="4"/>
  <c r="V732" i="4"/>
  <c r="U732" i="4"/>
  <c r="P694" i="4"/>
  <c r="U694" i="4"/>
  <c r="V694" i="4"/>
  <c r="U199" i="4"/>
  <c r="E197" i="4"/>
  <c r="P182" i="4"/>
  <c r="U182" i="4"/>
  <c r="E166" i="4"/>
  <c r="K166" i="4"/>
  <c r="Z166" i="4" s="1"/>
  <c r="E154" i="4"/>
  <c r="K154" i="4"/>
  <c r="Z154" i="4" s="1"/>
  <c r="P132" i="4"/>
  <c r="E114" i="4"/>
  <c r="L114" i="4"/>
  <c r="E113" i="4"/>
  <c r="L113" i="4"/>
  <c r="E112" i="4"/>
  <c r="L112" i="4"/>
  <c r="P80" i="4"/>
  <c r="U80" i="4"/>
  <c r="U62" i="4"/>
  <c r="W62" i="4"/>
  <c r="K56" i="4"/>
  <c r="Z56" i="4" s="1"/>
  <c r="E53" i="4"/>
  <c r="L53" i="4"/>
  <c r="K53" i="4"/>
  <c r="Z53" i="4" s="1"/>
  <c r="P47" i="4"/>
  <c r="U47" i="4"/>
  <c r="M33" i="4"/>
  <c r="E26" i="4"/>
  <c r="L26" i="4"/>
  <c r="K26" i="4"/>
  <c r="Z26" i="4" s="1"/>
  <c r="V20" i="4"/>
  <c r="E11" i="4"/>
  <c r="K11" i="4"/>
  <c r="Z11" i="4" s="1"/>
  <c r="L11" i="4"/>
  <c r="P772" i="4"/>
  <c r="U772" i="4"/>
  <c r="V772" i="4"/>
  <c r="E754" i="4"/>
  <c r="K746" i="4"/>
  <c r="Z746" i="4" s="1"/>
  <c r="N746" i="4"/>
  <c r="K720" i="4"/>
  <c r="Z720" i="4" s="1"/>
  <c r="M720" i="4"/>
  <c r="P704" i="4"/>
  <c r="V704" i="4"/>
  <c r="U704" i="4"/>
  <c r="W695" i="4"/>
  <c r="U695" i="4"/>
  <c r="M690" i="4"/>
  <c r="K690" i="4"/>
  <c r="Z690" i="4" s="1"/>
  <c r="E689" i="4"/>
  <c r="L689" i="4"/>
  <c r="K689" i="4"/>
  <c r="Z689" i="4" s="1"/>
  <c r="W681" i="4"/>
  <c r="U681" i="4"/>
  <c r="E610" i="4"/>
  <c r="K610" i="4"/>
  <c r="Z610" i="4" s="1"/>
  <c r="E609" i="4"/>
  <c r="L609" i="4"/>
  <c r="E71" i="4"/>
  <c r="K71" i="4"/>
  <c r="Z71" i="4" s="1"/>
  <c r="L71" i="4"/>
  <c r="E31" i="4"/>
  <c r="L31" i="4"/>
  <c r="K31" i="4"/>
  <c r="Z31" i="4" s="1"/>
  <c r="W8" i="4"/>
  <c r="U8" i="4"/>
  <c r="E757" i="4"/>
  <c r="L757" i="4"/>
  <c r="E747" i="4"/>
  <c r="K747" i="4"/>
  <c r="Z747" i="4" s="1"/>
  <c r="L747" i="4"/>
  <c r="P706" i="4"/>
  <c r="U706" i="4"/>
  <c r="K659" i="4"/>
  <c r="Z659" i="4" s="1"/>
  <c r="M659" i="4"/>
  <c r="P655" i="4"/>
  <c r="E604" i="4"/>
  <c r="K604" i="4"/>
  <c r="Z604" i="4" s="1"/>
  <c r="L604" i="4"/>
  <c r="P268" i="4"/>
  <c r="E265" i="4"/>
  <c r="P187" i="4"/>
  <c r="P149" i="4"/>
  <c r="P143" i="4"/>
  <c r="U143" i="4"/>
  <c r="E127" i="4"/>
  <c r="L127" i="4"/>
  <c r="K127" i="4"/>
  <c r="Z127" i="4" s="1"/>
  <c r="P105" i="4"/>
  <c r="V105" i="4"/>
  <c r="E98" i="4"/>
  <c r="L98" i="4"/>
  <c r="E78" i="4"/>
  <c r="K78" i="4"/>
  <c r="Z78" i="4" s="1"/>
  <c r="P68" i="4"/>
  <c r="U68" i="4"/>
  <c r="V68" i="4"/>
  <c r="E60" i="4"/>
  <c r="K60" i="4"/>
  <c r="Z60" i="4" s="1"/>
  <c r="L60" i="4"/>
  <c r="P51" i="4"/>
  <c r="U51" i="4"/>
  <c r="E47" i="4"/>
  <c r="L47" i="4"/>
  <c r="K47" i="4"/>
  <c r="Z47" i="4" s="1"/>
  <c r="E30" i="4"/>
  <c r="K30" i="4"/>
  <c r="Z30" i="4" s="1"/>
  <c r="L30" i="4"/>
  <c r="P24" i="4"/>
  <c r="U24" i="4"/>
  <c r="P21" i="4"/>
  <c r="W767" i="4"/>
  <c r="U767" i="4"/>
  <c r="P766" i="4"/>
  <c r="V766" i="4"/>
  <c r="U766" i="4"/>
  <c r="K733" i="4"/>
  <c r="Z733" i="4" s="1"/>
  <c r="N733" i="4"/>
  <c r="P707" i="4"/>
  <c r="U707" i="4"/>
  <c r="E702" i="4"/>
  <c r="K702" i="4"/>
  <c r="Z702" i="4" s="1"/>
  <c r="L702" i="4"/>
  <c r="P697" i="4"/>
  <c r="V697" i="4"/>
  <c r="U669" i="4"/>
  <c r="X669" i="4"/>
  <c r="W601" i="4"/>
  <c r="U601" i="4"/>
  <c r="P142" i="4"/>
  <c r="V142" i="4"/>
  <c r="E125" i="4"/>
  <c r="K125" i="4"/>
  <c r="Z125" i="4" s="1"/>
  <c r="U109" i="4"/>
  <c r="E82" i="4"/>
  <c r="L82" i="4"/>
  <c r="K82" i="4"/>
  <c r="Z82" i="4" s="1"/>
  <c r="P6" i="4"/>
  <c r="V6" i="4"/>
  <c r="U6" i="4"/>
  <c r="E762" i="4"/>
  <c r="L762" i="4"/>
  <c r="E759" i="4"/>
  <c r="L759" i="4"/>
  <c r="U745" i="4"/>
  <c r="W745" i="4"/>
  <c r="P708" i="4"/>
  <c r="V708" i="4"/>
  <c r="U708" i="4"/>
  <c r="E704" i="4"/>
  <c r="K704" i="4"/>
  <c r="Z704" i="4" s="1"/>
  <c r="U641" i="4"/>
  <c r="W641" i="4"/>
  <c r="P636" i="4"/>
  <c r="V636" i="4"/>
  <c r="E161" i="4"/>
  <c r="P156" i="4"/>
  <c r="U156" i="4"/>
  <c r="P145" i="4"/>
  <c r="V145" i="4"/>
  <c r="P144" i="4"/>
  <c r="V144" i="4"/>
  <c r="E140" i="4"/>
  <c r="L140" i="4"/>
  <c r="E139" i="4"/>
  <c r="P134" i="4"/>
  <c r="V134" i="4"/>
  <c r="P121" i="4"/>
  <c r="U94" i="4"/>
  <c r="W94" i="4"/>
  <c r="E45" i="4"/>
  <c r="E758" i="4"/>
  <c r="L758" i="4"/>
  <c r="E755" i="4"/>
  <c r="L755" i="4"/>
  <c r="E739" i="4"/>
  <c r="L739" i="4"/>
  <c r="E699" i="4"/>
  <c r="K699" i="4"/>
  <c r="Z699" i="4" s="1"/>
  <c r="L699" i="4"/>
  <c r="E683" i="4"/>
  <c r="L683" i="4"/>
  <c r="P678" i="4"/>
  <c r="V678" i="4"/>
  <c r="E629" i="4"/>
  <c r="L629" i="4"/>
  <c r="K629" i="4"/>
  <c r="Z629" i="4" s="1"/>
  <c r="E157" i="4"/>
  <c r="E146" i="4"/>
  <c r="P128" i="4"/>
  <c r="U128" i="4"/>
  <c r="E123" i="4"/>
  <c r="K123" i="4"/>
  <c r="Z123" i="4" s="1"/>
  <c r="E122" i="4"/>
  <c r="P114" i="4"/>
  <c r="V114" i="4"/>
  <c r="E103" i="4"/>
  <c r="K103" i="4"/>
  <c r="Z103" i="4" s="1"/>
  <c r="E100" i="4"/>
  <c r="L100" i="4"/>
  <c r="K97" i="4"/>
  <c r="Z97" i="4" s="1"/>
  <c r="N97" i="4"/>
  <c r="K65" i="4"/>
  <c r="Z65" i="4" s="1"/>
  <c r="U43" i="4"/>
  <c r="W43" i="4"/>
  <c r="P27" i="4"/>
  <c r="V27" i="4"/>
  <c r="U27" i="4"/>
  <c r="P17" i="4"/>
  <c r="V17" i="4"/>
  <c r="K15" i="4"/>
  <c r="Z15" i="4" s="1"/>
  <c r="E770" i="4"/>
  <c r="L770" i="4"/>
  <c r="P752" i="4"/>
  <c r="U752" i="4"/>
  <c r="E744" i="4"/>
  <c r="K744" i="4"/>
  <c r="Z744" i="4" s="1"/>
  <c r="P736" i="4"/>
  <c r="X717" i="4"/>
  <c r="P714" i="4"/>
  <c r="V714" i="4"/>
  <c r="E706" i="4"/>
  <c r="K706" i="4"/>
  <c r="Z706" i="4" s="1"/>
  <c r="L706" i="4"/>
  <c r="P696" i="4"/>
  <c r="V696" i="4"/>
  <c r="U664" i="4"/>
  <c r="X664" i="4"/>
  <c r="P658" i="4"/>
  <c r="V658" i="4"/>
  <c r="U653" i="4"/>
  <c r="P160" i="4"/>
  <c r="E155" i="4"/>
  <c r="E132" i="4"/>
  <c r="L132" i="4"/>
  <c r="E121" i="4"/>
  <c r="P113" i="4"/>
  <c r="U108" i="4"/>
  <c r="E90" i="4"/>
  <c r="L90" i="4"/>
  <c r="E87" i="4"/>
  <c r="L87" i="4"/>
  <c r="E81" i="4"/>
  <c r="K81" i="4"/>
  <c r="Z81" i="4" s="1"/>
  <c r="L81" i="4"/>
  <c r="E80" i="4"/>
  <c r="E77" i="4"/>
  <c r="L77" i="4"/>
  <c r="P38" i="4"/>
  <c r="U38" i="4"/>
  <c r="E6" i="4"/>
  <c r="L6" i="4"/>
  <c r="K6" i="4"/>
  <c r="Z6" i="4" s="1"/>
  <c r="P756" i="4"/>
  <c r="N725" i="4"/>
  <c r="K725" i="4"/>
  <c r="Z725" i="4" s="1"/>
  <c r="U677" i="4"/>
  <c r="X677" i="4"/>
  <c r="W659" i="4"/>
  <c r="P659" i="4"/>
  <c r="P179" i="4"/>
  <c r="U179" i="4"/>
  <c r="E170" i="4"/>
  <c r="P167" i="4"/>
  <c r="P148" i="4"/>
  <c r="V148" i="4"/>
  <c r="P138" i="4"/>
  <c r="P125" i="4"/>
  <c r="U125" i="4"/>
  <c r="K119" i="4"/>
  <c r="Z119" i="4" s="1"/>
  <c r="M119" i="4"/>
  <c r="P110" i="4"/>
  <c r="V110" i="4"/>
  <c r="P109" i="4"/>
  <c r="V109" i="4"/>
  <c r="E96" i="4"/>
  <c r="E76" i="4"/>
  <c r="K76" i="4"/>
  <c r="Z76" i="4" s="1"/>
  <c r="L76" i="4"/>
  <c r="E66" i="4"/>
  <c r="K66" i="4"/>
  <c r="Z66" i="4" s="1"/>
  <c r="E13" i="4"/>
  <c r="K13" i="4"/>
  <c r="Z13" i="4" s="1"/>
  <c r="E10" i="4"/>
  <c r="L10" i="4"/>
  <c r="K10" i="4"/>
  <c r="Z10" i="4" s="1"/>
  <c r="E9" i="4"/>
  <c r="K9" i="4"/>
  <c r="Z9" i="4" s="1"/>
  <c r="L9" i="4"/>
  <c r="P763" i="4"/>
  <c r="U763" i="4"/>
  <c r="V763" i="4"/>
  <c r="P740" i="4"/>
  <c r="U740" i="4"/>
  <c r="V740" i="4"/>
  <c r="E726" i="4"/>
  <c r="K726" i="4"/>
  <c r="Z726" i="4" s="1"/>
  <c r="P716" i="4"/>
  <c r="V716" i="4"/>
  <c r="U716" i="4"/>
  <c r="E709" i="4"/>
  <c r="K709" i="4"/>
  <c r="Z709" i="4" s="1"/>
  <c r="L709" i="4"/>
  <c r="P701" i="4"/>
  <c r="U701" i="4"/>
  <c r="P699" i="4"/>
  <c r="U688" i="4"/>
  <c r="W688" i="4"/>
  <c r="E642" i="4"/>
  <c r="L642" i="4"/>
  <c r="W630" i="4"/>
  <c r="U630" i="4"/>
  <c r="P185" i="4"/>
  <c r="K161" i="4"/>
  <c r="Z161" i="4" s="1"/>
  <c r="E153" i="4"/>
  <c r="L153" i="4"/>
  <c r="E142" i="4"/>
  <c r="K142" i="4"/>
  <c r="Z142" i="4" s="1"/>
  <c r="K140" i="4"/>
  <c r="Z140" i="4" s="1"/>
  <c r="K139" i="4"/>
  <c r="Z139" i="4" s="1"/>
  <c r="E130" i="4"/>
  <c r="L130" i="4"/>
  <c r="P124" i="4"/>
  <c r="V121" i="4"/>
  <c r="E118" i="4"/>
  <c r="L118" i="4"/>
  <c r="P107" i="4"/>
  <c r="U107" i="4"/>
  <c r="P106" i="4"/>
  <c r="U101" i="4"/>
  <c r="E69" i="4"/>
  <c r="L69" i="4"/>
  <c r="E68" i="4"/>
  <c r="E61" i="4"/>
  <c r="K61" i="4"/>
  <c r="Z61" i="4" s="1"/>
  <c r="E58" i="4"/>
  <c r="L58" i="4"/>
  <c r="K45" i="4"/>
  <c r="Z45" i="4" s="1"/>
  <c r="P764" i="4"/>
  <c r="U764" i="4"/>
  <c r="K755" i="4"/>
  <c r="Z755" i="4" s="1"/>
  <c r="E751" i="4"/>
  <c r="K751" i="4"/>
  <c r="Z751" i="4" s="1"/>
  <c r="P703" i="4"/>
  <c r="U703" i="4"/>
  <c r="P702" i="4"/>
  <c r="V702" i="4"/>
  <c r="K683" i="4"/>
  <c r="Z683" i="4" s="1"/>
  <c r="V623" i="4"/>
  <c r="E614" i="4"/>
  <c r="K614" i="4"/>
  <c r="Z614" i="4" s="1"/>
  <c r="L614" i="4"/>
  <c r="P183" i="4"/>
  <c r="E158" i="4"/>
  <c r="P133" i="4"/>
  <c r="P127" i="4"/>
  <c r="P101" i="4"/>
  <c r="P93" i="4"/>
  <c r="U93" i="4"/>
  <c r="E73" i="4"/>
  <c r="L73" i="4"/>
  <c r="E63" i="4"/>
  <c r="K63" i="4"/>
  <c r="Z63" i="4" s="1"/>
  <c r="P50" i="4"/>
  <c r="P42" i="4"/>
  <c r="U42" i="4"/>
  <c r="P26" i="4"/>
  <c r="P15" i="4"/>
  <c r="V15" i="4"/>
  <c r="P663" i="4"/>
  <c r="E630" i="4"/>
  <c r="L630" i="4"/>
  <c r="P602" i="4"/>
  <c r="V602" i="4"/>
  <c r="E86" i="4"/>
  <c r="L86" i="4"/>
  <c r="P82" i="4"/>
  <c r="P55" i="4"/>
  <c r="E51" i="4"/>
  <c r="E35" i="4"/>
  <c r="L35" i="4"/>
  <c r="P31" i="4"/>
  <c r="E27" i="4"/>
  <c r="E5" i="4"/>
  <c r="P743" i="4"/>
  <c r="V743" i="4"/>
  <c r="P722" i="4"/>
  <c r="E691" i="4"/>
  <c r="L691" i="4"/>
  <c r="E675" i="4"/>
  <c r="L675" i="4"/>
  <c r="K675" i="4"/>
  <c r="Z675" i="4" s="1"/>
  <c r="P653" i="4"/>
  <c r="V653" i="4"/>
  <c r="E647" i="4"/>
  <c r="K647" i="4"/>
  <c r="Z647" i="4" s="1"/>
  <c r="L647" i="4"/>
  <c r="K603" i="4"/>
  <c r="Z603" i="4" s="1"/>
  <c r="N603" i="4"/>
  <c r="E160" i="4"/>
  <c r="K160" i="4"/>
  <c r="Z160" i="4" s="1"/>
  <c r="P157" i="4"/>
  <c r="E144" i="4"/>
  <c r="P141" i="4"/>
  <c r="P129" i="4"/>
  <c r="P88" i="4"/>
  <c r="E84" i="4"/>
  <c r="P62" i="4"/>
  <c r="P37" i="4"/>
  <c r="E33" i="4"/>
  <c r="P29" i="4"/>
  <c r="U29" i="4"/>
  <c r="E24" i="4"/>
  <c r="P8" i="4"/>
  <c r="E769" i="4"/>
  <c r="L769" i="4"/>
  <c r="E768" i="4"/>
  <c r="K739" i="4"/>
  <c r="Z739" i="4" s="1"/>
  <c r="E736" i="4"/>
  <c r="L736" i="4"/>
  <c r="E716" i="4"/>
  <c r="E715" i="4"/>
  <c r="L715" i="4"/>
  <c r="E714" i="4"/>
  <c r="E711" i="4"/>
  <c r="K711" i="4"/>
  <c r="Z711" i="4" s="1"/>
  <c r="L711" i="4"/>
  <c r="U686" i="4"/>
  <c r="W686" i="4"/>
  <c r="P650" i="4"/>
  <c r="V650" i="4"/>
  <c r="V183" i="4"/>
  <c r="P180" i="4"/>
  <c r="E178" i="4"/>
  <c r="P171" i="4"/>
  <c r="E169" i="4"/>
  <c r="P162" i="4"/>
  <c r="K158" i="4"/>
  <c r="Z158" i="4" s="1"/>
  <c r="P146" i="4"/>
  <c r="E138" i="4"/>
  <c r="P135" i="4"/>
  <c r="V135" i="4"/>
  <c r="E126" i="4"/>
  <c r="P123" i="4"/>
  <c r="P111" i="4"/>
  <c r="U111" i="4"/>
  <c r="E108" i="4"/>
  <c r="P104" i="4"/>
  <c r="V101" i="4"/>
  <c r="P79" i="4"/>
  <c r="E75" i="4"/>
  <c r="K73" i="4"/>
  <c r="Z73" i="4" s="1"/>
  <c r="L63" i="4"/>
  <c r="E57" i="4"/>
  <c r="P53" i="4"/>
  <c r="V50" i="4"/>
  <c r="V26" i="4"/>
  <c r="P18" i="4"/>
  <c r="U18" i="4"/>
  <c r="P7" i="4"/>
  <c r="E765" i="4"/>
  <c r="E764" i="4"/>
  <c r="K764" i="4"/>
  <c r="Z764" i="4" s="1"/>
  <c r="K756" i="4"/>
  <c r="Z756" i="4" s="1"/>
  <c r="E743" i="4"/>
  <c r="M743" i="4"/>
  <c r="E740" i="4"/>
  <c r="E721" i="4"/>
  <c r="K721" i="4"/>
  <c r="Z721" i="4" s="1"/>
  <c r="V663" i="4"/>
  <c r="E91" i="4"/>
  <c r="L91" i="4"/>
  <c r="P87" i="4"/>
  <c r="V87" i="4"/>
  <c r="P71" i="4"/>
  <c r="U71" i="4"/>
  <c r="E65" i="4"/>
  <c r="P60" i="4"/>
  <c r="U60" i="4"/>
  <c r="E40" i="4"/>
  <c r="L40" i="4"/>
  <c r="P36" i="4"/>
  <c r="V36" i="4"/>
  <c r="E760" i="4"/>
  <c r="L760" i="4"/>
  <c r="E746" i="4"/>
  <c r="E745" i="4"/>
  <c r="K743" i="4"/>
  <c r="Z743" i="4" s="1"/>
  <c r="P730" i="4"/>
  <c r="V730" i="4"/>
  <c r="E722" i="4"/>
  <c r="K722" i="4"/>
  <c r="Z722" i="4" s="1"/>
  <c r="L722" i="4"/>
  <c r="W690" i="4"/>
  <c r="U690" i="4"/>
  <c r="P682" i="4"/>
  <c r="U682" i="4"/>
  <c r="E67" i="4"/>
  <c r="P19" i="4"/>
  <c r="E17" i="4"/>
  <c r="P9" i="4"/>
  <c r="E761" i="4"/>
  <c r="L761" i="4"/>
  <c r="U754" i="4"/>
  <c r="P742" i="4"/>
  <c r="E724" i="4"/>
  <c r="E718" i="4"/>
  <c r="P710" i="4"/>
  <c r="E695" i="4"/>
  <c r="K695" i="4"/>
  <c r="Z695" i="4" s="1"/>
  <c r="P676" i="4"/>
  <c r="E29" i="4"/>
  <c r="P22" i="4"/>
  <c r="E15" i="4"/>
  <c r="L15" i="4"/>
  <c r="P12" i="4"/>
  <c r="E4" i="4"/>
  <c r="P770" i="4"/>
  <c r="E766" i="4"/>
  <c r="L766" i="4"/>
  <c r="P762" i="4"/>
  <c r="V762" i="4"/>
  <c r="P750" i="4"/>
  <c r="P725" i="4"/>
  <c r="E710" i="4"/>
  <c r="L710" i="4"/>
  <c r="P665" i="4"/>
  <c r="V665" i="4"/>
  <c r="E661" i="4"/>
  <c r="L661" i="4"/>
  <c r="K661" i="4"/>
  <c r="Z661" i="4" s="1"/>
  <c r="P651" i="4"/>
  <c r="V651" i="4"/>
  <c r="K623" i="4"/>
  <c r="Z623" i="4" s="1"/>
  <c r="N623" i="4"/>
  <c r="K609" i="4"/>
  <c r="Z609" i="4" s="1"/>
  <c r="E607" i="4"/>
  <c r="K607" i="4"/>
  <c r="Z607" i="4" s="1"/>
  <c r="P131" i="4"/>
  <c r="P126" i="4"/>
  <c r="E124" i="4"/>
  <c r="P117" i="4"/>
  <c r="E115" i="4"/>
  <c r="P108" i="4"/>
  <c r="E106" i="4"/>
  <c r="P99" i="4"/>
  <c r="E97" i="4"/>
  <c r="P90" i="4"/>
  <c r="E88" i="4"/>
  <c r="P81" i="4"/>
  <c r="E79" i="4"/>
  <c r="P72" i="4"/>
  <c r="E70" i="4"/>
  <c r="P57" i="4"/>
  <c r="E55" i="4"/>
  <c r="P48" i="4"/>
  <c r="E46" i="4"/>
  <c r="P39" i="4"/>
  <c r="E37" i="4"/>
  <c r="P30" i="4"/>
  <c r="E28" i="4"/>
  <c r="E14" i="4"/>
  <c r="P11" i="4"/>
  <c r="P768" i="4"/>
  <c r="U768" i="4"/>
  <c r="P746" i="4"/>
  <c r="V746" i="4"/>
  <c r="P717" i="4"/>
  <c r="U714" i="4"/>
  <c r="E707" i="4"/>
  <c r="K707" i="4"/>
  <c r="Z707" i="4" s="1"/>
  <c r="P685" i="4"/>
  <c r="U685" i="4"/>
  <c r="P681" i="4"/>
  <c r="P670" i="4"/>
  <c r="V670" i="4"/>
  <c r="E634" i="4"/>
  <c r="L634" i="4"/>
  <c r="E625" i="4"/>
  <c r="K625" i="4"/>
  <c r="Z625" i="4" s="1"/>
  <c r="L625" i="4"/>
  <c r="E611" i="4"/>
  <c r="K611" i="4"/>
  <c r="Z611" i="4" s="1"/>
  <c r="E626" i="4"/>
  <c r="K626" i="4"/>
  <c r="Z626" i="4" s="1"/>
  <c r="L626" i="4"/>
  <c r="E119" i="4"/>
  <c r="P112" i="4"/>
  <c r="E110" i="4"/>
  <c r="P103" i="4"/>
  <c r="E101" i="4"/>
  <c r="P94" i="4"/>
  <c r="E92" i="4"/>
  <c r="P85" i="4"/>
  <c r="E83" i="4"/>
  <c r="P76" i="4"/>
  <c r="E74" i="4"/>
  <c r="K67" i="4"/>
  <c r="Z67" i="4" s="1"/>
  <c r="P61" i="4"/>
  <c r="E59" i="4"/>
  <c r="P52" i="4"/>
  <c r="E50" i="4"/>
  <c r="P43" i="4"/>
  <c r="E41" i="4"/>
  <c r="P34" i="4"/>
  <c r="E32" i="4"/>
  <c r="P25" i="4"/>
  <c r="E23" i="4"/>
  <c r="V19" i="4"/>
  <c r="K17" i="4"/>
  <c r="Z17" i="4" s="1"/>
  <c r="V9" i="4"/>
  <c r="E8" i="4"/>
  <c r="E771" i="4"/>
  <c r="P767" i="4"/>
  <c r="K761" i="4"/>
  <c r="Z761" i="4" s="1"/>
  <c r="P744" i="4"/>
  <c r="U744" i="4"/>
  <c r="V742" i="4"/>
  <c r="E737" i="4"/>
  <c r="E732" i="4"/>
  <c r="K724" i="4"/>
  <c r="Z724" i="4" s="1"/>
  <c r="K718" i="4"/>
  <c r="Z718" i="4" s="1"/>
  <c r="P712" i="4"/>
  <c r="V710" i="4"/>
  <c r="E705" i="4"/>
  <c r="L705" i="4"/>
  <c r="L695" i="4"/>
  <c r="P684" i="4"/>
  <c r="U648" i="4"/>
  <c r="X648" i="4"/>
  <c r="P640" i="4"/>
  <c r="U640" i="4"/>
  <c r="U605" i="4"/>
  <c r="W605" i="4"/>
  <c r="P758" i="4"/>
  <c r="P745" i="4"/>
  <c r="P739" i="4"/>
  <c r="E733" i="4"/>
  <c r="E717" i="4"/>
  <c r="P713" i="4"/>
  <c r="E692" i="4"/>
  <c r="P688" i="4"/>
  <c r="U659" i="4"/>
  <c r="E731" i="4"/>
  <c r="P728" i="4"/>
  <c r="V728" i="4"/>
  <c r="P711" i="4"/>
  <c r="E703" i="4"/>
  <c r="P700" i="4"/>
  <c r="E697" i="4"/>
  <c r="P693" i="4"/>
  <c r="P654" i="4"/>
  <c r="U654" i="4"/>
  <c r="P648" i="4"/>
  <c r="V648" i="4"/>
  <c r="W617" i="4"/>
  <c r="U617" i="4"/>
  <c r="K613" i="4"/>
  <c r="Z613" i="4" s="1"/>
  <c r="N613" i="4"/>
  <c r="P14" i="4"/>
  <c r="E12" i="4"/>
  <c r="P5" i="4"/>
  <c r="E772" i="4"/>
  <c r="P765" i="4"/>
  <c r="E763" i="4"/>
  <c r="P748" i="4"/>
  <c r="P735" i="4"/>
  <c r="E720" i="4"/>
  <c r="P691" i="4"/>
  <c r="U691" i="4"/>
  <c r="P690" i="4"/>
  <c r="E687" i="4"/>
  <c r="L687" i="4"/>
  <c r="K667" i="4"/>
  <c r="Z667" i="4" s="1"/>
  <c r="U650" i="4"/>
  <c r="W650" i="4"/>
  <c r="P601" i="4"/>
  <c r="V601" i="4"/>
  <c r="E7" i="4"/>
  <c r="P769" i="4"/>
  <c r="E767" i="4"/>
  <c r="P760" i="4"/>
  <c r="V758" i="4"/>
  <c r="P747" i="4"/>
  <c r="V745" i="4"/>
  <c r="L733" i="4"/>
  <c r="P724" i="4"/>
  <c r="K717" i="4"/>
  <c r="Z717" i="4" s="1"/>
  <c r="P709" i="4"/>
  <c r="E701" i="4"/>
  <c r="K692" i="4"/>
  <c r="Z692" i="4" s="1"/>
  <c r="V688" i="4"/>
  <c r="E672" i="4"/>
  <c r="K672" i="4"/>
  <c r="Z672" i="4" s="1"/>
  <c r="E664" i="4"/>
  <c r="K664" i="4"/>
  <c r="Z664" i="4" s="1"/>
  <c r="K627" i="4"/>
  <c r="Z627" i="4" s="1"/>
  <c r="P689" i="4"/>
  <c r="E673" i="4"/>
  <c r="M640" i="4"/>
  <c r="K640" i="4"/>
  <c r="Z640" i="4" s="1"/>
  <c r="U637" i="4"/>
  <c r="X637" i="4"/>
  <c r="E624" i="4"/>
  <c r="K624" i="4"/>
  <c r="Z624" i="4" s="1"/>
  <c r="L624" i="4"/>
  <c r="E623" i="4"/>
  <c r="L623" i="4"/>
  <c r="P619" i="4"/>
  <c r="V619" i="4"/>
  <c r="P695" i="4"/>
  <c r="E693" i="4"/>
  <c r="P686" i="4"/>
  <c r="E684" i="4"/>
  <c r="P669" i="4"/>
  <c r="P668" i="4"/>
  <c r="E657" i="4"/>
  <c r="K657" i="4"/>
  <c r="Z657" i="4" s="1"/>
  <c r="E633" i="4"/>
  <c r="E670" i="4"/>
  <c r="U662" i="4"/>
  <c r="P626" i="4"/>
  <c r="U611" i="4"/>
  <c r="X611" i="4"/>
  <c r="U610" i="4"/>
  <c r="P692" i="4"/>
  <c r="E690" i="4"/>
  <c r="P683" i="4"/>
  <c r="E681" i="4"/>
  <c r="P673" i="4"/>
  <c r="U672" i="4"/>
  <c r="E667" i="4"/>
  <c r="K638" i="4"/>
  <c r="Z638" i="4" s="1"/>
  <c r="N638" i="4"/>
  <c r="L633" i="4"/>
  <c r="P729" i="4"/>
  <c r="E725" i="4"/>
  <c r="P715" i="4"/>
  <c r="V695" i="4"/>
  <c r="K693" i="4"/>
  <c r="Z693" i="4" s="1"/>
  <c r="V686" i="4"/>
  <c r="K684" i="4"/>
  <c r="Z684" i="4" s="1"/>
  <c r="E666" i="4"/>
  <c r="L657" i="4"/>
  <c r="U646" i="4"/>
  <c r="K633" i="4"/>
  <c r="Z633" i="4" s="1"/>
  <c r="P614" i="4"/>
  <c r="V614" i="4"/>
  <c r="P611" i="4"/>
  <c r="K658" i="4"/>
  <c r="Z658" i="4" s="1"/>
  <c r="K642" i="4"/>
  <c r="Z642" i="4" s="1"/>
  <c r="E631" i="4"/>
  <c r="L631" i="4"/>
  <c r="K630" i="4"/>
  <c r="Z630" i="4" s="1"/>
  <c r="E628" i="4"/>
  <c r="L628" i="4"/>
  <c r="P607" i="4"/>
  <c r="U607" i="4"/>
  <c r="P674" i="4"/>
  <c r="U673" i="4"/>
  <c r="E662" i="4"/>
  <c r="E646" i="4"/>
  <c r="E643" i="4"/>
  <c r="P637" i="4"/>
  <c r="E659" i="4"/>
  <c r="E640" i="4"/>
  <c r="E638" i="4"/>
  <c r="P610" i="4"/>
  <c r="P605" i="4"/>
  <c r="E603" i="4"/>
  <c r="P677" i="4"/>
  <c r="E665" i="4"/>
  <c r="P641" i="4"/>
  <c r="P633" i="4"/>
  <c r="P622" i="4"/>
  <c r="P604" i="4"/>
  <c r="E602" i="4"/>
  <c r="E653" i="4"/>
  <c r="E649" i="4"/>
  <c r="K648" i="4"/>
  <c r="Z648" i="4" s="1"/>
  <c r="U632" i="4"/>
  <c r="P630" i="4"/>
  <c r="P617" i="4"/>
  <c r="P616" i="4"/>
  <c r="E612" i="4"/>
  <c r="P608" i="4"/>
  <c r="E606" i="4"/>
  <c r="V637" i="4"/>
  <c r="P632" i="4"/>
  <c r="P615" i="4"/>
  <c r="P612" i="4"/>
  <c r="V612" i="4"/>
  <c r="U613" i="4"/>
  <c r="P613" i="4"/>
  <c r="K615" i="4"/>
  <c r="Z615" i="4" s="1"/>
  <c r="M615" i="4"/>
  <c r="X615" i="4"/>
  <c r="U615" i="4"/>
  <c r="E616" i="4"/>
  <c r="K616" i="4"/>
  <c r="Z616" i="4" s="1"/>
  <c r="X616" i="4"/>
  <c r="U616" i="4"/>
  <c r="E617" i="4"/>
  <c r="K617" i="4"/>
  <c r="Z617" i="4" s="1"/>
  <c r="L617" i="4"/>
  <c r="K618" i="4"/>
  <c r="Z618" i="4" s="1"/>
  <c r="E618" i="4"/>
  <c r="P618" i="4"/>
  <c r="V618" i="4"/>
  <c r="U618" i="4"/>
  <c r="K619" i="4"/>
  <c r="Z619" i="4" s="1"/>
  <c r="L619" i="4"/>
  <c r="E619" i="4"/>
  <c r="K620" i="4"/>
  <c r="Z620" i="4" s="1"/>
  <c r="L620" i="4"/>
  <c r="E620" i="4"/>
  <c r="U620" i="4"/>
  <c r="V620" i="4"/>
  <c r="P620" i="4"/>
  <c r="K621" i="4"/>
  <c r="Z621" i="4" s="1"/>
  <c r="E621" i="4"/>
  <c r="P621" i="4"/>
  <c r="U621" i="4"/>
  <c r="E622" i="4"/>
  <c r="K622" i="4"/>
  <c r="Z622" i="4" s="1"/>
  <c r="L622" i="4"/>
  <c r="W622" i="4"/>
  <c r="U622" i="4"/>
  <c r="U624" i="4"/>
  <c r="P624" i="4"/>
  <c r="V624" i="4"/>
  <c r="U627" i="4"/>
  <c r="V627" i="4"/>
  <c r="P627" i="4"/>
  <c r="V628" i="4"/>
  <c r="P628" i="4"/>
  <c r="U628" i="4"/>
  <c r="V629" i="4"/>
  <c r="P629" i="4"/>
  <c r="U629" i="4"/>
  <c r="N631" i="4"/>
  <c r="K631" i="4"/>
  <c r="Z631" i="4" s="1"/>
  <c r="U631" i="4"/>
  <c r="V631" i="4"/>
  <c r="P631" i="4"/>
  <c r="E632" i="4"/>
  <c r="L632" i="4"/>
  <c r="K632" i="4"/>
  <c r="Z632" i="4" s="1"/>
  <c r="U633" i="4"/>
  <c r="X633" i="4"/>
  <c r="K634" i="4"/>
  <c r="Z634" i="4" s="1"/>
  <c r="M634" i="4"/>
  <c r="U634" i="4"/>
  <c r="V634" i="4"/>
  <c r="P634" i="4"/>
  <c r="E635" i="4"/>
  <c r="K635" i="4"/>
  <c r="Z635" i="4" s="1"/>
  <c r="V635" i="4"/>
  <c r="U635" i="4"/>
  <c r="P635" i="4"/>
  <c r="K636" i="4"/>
  <c r="Z636" i="4" s="1"/>
  <c r="L636" i="4"/>
  <c r="E636" i="4"/>
  <c r="L637" i="4"/>
  <c r="E637" i="4"/>
  <c r="K637" i="4"/>
  <c r="Z637" i="4" s="1"/>
  <c r="P638" i="4"/>
  <c r="U638" i="4"/>
  <c r="V638" i="4"/>
  <c r="K639" i="4"/>
  <c r="Z639" i="4" s="1"/>
  <c r="E639" i="4"/>
  <c r="L639" i="4"/>
  <c r="U639" i="4"/>
  <c r="P639" i="4"/>
  <c r="V642" i="4"/>
  <c r="P642" i="4"/>
  <c r="U642" i="4"/>
  <c r="X642" i="4"/>
  <c r="W643" i="4"/>
  <c r="U643" i="4"/>
  <c r="L644" i="4"/>
  <c r="K644" i="4"/>
  <c r="Z644" i="4" s="1"/>
  <c r="E644" i="4"/>
  <c r="V644" i="4"/>
  <c r="P644" i="4"/>
  <c r="U644" i="4"/>
  <c r="V645" i="4"/>
  <c r="P645" i="4"/>
  <c r="U645" i="4"/>
  <c r="P647" i="4"/>
  <c r="V647" i="4"/>
  <c r="X647" i="4"/>
  <c r="U647" i="4"/>
  <c r="P649" i="4"/>
  <c r="U649" i="4"/>
  <c r="L650" i="4"/>
  <c r="K650" i="4"/>
  <c r="Z650" i="4" s="1"/>
  <c r="E650" i="4"/>
  <c r="E651" i="4"/>
  <c r="K651" i="4"/>
  <c r="Z651" i="4" s="1"/>
  <c r="X651" i="4"/>
  <c r="U651" i="4"/>
  <c r="K652" i="4"/>
  <c r="Z652" i="4" s="1"/>
  <c r="L652" i="4"/>
  <c r="E652" i="4"/>
  <c r="X652" i="4"/>
  <c r="U652" i="4"/>
  <c r="K653" i="4"/>
  <c r="Z653" i="4" s="1"/>
  <c r="M653" i="4"/>
  <c r="E654" i="4"/>
  <c r="K654" i="4"/>
  <c r="Z654" i="4" s="1"/>
  <c r="L654" i="4"/>
  <c r="E655" i="4"/>
  <c r="K655" i="4"/>
  <c r="Z655" i="4" s="1"/>
  <c r="W655" i="4"/>
  <c r="U655" i="4"/>
  <c r="M656" i="4"/>
  <c r="K656" i="4"/>
  <c r="Z656" i="4" s="1"/>
  <c r="P656" i="4"/>
  <c r="U656" i="4"/>
  <c r="V656" i="4"/>
  <c r="W658" i="4"/>
  <c r="U658" i="4"/>
  <c r="P660" i="4"/>
  <c r="U660" i="4"/>
  <c r="W661" i="4"/>
  <c r="U661" i="4"/>
  <c r="M663" i="4"/>
  <c r="K663" i="4"/>
  <c r="Z663" i="4" s="1"/>
  <c r="U665" i="4"/>
  <c r="X665" i="4"/>
  <c r="U666" i="4"/>
  <c r="V666" i="4"/>
  <c r="P666" i="4"/>
  <c r="W668" i="4"/>
  <c r="U668" i="4"/>
  <c r="K669" i="4"/>
  <c r="Z669" i="4" s="1"/>
  <c r="E669" i="4"/>
  <c r="K671" i="4"/>
  <c r="Z671" i="4" s="1"/>
  <c r="E671" i="4"/>
  <c r="E674" i="4"/>
  <c r="K674" i="4"/>
  <c r="Z674" i="4" s="1"/>
  <c r="P675" i="4"/>
  <c r="U675" i="4"/>
  <c r="U676" i="4"/>
  <c r="W676" i="4"/>
  <c r="N677" i="4"/>
  <c r="K677" i="4"/>
  <c r="Z677" i="4" s="1"/>
  <c r="E678" i="4"/>
  <c r="K678" i="4"/>
  <c r="Z678" i="4" s="1"/>
  <c r="L678" i="4"/>
  <c r="E679" i="4"/>
  <c r="K679" i="4"/>
  <c r="Z679" i="4" s="1"/>
  <c r="L680" i="4"/>
  <c r="E680" i="4"/>
  <c r="N680" i="4"/>
  <c r="K680" i="4"/>
  <c r="Z680" i="4" s="1"/>
  <c r="V680" i="4"/>
  <c r="P680" i="4"/>
  <c r="U680" i="4"/>
  <c r="U713" i="4"/>
  <c r="X713" i="4"/>
  <c r="P718" i="4"/>
  <c r="U718" i="4"/>
  <c r="K719" i="4"/>
  <c r="Z719" i="4" s="1"/>
  <c r="E719" i="4"/>
  <c r="U719" i="4"/>
  <c r="P719" i="4"/>
  <c r="K723" i="4"/>
  <c r="Z723" i="4" s="1"/>
  <c r="M723" i="4"/>
  <c r="U723" i="4"/>
  <c r="P723" i="4"/>
  <c r="V723" i="4"/>
  <c r="W726" i="4"/>
  <c r="U726" i="4"/>
  <c r="P727" i="4"/>
  <c r="U727" i="4"/>
  <c r="V727" i="4"/>
  <c r="L728" i="4"/>
  <c r="K728" i="4"/>
  <c r="Z728" i="4" s="1"/>
  <c r="E728" i="4"/>
  <c r="U731" i="4"/>
  <c r="P731" i="4"/>
  <c r="U733" i="4"/>
  <c r="V733" i="4"/>
  <c r="P733" i="4"/>
  <c r="P734" i="4"/>
  <c r="U734" i="4"/>
  <c r="L735" i="4"/>
  <c r="K735" i="4"/>
  <c r="Z735" i="4" s="1"/>
  <c r="E735" i="4"/>
  <c r="M737" i="4"/>
  <c r="K737" i="4"/>
  <c r="Z737" i="4" s="1"/>
  <c r="K741" i="4"/>
  <c r="Z741" i="4" s="1"/>
  <c r="E741" i="4"/>
  <c r="L741" i="4"/>
  <c r="P741" i="4"/>
  <c r="U741" i="4"/>
  <c r="L742" i="4"/>
  <c r="E742" i="4"/>
  <c r="K742" i="4"/>
  <c r="Z742" i="4" s="1"/>
  <c r="W746" i="4"/>
  <c r="U746" i="4"/>
  <c r="K748" i="4"/>
  <c r="Z748" i="4" s="1"/>
  <c r="N748" i="4"/>
  <c r="K749" i="4"/>
  <c r="Z749" i="4" s="1"/>
  <c r="L749" i="4"/>
  <c r="E749" i="4"/>
  <c r="M752" i="4"/>
  <c r="K752" i="4"/>
  <c r="Z752" i="4" s="1"/>
  <c r="K758" i="4"/>
  <c r="Z758" i="4" s="1"/>
  <c r="M758" i="4"/>
  <c r="P69" i="4"/>
  <c r="U69" i="4"/>
  <c r="V69" i="4"/>
  <c r="U133" i="4"/>
  <c r="W133" i="4"/>
  <c r="W191" i="4"/>
  <c r="U191" i="4"/>
  <c r="E201" i="4"/>
  <c r="L201" i="4"/>
  <c r="U265" i="4"/>
  <c r="X265" i="4"/>
  <c r="E267" i="4"/>
  <c r="L267" i="4"/>
  <c r="K267" i="4"/>
  <c r="Z267" i="4" s="1"/>
  <c r="K404" i="4"/>
  <c r="Z404" i="4" s="1"/>
  <c r="E404" i="4"/>
  <c r="N404" i="4"/>
  <c r="W406" i="4"/>
  <c r="P406" i="4"/>
  <c r="U406" i="4"/>
  <c r="U409" i="4"/>
  <c r="P409" i="4"/>
  <c r="K410" i="4"/>
  <c r="Z410" i="4" s="1"/>
  <c r="N410" i="4"/>
  <c r="P410" i="4"/>
  <c r="U410" i="4"/>
  <c r="U411" i="4"/>
  <c r="X411" i="4"/>
  <c r="X412" i="4"/>
  <c r="U412" i="4"/>
  <c r="U414" i="4"/>
  <c r="P414" i="4"/>
  <c r="U415" i="4"/>
  <c r="P415" i="4"/>
  <c r="W415" i="4"/>
  <c r="U416" i="4"/>
  <c r="P416" i="4"/>
  <c r="V418" i="4"/>
  <c r="P418" i="4"/>
  <c r="U418" i="4"/>
  <c r="X419" i="4"/>
  <c r="U419" i="4"/>
  <c r="P420" i="4"/>
  <c r="V420" i="4"/>
  <c r="U420" i="4"/>
  <c r="U423" i="4"/>
  <c r="V423" i="4"/>
  <c r="P423" i="4"/>
  <c r="U424" i="4"/>
  <c r="P424" i="4"/>
  <c r="V425" i="4"/>
  <c r="P425" i="4"/>
  <c r="U425" i="4"/>
  <c r="P427" i="4"/>
  <c r="U427" i="4"/>
  <c r="N429" i="4"/>
  <c r="K429" i="4"/>
  <c r="Z429" i="4" s="1"/>
  <c r="U429" i="4"/>
  <c r="P429" i="4"/>
  <c r="V429" i="4"/>
  <c r="N431" i="4"/>
  <c r="K431" i="4"/>
  <c r="Z431" i="4" s="1"/>
  <c r="W431" i="4"/>
  <c r="P431" i="4"/>
  <c r="U431" i="4"/>
  <c r="U432" i="4"/>
  <c r="V432" i="4"/>
  <c r="P432" i="4"/>
  <c r="P433" i="4"/>
  <c r="U433" i="4"/>
  <c r="U436" i="4"/>
  <c r="X436" i="4"/>
  <c r="P438" i="4"/>
  <c r="U438" i="4"/>
  <c r="U440" i="4"/>
  <c r="V440" i="4"/>
  <c r="P440" i="4"/>
  <c r="K441" i="4"/>
  <c r="Z441" i="4" s="1"/>
  <c r="L441" i="4"/>
  <c r="E441" i="4"/>
  <c r="U441" i="4"/>
  <c r="W441" i="4"/>
  <c r="K444" i="4"/>
  <c r="Z444" i="4" s="1"/>
  <c r="E444" i="4"/>
  <c r="N447" i="4"/>
  <c r="K447" i="4"/>
  <c r="Z447" i="4" s="1"/>
  <c r="V447" i="4"/>
  <c r="P447" i="4"/>
  <c r="U447" i="4"/>
  <c r="E451" i="4"/>
  <c r="K451" i="4"/>
  <c r="Z451" i="4" s="1"/>
  <c r="U451" i="4"/>
  <c r="W451" i="4"/>
  <c r="E452" i="4"/>
  <c r="K452" i="4"/>
  <c r="Z452" i="4" s="1"/>
  <c r="U453" i="4"/>
  <c r="V453" i="4"/>
  <c r="P453" i="4"/>
  <c r="K458" i="4"/>
  <c r="Z458" i="4" s="1"/>
  <c r="N458" i="4"/>
  <c r="W460" i="4"/>
  <c r="P460" i="4"/>
  <c r="U460" i="4"/>
  <c r="K463" i="4"/>
  <c r="Z463" i="4" s="1"/>
  <c r="M463" i="4"/>
  <c r="V526" i="4"/>
  <c r="P526" i="4"/>
  <c r="U526" i="4"/>
  <c r="U528" i="4"/>
  <c r="P528" i="4"/>
  <c r="L530" i="4"/>
  <c r="E530" i="4"/>
  <c r="L596" i="4"/>
  <c r="E596" i="4"/>
  <c r="K596" i="4"/>
  <c r="Z596" i="4" s="1"/>
  <c r="C6" i="2"/>
  <c r="A246" i="4" l="1"/>
  <c r="A565" i="4"/>
  <c r="A457" i="4"/>
  <c r="A149" i="4"/>
  <c r="A255" i="4"/>
  <c r="I267" i="4" l="1"/>
  <c r="O267" i="4" s="1"/>
  <c r="A199" i="4" l="1"/>
  <c r="A529" i="4" l="1"/>
  <c r="A528" i="4"/>
  <c r="A527" i="4"/>
  <c r="A526" i="4"/>
  <c r="A510" i="4"/>
  <c r="A503" i="4"/>
  <c r="A499" i="4"/>
  <c r="A498" i="4"/>
  <c r="A495" i="4"/>
  <c r="A491" i="4"/>
  <c r="A487" i="4"/>
  <c r="A481" i="4"/>
  <c r="A473" i="4"/>
  <c r="A471" i="4"/>
  <c r="A470" i="4"/>
  <c r="A468" i="4"/>
  <c r="A467" i="4"/>
  <c r="A466" i="4"/>
  <c r="A465" i="4"/>
  <c r="A464" i="4"/>
  <c r="A463" i="4"/>
  <c r="A379" i="4"/>
  <c r="A378" i="4"/>
  <c r="A376" i="4"/>
  <c r="A345" i="4"/>
  <c r="A344" i="4"/>
  <c r="A341" i="4"/>
  <c r="A335" i="4"/>
  <c r="A333" i="4"/>
  <c r="A332" i="4"/>
  <c r="A331" i="4"/>
  <c r="A329" i="4"/>
  <c r="A328" i="4"/>
  <c r="A326" i="4"/>
  <c r="A324" i="4"/>
  <c r="A323" i="4"/>
  <c r="A319" i="4"/>
  <c r="A317" i="4"/>
  <c r="A282" i="4"/>
  <c r="A281" i="4"/>
  <c r="A280" i="4"/>
  <c r="A559" i="4"/>
  <c r="A279" i="4"/>
  <c r="A254" i="4"/>
  <c r="A253" i="4"/>
  <c r="A252" i="4"/>
  <c r="A251" i="4"/>
  <c r="A250" i="4"/>
  <c r="A249" i="4"/>
  <c r="A248" i="4"/>
  <c r="A247" i="4"/>
  <c r="A245" i="4"/>
  <c r="A243" i="4"/>
  <c r="A242" i="4"/>
  <c r="A240" i="4"/>
  <c r="A238" i="4"/>
  <c r="A237" i="4"/>
  <c r="A236" i="4"/>
  <c r="A235" i="4"/>
  <c r="A219" i="4"/>
  <c r="A212" i="4"/>
  <c r="A210" i="4"/>
  <c r="A208" i="4"/>
  <c r="A198" i="4"/>
  <c r="A197" i="4"/>
  <c r="A190" i="4"/>
  <c r="A189" i="4"/>
  <c r="A188" i="4"/>
  <c r="A187" i="4"/>
  <c r="A176" i="4"/>
  <c r="A170" i="4"/>
  <c r="A168" i="4"/>
  <c r="A166" i="4"/>
  <c r="A141" i="4"/>
  <c r="A139" i="4"/>
  <c r="A134" i="4"/>
  <c r="A133" i="4"/>
  <c r="A131" i="4"/>
  <c r="A130" i="4"/>
  <c r="A126" i="4"/>
  <c r="A125" i="4"/>
  <c r="A124" i="4"/>
  <c r="A123" i="4"/>
  <c r="A120" i="4"/>
  <c r="A119" i="4"/>
  <c r="A118" i="4"/>
  <c r="A117" i="4"/>
  <c r="A116" i="4"/>
  <c r="A110" i="4"/>
  <c r="A109" i="4"/>
  <c r="A100" i="4"/>
  <c r="A23" i="4"/>
  <c r="A22" i="4"/>
  <c r="A21" i="4"/>
  <c r="A19" i="4"/>
  <c r="A17" i="4"/>
  <c r="A16" i="4"/>
  <c r="A15" i="4"/>
  <c r="A14" i="4"/>
  <c r="A12" i="4"/>
  <c r="A558" i="4"/>
  <c r="A557" i="4"/>
  <c r="A556" i="4"/>
  <c r="A555" i="4"/>
  <c r="A553" i="4"/>
  <c r="A552" i="4"/>
  <c r="A554" i="4"/>
  <c r="A551" i="4"/>
  <c r="A550" i="4"/>
  <c r="A549" i="4"/>
  <c r="A548" i="4"/>
  <c r="A547" i="4"/>
  <c r="A546" i="4"/>
  <c r="A545" i="4"/>
  <c r="A544" i="4"/>
  <c r="A542" i="4"/>
  <c r="A543" i="4"/>
  <c r="A541" i="4"/>
  <c r="A539" i="4"/>
  <c r="A540" i="4"/>
  <c r="A537" i="4"/>
  <c r="A538" i="4"/>
  <c r="A535" i="4"/>
  <c r="A536" i="4"/>
  <c r="A533" i="4"/>
  <c r="A534" i="4"/>
  <c r="A530" i="4"/>
  <c r="A525" i="4"/>
  <c r="A524" i="4"/>
  <c r="A523" i="4"/>
  <c r="A522" i="4"/>
  <c r="A521" i="4"/>
  <c r="A520" i="4"/>
  <c r="A519" i="4"/>
  <c r="A518" i="4"/>
  <c r="A517" i="4"/>
  <c r="A516" i="4"/>
  <c r="A515" i="4"/>
  <c r="A514" i="4"/>
  <c r="A513" i="4"/>
  <c r="A512" i="4"/>
  <c r="A511" i="4"/>
  <c r="A509" i="4"/>
  <c r="A508" i="4"/>
  <c r="A507" i="4"/>
  <c r="A506" i="4"/>
  <c r="A505" i="4"/>
  <c r="A504" i="4"/>
  <c r="A502" i="4"/>
  <c r="A501" i="4"/>
  <c r="A500" i="4"/>
  <c r="A497" i="4"/>
  <c r="A496" i="4"/>
  <c r="A494" i="4"/>
  <c r="A493" i="4"/>
  <c r="A492" i="4"/>
  <c r="A490" i="4"/>
  <c r="A489" i="4"/>
  <c r="A488" i="4"/>
  <c r="A486" i="4"/>
  <c r="A485" i="4"/>
  <c r="A484" i="4"/>
  <c r="A482" i="4"/>
  <c r="A483" i="4"/>
  <c r="A480" i="4"/>
  <c r="A479" i="4"/>
  <c r="A478" i="4"/>
  <c r="A477" i="4"/>
  <c r="A476" i="4"/>
  <c r="A475" i="4"/>
  <c r="A474" i="4"/>
  <c r="A472" i="4"/>
  <c r="A469" i="4"/>
  <c r="A462" i="4"/>
  <c r="A461" i="4"/>
  <c r="A460" i="4"/>
  <c r="A459" i="4"/>
  <c r="A458"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7" i="4"/>
  <c r="A408" i="4"/>
  <c r="A406" i="4"/>
  <c r="A405" i="4"/>
  <c r="A404" i="4"/>
  <c r="A403" i="4"/>
  <c r="A402" i="4"/>
  <c r="A400" i="4"/>
  <c r="A401" i="4"/>
  <c r="A399" i="4"/>
  <c r="A398" i="4"/>
  <c r="A397" i="4"/>
  <c r="A396" i="4"/>
  <c r="A395" i="4"/>
  <c r="A393" i="4"/>
  <c r="A394" i="4"/>
  <c r="A392" i="4"/>
  <c r="A391" i="4"/>
  <c r="A390" i="4"/>
  <c r="A389" i="4"/>
  <c r="A388" i="4"/>
  <c r="A387" i="4"/>
  <c r="A386" i="4"/>
  <c r="A385" i="4"/>
  <c r="A384" i="4"/>
  <c r="A383" i="4"/>
  <c r="A382" i="4"/>
  <c r="A381" i="4"/>
  <c r="A380" i="4"/>
  <c r="A377"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3" i="4"/>
  <c r="A342" i="4"/>
  <c r="A340" i="4"/>
  <c r="A339" i="4"/>
  <c r="A338" i="4"/>
  <c r="A337" i="4"/>
  <c r="A336" i="4"/>
  <c r="A334" i="4"/>
  <c r="A330" i="4"/>
  <c r="A327" i="4"/>
  <c r="A325" i="4"/>
  <c r="A321" i="4"/>
  <c r="A322" i="4"/>
  <c r="A320" i="4"/>
  <c r="A318" i="4"/>
  <c r="A316" i="4"/>
  <c r="A315" i="4"/>
  <c r="A314" i="4"/>
  <c r="A313" i="4"/>
  <c r="A311" i="4"/>
  <c r="A312" i="4"/>
  <c r="A310" i="4"/>
  <c r="A309" i="4"/>
  <c r="A308" i="4"/>
  <c r="A306" i="4"/>
  <c r="A307" i="4"/>
  <c r="A304" i="4"/>
  <c r="A305" i="4"/>
  <c r="A302" i="4"/>
  <c r="A303" i="4"/>
  <c r="A300" i="4"/>
  <c r="A301" i="4"/>
  <c r="A298" i="4"/>
  <c r="A299" i="4"/>
  <c r="A297" i="4"/>
  <c r="A296" i="4"/>
  <c r="A295" i="4"/>
  <c r="A294" i="4"/>
  <c r="A293" i="4"/>
  <c r="A292" i="4"/>
  <c r="A291" i="4"/>
  <c r="A290" i="4"/>
  <c r="A289" i="4"/>
  <c r="A288" i="4"/>
  <c r="A287" i="4"/>
  <c r="A286" i="4"/>
  <c r="A285" i="4"/>
  <c r="A284" i="4"/>
  <c r="A283" i="4"/>
  <c r="A560" i="4"/>
  <c r="A278" i="4"/>
  <c r="A277" i="4"/>
  <c r="A276" i="4"/>
  <c r="A275" i="4"/>
  <c r="A274" i="4"/>
  <c r="A273" i="4"/>
  <c r="A272" i="4"/>
  <c r="A271" i="4"/>
  <c r="A270" i="4"/>
  <c r="A269" i="4"/>
  <c r="A268" i="4"/>
  <c r="A267" i="4"/>
  <c r="A266" i="4"/>
  <c r="A265" i="4"/>
  <c r="A264" i="4"/>
  <c r="A263" i="4"/>
  <c r="A262" i="4"/>
  <c r="A261" i="4"/>
  <c r="A260" i="4"/>
  <c r="A259" i="4"/>
  <c r="A257" i="4"/>
  <c r="A244" i="4"/>
  <c r="A241" i="4"/>
  <c r="A239" i="4"/>
  <c r="A234" i="4"/>
  <c r="A233" i="4"/>
  <c r="A232" i="4"/>
  <c r="A231" i="4"/>
  <c r="A230" i="4"/>
  <c r="A229" i="4"/>
  <c r="A228" i="4"/>
  <c r="A227" i="4"/>
  <c r="A226" i="4"/>
  <c r="A225" i="4"/>
  <c r="A223" i="4"/>
  <c r="A224" i="4"/>
  <c r="A222" i="4"/>
  <c r="A221" i="4"/>
  <c r="A220" i="4"/>
  <c r="A217" i="4"/>
  <c r="A218" i="4"/>
  <c r="A216" i="4"/>
  <c r="A215" i="4"/>
  <c r="A213" i="4"/>
  <c r="A214" i="4"/>
  <c r="A211" i="4"/>
  <c r="A206" i="4"/>
  <c r="A207" i="4"/>
  <c r="A204" i="4"/>
  <c r="A205" i="4"/>
  <c r="A202" i="4"/>
  <c r="A203" i="4"/>
  <c r="A201" i="4"/>
  <c r="A200" i="4"/>
  <c r="A196" i="4"/>
  <c r="A195" i="4"/>
  <c r="A194" i="4"/>
  <c r="A193" i="4"/>
  <c r="A192" i="4"/>
  <c r="A191" i="4"/>
  <c r="A185" i="4"/>
  <c r="A186" i="4"/>
  <c r="A184" i="4"/>
  <c r="A183" i="4"/>
  <c r="A182" i="4"/>
  <c r="A181" i="4"/>
  <c r="A180" i="4"/>
  <c r="A179" i="4"/>
  <c r="A178" i="4"/>
  <c r="A177" i="4"/>
  <c r="A175" i="4"/>
  <c r="A174" i="4"/>
  <c r="A173" i="4"/>
  <c r="A172" i="4"/>
  <c r="A171" i="4"/>
  <c r="A169" i="4"/>
  <c r="A167" i="4"/>
  <c r="A165" i="4"/>
  <c r="A164" i="4"/>
  <c r="A163" i="4"/>
  <c r="A162" i="4"/>
  <c r="A161" i="4"/>
  <c r="A160" i="4"/>
  <c r="A159" i="4"/>
  <c r="A158" i="4"/>
  <c r="A157" i="4"/>
  <c r="A156" i="4"/>
  <c r="A155" i="4"/>
  <c r="A154" i="4"/>
  <c r="A153" i="4"/>
  <c r="A152" i="4"/>
  <c r="A151" i="4"/>
  <c r="A150" i="4"/>
  <c r="A148" i="4"/>
  <c r="A147" i="4"/>
  <c r="A146" i="4"/>
  <c r="A145" i="4"/>
  <c r="A144" i="4"/>
  <c r="A140" i="4"/>
  <c r="A129" i="4"/>
  <c r="A128" i="4"/>
  <c r="A127" i="4"/>
  <c r="A122" i="4"/>
  <c r="A121" i="4"/>
  <c r="A115" i="4"/>
  <c r="A114" i="4"/>
  <c r="A113" i="4"/>
  <c r="A112" i="4"/>
  <c r="A111" i="4"/>
  <c r="A108" i="4"/>
  <c r="A103" i="4"/>
  <c r="A104" i="4"/>
  <c r="A105" i="4"/>
  <c r="A102" i="4"/>
  <c r="A101"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4" i="4"/>
  <c r="A25" i="4"/>
  <c r="A20" i="4"/>
  <c r="A18" i="4"/>
  <c r="A13" i="4"/>
  <c r="A11" i="4"/>
  <c r="A10" i="4"/>
  <c r="A9" i="4"/>
  <c r="A8" i="4"/>
  <c r="A7" i="4"/>
  <c r="A6" i="4"/>
  <c r="A5" i="4"/>
  <c r="A4" i="4"/>
  <c r="A256" i="4"/>
  <c r="A562" i="4"/>
  <c r="A532" i="4"/>
  <c r="A136" i="4"/>
  <c r="A135" i="4"/>
  <c r="A138" i="4"/>
  <c r="A137" i="4"/>
  <c r="A132" i="4"/>
  <c r="A142" i="4"/>
  <c r="A143" i="4"/>
  <c r="A106" i="4"/>
  <c r="A107" i="4"/>
  <c r="A564" i="4"/>
  <c r="A209" i="4"/>
  <c r="A563" i="4"/>
  <c r="A580" i="4"/>
  <c r="A561" i="4"/>
  <c r="A566" i="4"/>
  <c r="A567" i="4"/>
  <c r="A568" i="4"/>
  <c r="A569" i="4"/>
  <c r="A570" i="4"/>
  <c r="A571" i="4"/>
  <c r="A572" i="4"/>
  <c r="A573" i="4"/>
  <c r="A574" i="4"/>
  <c r="A575" i="4"/>
  <c r="A576" i="4"/>
  <c r="A577" i="4"/>
  <c r="A578" i="4"/>
  <c r="A57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531" i="4"/>
  <c r="B216" i="2" l="1"/>
  <c r="B213" i="2"/>
  <c r="B480" i="2"/>
  <c r="B111" i="2"/>
  <c r="B123" i="2"/>
  <c r="B55" i="2"/>
  <c r="B405" i="2"/>
  <c r="B11" i="2"/>
  <c r="B52" i="2"/>
  <c r="B367" i="2"/>
  <c r="B312" i="2"/>
  <c r="B267" i="2"/>
  <c r="B24" i="2"/>
  <c r="B151" i="2"/>
  <c r="B162" i="2"/>
  <c r="B318" i="2"/>
  <c r="B139" i="2"/>
  <c r="B406" i="2"/>
  <c r="B53" i="2"/>
  <c r="B295" i="2"/>
  <c r="B101" i="2"/>
  <c r="B153" i="2"/>
  <c r="B402" i="2"/>
  <c r="B368" i="2"/>
  <c r="B186" i="2"/>
  <c r="B113" i="2"/>
  <c r="B119" i="2"/>
  <c r="B61" i="2"/>
  <c r="B414" i="2"/>
  <c r="B54" i="2"/>
  <c r="B13" i="2"/>
  <c r="B403" i="2"/>
  <c r="B369" i="2"/>
  <c r="B365" i="2"/>
  <c r="B309" i="2"/>
  <c r="B161" i="2"/>
  <c r="B142" i="2"/>
  <c r="B606" i="2"/>
  <c r="B611" i="2"/>
  <c r="B607" i="2"/>
  <c r="B608" i="2"/>
  <c r="B609" i="2"/>
  <c r="B610" i="2"/>
  <c r="A618" i="4"/>
  <c r="B530" i="2"/>
  <c r="B525" i="2"/>
  <c r="F3" i="4" l="1"/>
  <c r="L3" i="4" l="1"/>
  <c r="T3" i="4"/>
  <c r="Y3" i="4" s="1"/>
  <c r="Q3" i="4"/>
  <c r="V3" i="4" s="1"/>
  <c r="R3" i="4"/>
  <c r="W3" i="4" s="1"/>
  <c r="S3" i="4"/>
  <c r="X3" i="4" s="1"/>
  <c r="I3" i="4"/>
  <c r="O3" i="4" s="1"/>
  <c r="J3" i="4"/>
  <c r="G3" i="4"/>
  <c r="H3" i="4"/>
  <c r="N3" i="4" s="1"/>
  <c r="B3" i="4"/>
  <c r="M3" i="4" l="1"/>
  <c r="E3" i="4"/>
  <c r="K3" i="4"/>
  <c r="Z3" i="4" s="1"/>
  <c r="U3" i="4"/>
  <c r="P3" i="4"/>
  <c r="A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1C2D2B-A1F2-42AD-BEF3-2BFA07477122}" keepAlive="1" name="Query - Leading time" description="Connection to the 'Leading time' query in the workbook." type="5" refreshedVersion="0" background="1" saveData="1">
    <dbPr connection="Provider=Microsoft.Mashup.OleDb.1;Data Source=$Workbook$;Location=&quot;Leading time&quot;;Extended Properties=&quot;&quot;" command="SELECT * FROM [Leading time]"/>
  </connection>
</connections>
</file>

<file path=xl/sharedStrings.xml><?xml version="1.0" encoding="utf-8"?>
<sst xmlns="http://schemas.openxmlformats.org/spreadsheetml/2006/main" count="24186" uniqueCount="2789">
  <si>
    <t>ID (ASIN/ EAN)</t>
  </si>
  <si>
    <t>Market</t>
  </si>
  <si>
    <t>Product name</t>
  </si>
  <si>
    <t>ASIN</t>
  </si>
  <si>
    <t>EAN</t>
  </si>
  <si>
    <t>SKU US</t>
  </si>
  <si>
    <t>SKU EU/UK</t>
  </si>
  <si>
    <t>SKU CA</t>
  </si>
  <si>
    <t>BSKU</t>
  </si>
  <si>
    <t>FNSKU US</t>
  </si>
  <si>
    <t>FNSKU EU/UK</t>
  </si>
  <si>
    <t>FNSKU CA</t>
  </si>
  <si>
    <t>Products/ carton</t>
  </si>
  <si>
    <t>Weight of outercarton (kg)</t>
  </si>
  <si>
    <t>Outercarton W (cm)</t>
  </si>
  <si>
    <t>Outercarton L (cm)</t>
  </si>
  <si>
    <t>Outercarton H (cm)</t>
  </si>
  <si>
    <t>Innercarton weight (kg)</t>
  </si>
  <si>
    <t>Innercarton W (cm)</t>
  </si>
  <si>
    <t>Innercarton L (cm)</t>
  </si>
  <si>
    <t>Innercarton H (cm)</t>
  </si>
  <si>
    <t>Product W (cm)</t>
  </si>
  <si>
    <t>Product L (cm)</t>
  </si>
  <si>
    <t>Product H (cm)</t>
  </si>
  <si>
    <t>Thickness (cm)</t>
  </si>
  <si>
    <t>US HS-code</t>
  </si>
  <si>
    <t>EU HS-code</t>
  </si>
  <si>
    <t>UK HS-code</t>
  </si>
  <si>
    <t>CA HS-code</t>
  </si>
  <si>
    <t>China HS-code</t>
  </si>
  <si>
    <t>Supplier</t>
  </si>
  <si>
    <t>Leadtime (days)</t>
  </si>
  <si>
    <t>MOQ (units)</t>
  </si>
  <si>
    <t>Price (USD)</t>
  </si>
  <si>
    <t>Brand</t>
  </si>
  <si>
    <t>Included in set</t>
  </si>
  <si>
    <t>Material specifications</t>
  </si>
  <si>
    <t>Colour</t>
  </si>
  <si>
    <t>Label instruction for individual product</t>
  </si>
  <si>
    <t>Packaging</t>
  </si>
  <si>
    <t>Insert 1</t>
  </si>
  <si>
    <t>Insert 2</t>
  </si>
  <si>
    <t>Insert 3</t>
  </si>
  <si>
    <t>Certificates US</t>
  </si>
  <si>
    <t>Certificates UK</t>
  </si>
  <si>
    <t>Certificates EU</t>
  </si>
  <si>
    <t>Certificates CA</t>
  </si>
  <si>
    <t>Compliance US</t>
  </si>
  <si>
    <t>Compliance UK</t>
  </si>
  <si>
    <t>Compliance EU</t>
  </si>
  <si>
    <t>Compliance CA</t>
  </si>
  <si>
    <t>Additional comments and information US</t>
  </si>
  <si>
    <t>Additional comments and information UK</t>
  </si>
  <si>
    <t>Additional comments and information EU</t>
  </si>
  <si>
    <t>Additional comments and information CA</t>
  </si>
  <si>
    <t>BOL</t>
  </si>
  <si>
    <t/>
  </si>
  <si>
    <t>Odoxia</t>
  </si>
  <si>
    <t>A6 double-sided colored thank you note</t>
  </si>
  <si>
    <t>A5 double-sided colored manual</t>
  </si>
  <si>
    <t>AMZ</t>
  </si>
  <si>
    <t>B0DF81QMS7</t>
  </si>
  <si>
    <t>B0DFQKJ4J5</t>
  </si>
  <si>
    <t>B0CJY6LLJJ</t>
  </si>
  <si>
    <t>B0CJY77ZK4</t>
  </si>
  <si>
    <t>B0D875VWMY</t>
  </si>
  <si>
    <t>B0CK4DFWXN</t>
  </si>
  <si>
    <t>B0CCDMB2D6</t>
  </si>
  <si>
    <t>B0DF85866P</t>
  </si>
  <si>
    <t>Louise</t>
  </si>
  <si>
    <t>B0BL425DDK</t>
  </si>
  <si>
    <t>B0C1P9KKX3</t>
  </si>
  <si>
    <t>B0CH8QH7Z5</t>
  </si>
  <si>
    <t>B0C1P892B3</t>
  </si>
  <si>
    <t>B0C6F9LHBQ</t>
  </si>
  <si>
    <t>B0C6FCG9RB</t>
  </si>
  <si>
    <t>B0CLPGPMPR</t>
  </si>
  <si>
    <t>B0CZRYS227</t>
  </si>
  <si>
    <t>B0CLPJ1F53</t>
  </si>
  <si>
    <t>B0CZRZT21X</t>
  </si>
  <si>
    <t>B0DPX7597T</t>
  </si>
  <si>
    <t>B0DNZK2FKT</t>
  </si>
  <si>
    <t>B0CQJWYZD7</t>
  </si>
  <si>
    <t>B0D2RSRFQ2</t>
  </si>
  <si>
    <t>B0CXPZMJY8</t>
  </si>
  <si>
    <t>B0CZTCH6VR</t>
  </si>
  <si>
    <t>B07TWS8SJ9</t>
  </si>
  <si>
    <t>B07Q4CY1PV</t>
  </si>
  <si>
    <t>100% Polyester</t>
  </si>
  <si>
    <t>White</t>
  </si>
  <si>
    <t>B08RJ1BNVF</t>
  </si>
  <si>
    <t>Fiona</t>
  </si>
  <si>
    <t>Blanket, four frames, packaged in ribbon with card with design on it</t>
  </si>
  <si>
    <t>washing label</t>
  </si>
  <si>
    <t>adhesive bag</t>
  </si>
  <si>
    <t>B09D8HN7YH</t>
  </si>
  <si>
    <t>B09D8CG4P9</t>
  </si>
  <si>
    <t>B09D8FCDSW</t>
  </si>
  <si>
    <t>B09D8BXDB5</t>
  </si>
  <si>
    <t>B09D8C8QD7</t>
  </si>
  <si>
    <t>B0BPJK35JH</t>
  </si>
  <si>
    <t xml:space="preserve">Kevin </t>
  </si>
  <si>
    <t>1pc milestone blanket, 1 wooden arrow. 1 wooden circle. 1 double sided wooden frame with text</t>
  </si>
  <si>
    <t>100% Cotton</t>
  </si>
  <si>
    <t>custom carton box with transparent opening</t>
  </si>
  <si>
    <t>B0BPT8VWZK</t>
  </si>
  <si>
    <t>B0BPT8X5J2</t>
  </si>
  <si>
    <t>B0BPT93Y4G</t>
  </si>
  <si>
    <t>Blanket blossom UK</t>
  </si>
  <si>
    <t>B0BNQV7QPR</t>
  </si>
  <si>
    <t>HC-7V8M-DTIF</t>
  </si>
  <si>
    <t>ZY-KHMF-162Z</t>
  </si>
  <si>
    <t>X003SFCT81</t>
  </si>
  <si>
    <t>X001OHXU9T</t>
  </si>
  <si>
    <t>Blanket fox</t>
  </si>
  <si>
    <t>B08CKW16F7</t>
  </si>
  <si>
    <t>MX-8YB2-6ZXD</t>
  </si>
  <si>
    <t>X0017BQCGZ</t>
  </si>
  <si>
    <t>100*130cm</t>
  </si>
  <si>
    <t>Blanket koala</t>
  </si>
  <si>
    <t>B07NS8B464</t>
  </si>
  <si>
    <t>5Y-3YWH-201Z</t>
  </si>
  <si>
    <t>adhesive pe bag</t>
  </si>
  <si>
    <t>Blanket Leaves DE</t>
  </si>
  <si>
    <t>B09NDXFBWY</t>
  </si>
  <si>
    <t>8L-9IFE-6T24</t>
  </si>
  <si>
    <t>X001HH9ZU9</t>
  </si>
  <si>
    <t>B08RJKW8K6</t>
  </si>
  <si>
    <t>B08RHZ25B5</t>
  </si>
  <si>
    <t>B08RHZMDQF</t>
  </si>
  <si>
    <t>B08RHXG44H</t>
  </si>
  <si>
    <t>B083JD8BYZ</t>
  </si>
  <si>
    <t>B08CHNK31M</t>
  </si>
  <si>
    <t>B097MVG9NY</t>
  </si>
  <si>
    <t>B0C2J7Z66R</t>
  </si>
  <si>
    <t>B0C2J87XG4</t>
  </si>
  <si>
    <t>B0C2J5D4QM</t>
  </si>
  <si>
    <t>B0C2J7VS22</t>
  </si>
  <si>
    <t>B0C2J7HSHJ</t>
  </si>
  <si>
    <t>B09NDYZ1ZW</t>
  </si>
  <si>
    <t>B09NDWDH5Y</t>
  </si>
  <si>
    <t>B09JK66341</t>
  </si>
  <si>
    <t>B09PW76DW1</t>
  </si>
  <si>
    <t>B09PY2F2MZ</t>
  </si>
  <si>
    <t>B09PW99DPB</t>
  </si>
  <si>
    <t>B09PWGBMN7</t>
  </si>
  <si>
    <t>B0B13541CB</t>
  </si>
  <si>
    <t>B08CKS36CP</t>
  </si>
  <si>
    <t>B0B1VRG7W6</t>
  </si>
  <si>
    <t>B0B1VXS22Z</t>
  </si>
  <si>
    <t>B0B1VSYFWL</t>
  </si>
  <si>
    <t>B0B1VWJ245</t>
  </si>
  <si>
    <t>B0B1VMWPSL</t>
  </si>
  <si>
    <t>B09D8FQF4F</t>
  </si>
  <si>
    <t>B09D8F8SV8</t>
  </si>
  <si>
    <t>B09D8C2LY4</t>
  </si>
  <si>
    <t>B09D8GNV8G</t>
  </si>
  <si>
    <t>B09D8D5B5M</t>
  </si>
  <si>
    <t>B09D8GG529</t>
  </si>
  <si>
    <t>B09D8CRXPQ</t>
  </si>
  <si>
    <t>B09D8FFSJP</t>
  </si>
  <si>
    <t>B08RHLFHTV</t>
  </si>
  <si>
    <t>B09TRX21XY</t>
  </si>
  <si>
    <t>B08CHNBL9Y</t>
  </si>
  <si>
    <t>B09D8CDDK2</t>
  </si>
  <si>
    <t>B09D8DZWJ6</t>
  </si>
  <si>
    <t>B09D8DS6FV</t>
  </si>
  <si>
    <t>B09D8D32CY</t>
  </si>
  <si>
    <t>B09D89X9QQ</t>
  </si>
  <si>
    <t>B08CKVQD66</t>
  </si>
  <si>
    <t>B0BGSYPFHN</t>
  </si>
  <si>
    <t>B0BGSZCWSK</t>
  </si>
  <si>
    <t>B0BGSZFGDR</t>
  </si>
  <si>
    <t>B0BGT13J6T</t>
  </si>
  <si>
    <t>B0BGT1SR2B</t>
  </si>
  <si>
    <t>B0C3WF2VJL</t>
  </si>
  <si>
    <t>B0CZ9RZ8GC</t>
  </si>
  <si>
    <t>B0CZ74HDG2</t>
  </si>
  <si>
    <t>LeafImpact</t>
  </si>
  <si>
    <t>custom brown box with black text and green color</t>
  </si>
  <si>
    <t>Leafimpact</t>
  </si>
  <si>
    <t>Plastic</t>
  </si>
  <si>
    <t>Chris Wang</t>
  </si>
  <si>
    <t>vinyl record stand*2，acrylic board*2,connecting rod*2, screwdriver
*1, screws*4, Non-slip pad*8</t>
  </si>
  <si>
    <t>Wood &amp; Acrylic</t>
  </si>
  <si>
    <t xml:space="preserve">box </t>
  </si>
  <si>
    <t>Green</t>
  </si>
  <si>
    <t>B0C4FSNPP4</t>
  </si>
  <si>
    <t>B0C4FSVQQL</t>
  </si>
  <si>
    <t>B0C4FQWSXL</t>
  </si>
  <si>
    <t>B0D1YJV227</t>
  </si>
  <si>
    <t>B0D1YJQCLF</t>
  </si>
  <si>
    <t>B0D1YM8GDL</t>
  </si>
  <si>
    <t>B0D1YLDQX4</t>
  </si>
  <si>
    <t>B0D1YKRY88</t>
  </si>
  <si>
    <t>B0D1YKMLGF</t>
  </si>
  <si>
    <t>B0D2XSHTY7</t>
  </si>
  <si>
    <t>B0D2XPQFBM</t>
  </si>
  <si>
    <t>B0D2XQJ276</t>
  </si>
  <si>
    <t>B0D2XQP1KL</t>
  </si>
  <si>
    <t>B0D2XQM94B</t>
  </si>
  <si>
    <t>B0D2XP6V85</t>
  </si>
  <si>
    <t>B0CLVN94NY</t>
  </si>
  <si>
    <t>B0CJRM9WXS</t>
  </si>
  <si>
    <t>B0BPJKMKPM</t>
  </si>
  <si>
    <t>B0D22HQY7V</t>
  </si>
  <si>
    <t>B0D22JMLHQ</t>
  </si>
  <si>
    <t>B0CQJXS29Z</t>
  </si>
  <si>
    <t>B0CGJ864JG</t>
  </si>
  <si>
    <t>B0CGDNYSHD</t>
  </si>
  <si>
    <t>B0CGDNMP3L</t>
  </si>
  <si>
    <t>B0CQM7281K</t>
  </si>
  <si>
    <t>B0CQM7T54F</t>
  </si>
  <si>
    <t>B0CQMBN4WS</t>
  </si>
  <si>
    <t>B0CQMDLMCR</t>
  </si>
  <si>
    <t>B0863W675G</t>
  </si>
  <si>
    <t>B0CP623J2P</t>
  </si>
  <si>
    <t>B0CP61YWHC</t>
  </si>
  <si>
    <t>B0CP5XDGMV</t>
  </si>
  <si>
    <t>B0CP5Z948S</t>
  </si>
  <si>
    <t>B0CJY4VYZS</t>
  </si>
  <si>
    <t>B0CJY7ZLY9</t>
  </si>
  <si>
    <t>B0CJY595PG</t>
  </si>
  <si>
    <t>B0CJY5LB5G</t>
  </si>
  <si>
    <t>B0CJY41MJ1</t>
  </si>
  <si>
    <t>B0CJY6ZFWD</t>
  </si>
  <si>
    <t>B0CZRXT7JT</t>
  </si>
  <si>
    <t>B0DNZNPWTG</t>
  </si>
  <si>
    <t>B0BX44CTK4</t>
  </si>
  <si>
    <t>B0CNXM1133</t>
  </si>
  <si>
    <t>B0DL6MJL6K</t>
  </si>
  <si>
    <t>B0DL6JM5MW</t>
  </si>
  <si>
    <t>B0DL6KVQY3</t>
  </si>
  <si>
    <t>B0BL42SVVL</t>
  </si>
  <si>
    <t>B0CLPGF1XL</t>
  </si>
  <si>
    <t>B0BL1L57WR</t>
  </si>
  <si>
    <t>B08R6DG3Q1</t>
  </si>
  <si>
    <t>B0B9HD35XD</t>
  </si>
  <si>
    <t>B0CCDJGMHD</t>
  </si>
  <si>
    <t>B09LDCG6YK</t>
  </si>
  <si>
    <t>B09NDVV9XW</t>
  </si>
  <si>
    <t>B09NDW32CT</t>
  </si>
  <si>
    <t>B0BFF3K726</t>
  </si>
  <si>
    <t>B0DFPZYPR6</t>
  </si>
  <si>
    <t>B0BCGQ3MWD</t>
  </si>
  <si>
    <t>B0BC9C6S13</t>
  </si>
  <si>
    <t>B0C6F7MQRD</t>
  </si>
  <si>
    <t>B0C4FPL2GM</t>
  </si>
  <si>
    <t>B0DFPWM4NR</t>
  </si>
  <si>
    <t>B0DFPZT5P5</t>
  </si>
  <si>
    <t>B08R6BL8DB</t>
  </si>
  <si>
    <t>B09TRN1GB4</t>
  </si>
  <si>
    <t>B0C6F6VGZJ</t>
  </si>
  <si>
    <t>B0C6F6VDG5</t>
  </si>
  <si>
    <t>B0C6F92T3J</t>
  </si>
  <si>
    <t>B0C6FBHRPY</t>
  </si>
  <si>
    <t>B09DL5S5MC</t>
  </si>
  <si>
    <t>B09DL9DB86</t>
  </si>
  <si>
    <t>B0DNZJZRNT</t>
  </si>
  <si>
    <t>B0CGMBT9QJ</t>
  </si>
  <si>
    <t>B0CGMB89TL</t>
  </si>
  <si>
    <t>B0CQM8LQN8</t>
  </si>
  <si>
    <t>B0CQM68JH4</t>
  </si>
  <si>
    <t>B0B7BDWTVW</t>
  </si>
  <si>
    <t>B0FMRRM64K</t>
  </si>
  <si>
    <t>B0DNN9WJ4D</t>
  </si>
  <si>
    <t>B0F9FSF68G</t>
  </si>
  <si>
    <t>B0F9FVP8TR</t>
  </si>
  <si>
    <t>B0F9FTN9HJ</t>
  </si>
  <si>
    <t>B0F9FTH5QW</t>
  </si>
  <si>
    <t>B0F9FR8GX2</t>
  </si>
  <si>
    <t>B0F9FRSDJN</t>
  </si>
  <si>
    <t>B0DNN9SX77</t>
  </si>
  <si>
    <t>B0FWCXJNN6</t>
  </si>
  <si>
    <t>B0FWD3J3RL</t>
  </si>
  <si>
    <t>B0FMRTD8W8</t>
  </si>
  <si>
    <t>B0FMRT4TCC</t>
  </si>
  <si>
    <t>B0FMRRV9DL</t>
  </si>
  <si>
    <t>B0FMRPPDM5</t>
  </si>
  <si>
    <t>B0FMRRP92M</t>
  </si>
  <si>
    <t>B08BZQLT5S</t>
  </si>
  <si>
    <t>B07SB6HC4V</t>
  </si>
  <si>
    <t>B08BZP82K6</t>
  </si>
  <si>
    <t>B07SRXVJGW</t>
  </si>
  <si>
    <t>B09HS9J2W9</t>
  </si>
  <si>
    <t>B0FN7YSWTT</t>
  </si>
  <si>
    <t>B0B8JN1BFP</t>
  </si>
  <si>
    <t>B0B8JPCRKX</t>
  </si>
  <si>
    <t>B0B8JMWGH1</t>
  </si>
  <si>
    <t>B0B8JP1SGQ</t>
  </si>
  <si>
    <t>B0B8JLLLLW</t>
  </si>
  <si>
    <t>B0C8ZKPTL2</t>
  </si>
  <si>
    <t>B0C8ZKZ1ZD</t>
  </si>
  <si>
    <t>B0C8ZKQB9R</t>
  </si>
  <si>
    <t>B0C8ZLPSBB</t>
  </si>
  <si>
    <t>B0C8ZGNCTY</t>
  </si>
  <si>
    <t>B0CLPHNXJT</t>
  </si>
  <si>
    <t>B0D5BMRVHD</t>
  </si>
  <si>
    <t>B0DP3BTK94</t>
  </si>
  <si>
    <t>B0DP3BPNW6</t>
  </si>
  <si>
    <t>B0BG85YH1W</t>
  </si>
  <si>
    <t>B0CDQ83K8B</t>
  </si>
  <si>
    <t>B0CLM46GJH</t>
  </si>
  <si>
    <t>B0CLM454QT</t>
  </si>
  <si>
    <t>B0C8ZMJ4CS</t>
  </si>
  <si>
    <t>B0C8ZKNLST</t>
  </si>
  <si>
    <t>B0C8ZMJB68</t>
  </si>
  <si>
    <t>B0C8ZL9JBL</t>
  </si>
  <si>
    <t>B0C8ZK112Q</t>
  </si>
  <si>
    <t>B0C2J4WQKZ</t>
  </si>
  <si>
    <t>B0C2J8FJ2H</t>
  </si>
  <si>
    <t>B0C2J88XXS</t>
  </si>
  <si>
    <t>B0C2J7561B</t>
  </si>
  <si>
    <t>B0C2J6NVWQ</t>
  </si>
  <si>
    <t>B09NDX4Q8T</t>
  </si>
  <si>
    <t>B09NDWQXTP</t>
  </si>
  <si>
    <t>B0C1PBGGFM</t>
  </si>
  <si>
    <t>B0C1P9W3RS</t>
  </si>
  <si>
    <t>B0C1P9BGDK</t>
  </si>
  <si>
    <t>B0C1PBY8SB</t>
  </si>
  <si>
    <t>B0C1PB22F7</t>
  </si>
  <si>
    <t>B0B138N783</t>
  </si>
  <si>
    <t>B0BPK2F38L</t>
  </si>
  <si>
    <t>B09PYV3DY5</t>
  </si>
  <si>
    <t>B0C1PB46PB</t>
  </si>
  <si>
    <t>B0BPJRS1D5</t>
  </si>
  <si>
    <t>B09PYH5YBH</t>
  </si>
  <si>
    <t>B09PYNFFWD</t>
  </si>
  <si>
    <t>B0BPJ5JH88</t>
  </si>
  <si>
    <t>B0BX44X231</t>
  </si>
  <si>
    <t>B0B8JNJF16</t>
  </si>
  <si>
    <t>B0DF83XMMJ</t>
  </si>
  <si>
    <t>B0FDB72XJG</t>
  </si>
  <si>
    <t>B0BX44XR7W</t>
  </si>
  <si>
    <t>B0B8JQNVSG</t>
  </si>
  <si>
    <t>B0BPJ22TKH</t>
  </si>
  <si>
    <t>B0BX4615GR</t>
  </si>
  <si>
    <t>B0BPHZ44LY</t>
  </si>
  <si>
    <t>B089DKSM73</t>
  </si>
  <si>
    <t>B089DLYBWD</t>
  </si>
  <si>
    <t>B089DMRYHC</t>
  </si>
  <si>
    <t>B089DKTSYY</t>
  </si>
  <si>
    <t>B0DP4YND89</t>
  </si>
  <si>
    <t>B0DP51LPQF</t>
  </si>
  <si>
    <t>Propagator big 1pk</t>
  </si>
  <si>
    <t>B08BG74Q65</t>
  </si>
  <si>
    <t>7E-GZIK-FILJ</t>
  </si>
  <si>
    <t>X002MXF1K3</t>
  </si>
  <si>
    <t>X0016ZYZVB</t>
  </si>
  <si>
    <t>Joyce</t>
  </si>
  <si>
    <t>24-cell seed tray propagator, with 4pc marker , 2pc seed planter, thanks card and guide</t>
  </si>
  <si>
    <t>Provided by us</t>
  </si>
  <si>
    <t>Color box</t>
  </si>
  <si>
    <t>propagator big 2pk</t>
  </si>
  <si>
    <t>5.27</t>
  </si>
  <si>
    <t>2 Lids + 2 bottoms + 2x 24 cell seed trays + 2pc seed planter +8 labels</t>
  </si>
  <si>
    <t>Propagator big 2pk</t>
  </si>
  <si>
    <t>B08BG695P2</t>
  </si>
  <si>
    <t>FP-S3KC-OPLV</t>
  </si>
  <si>
    <t>X002MXGIJB</t>
  </si>
  <si>
    <t>X0016ZRH7F</t>
  </si>
  <si>
    <t>Samantha</t>
  </si>
  <si>
    <t>24-cell seed tray propagator, with 8pc marker , 2pc seed planter, thanks card and guide</t>
  </si>
  <si>
    <t>Rabbit blanket</t>
  </si>
  <si>
    <t>B07Q3FVXS9</t>
  </si>
  <si>
    <t>EW-IO2U-1J4Q</t>
  </si>
  <si>
    <t> </t>
  </si>
  <si>
    <t>Record holder black</t>
  </si>
  <si>
    <t>Record holder light</t>
  </si>
  <si>
    <t>B0CQ563Z9Z</t>
  </si>
  <si>
    <t>B0C3WCPM4N</t>
  </si>
  <si>
    <t>B0CGDNT5C1</t>
  </si>
  <si>
    <t>B0BX49RKRT</t>
  </si>
  <si>
    <t>B0BPHVW5HH</t>
  </si>
  <si>
    <t>B0CDLHDH7S</t>
  </si>
  <si>
    <t>B0BFF558GW</t>
  </si>
  <si>
    <t>B0BFF3FRSK</t>
  </si>
  <si>
    <t>B0CQMGRQD9</t>
  </si>
  <si>
    <t>B0CQMDN8FJ</t>
  </si>
  <si>
    <t>B0BPYPBT44</t>
  </si>
  <si>
    <t>B0CQMG5ZC4</t>
  </si>
  <si>
    <t>B0CQMCYSYF</t>
  </si>
  <si>
    <t>B0CCDKVYRC</t>
  </si>
  <si>
    <t>B0CLTZWTHF</t>
  </si>
  <si>
    <t>B0CLV15W1B</t>
  </si>
  <si>
    <t>B0CQMDDW7T</t>
  </si>
  <si>
    <t>B0C6F6KSKZ</t>
  </si>
  <si>
    <t>B0CQMD557V</t>
  </si>
  <si>
    <t>B0C6FB329N</t>
  </si>
  <si>
    <t>B0CQM3NZ8X</t>
  </si>
  <si>
    <t>B0CCDJJD6N</t>
  </si>
  <si>
    <t>B0CQMGF73L</t>
  </si>
  <si>
    <t>B0DFML1FY1</t>
  </si>
  <si>
    <t>B0DFMJGVMP</t>
  </si>
  <si>
    <t>B0DFMMCDMQ</t>
  </si>
  <si>
    <t>B0DFMGQTRJ</t>
  </si>
  <si>
    <t>B0BPYQPWK4</t>
  </si>
  <si>
    <t>B0CQMSTJKW</t>
  </si>
  <si>
    <t>B0CQMTTFZ7</t>
  </si>
  <si>
    <t>B0BNQWRKGH</t>
  </si>
  <si>
    <t>B0CND7KTFY</t>
  </si>
  <si>
    <t>B0CJYD1JP4</t>
  </si>
  <si>
    <t>B0DP3B9CS3</t>
  </si>
  <si>
    <t>B0CZ75QXS7</t>
  </si>
  <si>
    <t>B0CZ79Q7F1</t>
  </si>
  <si>
    <t>B0CZ78M2VW</t>
  </si>
  <si>
    <t>B0CZ77FJVF</t>
  </si>
  <si>
    <t>B0D8117LCJ</t>
  </si>
  <si>
    <t>B0D22ZMSPV</t>
  </si>
  <si>
    <t>B0D22YNMJ8</t>
  </si>
  <si>
    <t>B0D22YMGX2</t>
  </si>
  <si>
    <t>B0D22YTBSX</t>
  </si>
  <si>
    <t>B0D22Y7LQH</t>
  </si>
  <si>
    <t>B0D22ZQ456</t>
  </si>
  <si>
    <t>B085LF48NV</t>
  </si>
  <si>
    <t>B085NVTS1F</t>
  </si>
  <si>
    <t>B081FBYJHH</t>
  </si>
  <si>
    <t>B0D22ZG679</t>
  </si>
  <si>
    <t>B0D22W1WW7</t>
  </si>
  <si>
    <t>B0D22YGZ61</t>
  </si>
  <si>
    <t>B085LDT39Q</t>
  </si>
  <si>
    <t>B085NVSPGY</t>
  </si>
  <si>
    <t>B081NJDGWC</t>
  </si>
  <si>
    <t>B0D22X1Y1F</t>
  </si>
  <si>
    <t>B0D22YFD5N</t>
  </si>
  <si>
    <t>B0D22Z6G8T</t>
  </si>
  <si>
    <t>B08RJ1BCNR</t>
  </si>
  <si>
    <t>B0BRJR52SS</t>
  </si>
  <si>
    <t>B08RHQ4FVX</t>
  </si>
  <si>
    <t>B0C1P7S6HP</t>
  </si>
  <si>
    <t>B09M7D77KH</t>
  </si>
  <si>
    <t>B0B4SR6R4B</t>
  </si>
  <si>
    <t>B0BX454T71</t>
  </si>
  <si>
    <t>B09M7D4V88</t>
  </si>
  <si>
    <t>B0B4SPTP1Q</t>
  </si>
  <si>
    <t>B0BX496DY4</t>
  </si>
  <si>
    <t>B0BPHXY86W</t>
  </si>
  <si>
    <t>B0CLPGLHS9</t>
  </si>
  <si>
    <t>B0CZTH35Z3</t>
  </si>
  <si>
    <t>B0C6FFLN4M</t>
  </si>
  <si>
    <t>B0C1P82Q3Y</t>
  </si>
  <si>
    <t>B0CP9LQCD6</t>
  </si>
  <si>
    <t>B0CP9JXZLR</t>
  </si>
  <si>
    <t>B0CP9KZGSC</t>
  </si>
  <si>
    <t>B0BPT3WSF4</t>
  </si>
  <si>
    <t>B0CP9LKDDT</t>
  </si>
  <si>
    <t>B0CGJ43YH5</t>
  </si>
  <si>
    <t>B0CGJCFYNH</t>
  </si>
  <si>
    <t>B0CGJ4P1B8</t>
  </si>
  <si>
    <t>B0CGJ1G3KV</t>
  </si>
  <si>
    <t>B0CGJ9JD44</t>
  </si>
  <si>
    <t>B0CGJDLGQX</t>
  </si>
  <si>
    <t>B0CQM8HXLF</t>
  </si>
  <si>
    <t>B0CQM652YB</t>
  </si>
  <si>
    <t>B0CQM8HXL7</t>
  </si>
  <si>
    <t>B0CQM82PPV</t>
  </si>
  <si>
    <t>B0DBLKDL5R</t>
  </si>
  <si>
    <t>B0DBLK154X</t>
  </si>
  <si>
    <t>B0DBLFCBPC</t>
  </si>
  <si>
    <t>B0DHGZZ258</t>
  </si>
  <si>
    <t>B0DHGZ3WBN</t>
  </si>
  <si>
    <t>B0DHGZWZ9C</t>
  </si>
  <si>
    <t>B0FL7M2XJY</t>
  </si>
  <si>
    <t>B0FL7KXWP7</t>
  </si>
  <si>
    <t>B0FL7JJ6XL</t>
  </si>
  <si>
    <t>B0CGJ9HDQ2</t>
  </si>
  <si>
    <t>B0CNXP4KST</t>
  </si>
  <si>
    <t>B0CNXQDBHC</t>
  </si>
  <si>
    <t>B0CNXRK9ZR</t>
  </si>
  <si>
    <t>B0CNXSJF9G</t>
  </si>
  <si>
    <t>B0DF858FTW</t>
  </si>
  <si>
    <t>B0DF84RBDL</t>
  </si>
  <si>
    <t>B0DF84GG7N</t>
  </si>
  <si>
    <t>B0DFQKDFK2</t>
  </si>
  <si>
    <t>B0DFQL8CV9</t>
  </si>
  <si>
    <t>B0DFQLNWP4</t>
  </si>
  <si>
    <t>B0D22VGGY7</t>
  </si>
  <si>
    <t>B0D22L1H5F</t>
  </si>
  <si>
    <t>B0D22M49XB</t>
  </si>
  <si>
    <t>B0D22HR9D8</t>
  </si>
  <si>
    <t>B0D818Y7KG</t>
  </si>
  <si>
    <t>B0D818XZG6</t>
  </si>
  <si>
    <t>B0DNN9RSVY</t>
  </si>
  <si>
    <t>B0CNXLN2MW</t>
  </si>
  <si>
    <t>B0CNXN6PRN</t>
  </si>
  <si>
    <t>B0CQMCK1L3</t>
  </si>
  <si>
    <t>B0DP34GRP5</t>
  </si>
  <si>
    <t>B0DP35ZHXN</t>
  </si>
  <si>
    <t>B0897YHVXQ</t>
  </si>
  <si>
    <t>B0897YXQCJ</t>
  </si>
  <si>
    <t>B0897Z3VMG</t>
  </si>
  <si>
    <t>B094VVZG6K</t>
  </si>
  <si>
    <t>B0B8ZX4WVB</t>
  </si>
  <si>
    <t>B08BPHXFYV</t>
  </si>
  <si>
    <t>B08FCLNXWM</t>
  </si>
  <si>
    <t>B08BP7ZNWG</t>
  </si>
  <si>
    <t>B0CZ4625N7</t>
  </si>
  <si>
    <t>B0DFCGNKG5</t>
  </si>
  <si>
    <t>B0DFCH9HVF</t>
  </si>
  <si>
    <t>B0FN7XK324</t>
  </si>
  <si>
    <t>B0FN7YRYWH</t>
  </si>
  <si>
    <t>B0FN7VPYMN</t>
  </si>
  <si>
    <t>B0C8Z9HCXF</t>
  </si>
  <si>
    <t>B0C8ZHKD1G</t>
  </si>
  <si>
    <t>B0D5HHZ2Q6</t>
  </si>
  <si>
    <t>B0D5HLYMWG</t>
  </si>
  <si>
    <t>B0BPT53W6V</t>
  </si>
  <si>
    <t>B0FL7HJKG3</t>
  </si>
  <si>
    <t>B0B7BJ6QMY</t>
  </si>
  <si>
    <t>B0CLVNBTV8</t>
  </si>
  <si>
    <t>B09L8HT7ZT</t>
  </si>
  <si>
    <t>B09L8J3GQT</t>
  </si>
  <si>
    <t>B09L8JJ4BM</t>
  </si>
  <si>
    <t>B0CDLDVMZV</t>
  </si>
  <si>
    <t>B0CDLGHMST</t>
  </si>
  <si>
    <t>B0CDL8MTLX</t>
  </si>
  <si>
    <t>B0DP337LLG</t>
  </si>
  <si>
    <t>B0CLM164B4</t>
  </si>
  <si>
    <t>B0CLM1KNXZ</t>
  </si>
  <si>
    <t>B08HZBKJ44</t>
  </si>
  <si>
    <t>B081QFYRVF</t>
  </si>
  <si>
    <t>B08R6DXVG1</t>
  </si>
  <si>
    <t>B081QFSQWK</t>
  </si>
  <si>
    <t>B081DY2TTH</t>
  </si>
  <si>
    <t>B08R6CVG7K</t>
  </si>
  <si>
    <t>B08R6GL762</t>
  </si>
  <si>
    <t>B08R6H7LKK</t>
  </si>
  <si>
    <t>B08R6FJ4QL</t>
  </si>
  <si>
    <t>B08R6H2TXD</t>
  </si>
  <si>
    <t>B08R6GVSC6</t>
  </si>
  <si>
    <t>B0B1VPLL4K</t>
  </si>
  <si>
    <t>B0B1VNC7FK</t>
  </si>
  <si>
    <t>B0B1VMSB14</t>
  </si>
  <si>
    <t>B0CDLDYPK7</t>
  </si>
  <si>
    <t>B0C4FRFZW1</t>
  </si>
  <si>
    <t>B0D819CFHD</t>
  </si>
  <si>
    <t>B0D816BH3P</t>
  </si>
  <si>
    <t>B0B9HDL34P</t>
  </si>
  <si>
    <t>B0FF9VNLBL</t>
  </si>
  <si>
    <t>B0FF9TVLTQ</t>
  </si>
  <si>
    <t>B0FF9TC6TG</t>
  </si>
  <si>
    <t>B0FF9WGRHN</t>
  </si>
  <si>
    <t>B0C2J5WLL5</t>
  </si>
  <si>
    <t>B0DP3FTMCV</t>
  </si>
  <si>
    <t>B0FWKTHXGD</t>
  </si>
  <si>
    <t>B0CQD44VJ5</t>
  </si>
  <si>
    <t>B0CQD36XSZ</t>
  </si>
  <si>
    <t>B0CQD31GD1</t>
  </si>
  <si>
    <t>B0CQD31GMZ</t>
  </si>
  <si>
    <t>B0CQJVS365</t>
  </si>
  <si>
    <t>B0CQJW9X8X</t>
  </si>
  <si>
    <t>B0CJY41QBP</t>
  </si>
  <si>
    <t>B0CJY4XWHX</t>
  </si>
  <si>
    <t>B0CJY5JNQ2</t>
  </si>
  <si>
    <t>B0CJY646DB</t>
  </si>
  <si>
    <t>B0D5H8Y6B4</t>
  </si>
  <si>
    <t>B0D5H9LDMH</t>
  </si>
  <si>
    <t>B0D5H8MN2S</t>
  </si>
  <si>
    <t>B0D5H9QX28</t>
  </si>
  <si>
    <t>B0D5H88VX8</t>
  </si>
  <si>
    <t>B0D5H6TTLQ</t>
  </si>
  <si>
    <t>B0C4FTH9DM</t>
  </si>
  <si>
    <t>B08R6D4MH9</t>
  </si>
  <si>
    <t>B0CQD2MMR6</t>
  </si>
  <si>
    <t>B0DF86F819</t>
  </si>
  <si>
    <t>B0DP34JVXX</t>
  </si>
  <si>
    <t>B0FN7RNGV6</t>
  </si>
  <si>
    <t>Miniature storage case v3</t>
  </si>
  <si>
    <t>B0G2SZ4B9V</t>
  </si>
  <si>
    <t>B0FWD4ZT4D</t>
  </si>
  <si>
    <t>B0G1TF4N27</t>
  </si>
  <si>
    <t>B0G1T74JTH</t>
  </si>
  <si>
    <t>B0G2SWLCBR</t>
  </si>
  <si>
    <t>B0G34XNGP3</t>
  </si>
  <si>
    <t>B0G352X7WQ</t>
  </si>
  <si>
    <t>B0G34YTH9Y</t>
  </si>
  <si>
    <t>B0G34YBD1T</t>
  </si>
  <si>
    <t>B0G353ZJYR</t>
  </si>
  <si>
    <t>B0G34Z4D28</t>
  </si>
  <si>
    <t>B0G3529QCQ</t>
  </si>
  <si>
    <t>B0G34YHGNG</t>
  </si>
  <si>
    <t>B0G3518X55</t>
  </si>
  <si>
    <t>B0G34Z8Y8V</t>
  </si>
  <si>
    <t>B0G4R8G26W</t>
  </si>
  <si>
    <t>B0G4R7TD2S</t>
  </si>
  <si>
    <t>B0G4RB7S17</t>
  </si>
  <si>
    <t>B0G4R7QFK4</t>
  </si>
  <si>
    <t>B0G1TFLRCP</t>
  </si>
  <si>
    <t>B0G7X8FTR9</t>
  </si>
  <si>
    <t>B0G7XKW1H9</t>
  </si>
  <si>
    <t>B0GK871KQZ</t>
  </si>
  <si>
    <t>B0GK8CGGK4</t>
  </si>
  <si>
    <t>B0GK8JB4CF</t>
  </si>
  <si>
    <t>B0GK8DBG3Z</t>
  </si>
  <si>
    <t>B0GK8C967J</t>
  </si>
  <si>
    <t>B0GK82Q6YK</t>
  </si>
  <si>
    <t>B0GSZB3JRG</t>
  </si>
  <si>
    <t>B0GSZ7VGX7</t>
  </si>
  <si>
    <t>B0GT22XDSD</t>
  </si>
  <si>
    <t>B0GT5PCST2</t>
  </si>
  <si>
    <t>B0GT1XDT4S</t>
  </si>
  <si>
    <t>B0GT211JTM</t>
  </si>
  <si>
    <t>B0GT21CYWB</t>
  </si>
  <si>
    <t>B0GT5NJ112</t>
  </si>
  <si>
    <t>B0GT5JM76C</t>
  </si>
  <si>
    <t>B0GVFRYYJ8</t>
  </si>
  <si>
    <t>B0GVG7F9JL</t>
  </si>
  <si>
    <t>B0GT1MTJLL</t>
  </si>
  <si>
    <t>B0GX236M62</t>
  </si>
  <si>
    <t>B0GX2389Z7</t>
  </si>
  <si>
    <t>B0GX2C7FLS</t>
  </si>
  <si>
    <t>B0GX27133M</t>
  </si>
  <si>
    <t>B0GX23CDJH</t>
  </si>
  <si>
    <t>Outercarton</t>
  </si>
  <si>
    <t>Innercarton</t>
  </si>
  <si>
    <t>ASIN/EAN</t>
  </si>
  <si>
    <t>Dimensions (cm)</t>
  </si>
  <si>
    <t>W (cm)</t>
  </si>
  <si>
    <t>L (cm)</t>
  </si>
  <si>
    <t>H (CM)</t>
  </si>
  <si>
    <t>Weight (kg)</t>
  </si>
  <si>
    <t>Units per carton</t>
  </si>
  <si>
    <t>CBM</t>
  </si>
  <si>
    <t>W (inch)</t>
  </si>
  <si>
    <t>L (inch)</t>
  </si>
  <si>
    <t>H (inch)</t>
  </si>
  <si>
    <t>Weight (lbs)</t>
  </si>
  <si>
    <t>Shipping volume per unit (CBM)</t>
  </si>
  <si>
    <t>Inspection point 1</t>
  </si>
  <si>
    <t>Inspection point 2</t>
  </si>
  <si>
    <t>Inspection point 3</t>
  </si>
  <si>
    <t>Inspection point 4</t>
  </si>
  <si>
    <t>Inspection point 5</t>
  </si>
  <si>
    <t>Inspection point 6</t>
  </si>
  <si>
    <t>Inspection point 7</t>
  </si>
  <si>
    <t>Inspection point 8</t>
  </si>
  <si>
    <t>Inspection point 9</t>
  </si>
  <si>
    <t>Inspection point 10</t>
  </si>
  <si>
    <t>Inspection point 11</t>
  </si>
  <si>
    <t>Inspection point 12</t>
  </si>
  <si>
    <t>Inspection point 13</t>
  </si>
  <si>
    <t>Inspection point 14</t>
  </si>
  <si>
    <t>Inspection point 15</t>
  </si>
  <si>
    <t>Inspection point 16</t>
  </si>
  <si>
    <t>Inspection point 17</t>
  </si>
  <si>
    <t>Inspection point 18</t>
  </si>
  <si>
    <t>Inspection point 19</t>
  </si>
  <si>
    <t>Inspection point 20</t>
  </si>
  <si>
    <t>Inspection point 21</t>
  </si>
  <si>
    <t>Inspection point 22</t>
  </si>
  <si>
    <t>Inspection point 23</t>
  </si>
  <si>
    <t>Inspection point 24</t>
  </si>
  <si>
    <t>Inspection point 25</t>
  </si>
  <si>
    <t>Inspection point 26</t>
  </si>
  <si>
    <t>Inspection point 27</t>
  </si>
  <si>
    <t>Inspection point 28</t>
  </si>
  <si>
    <t>Inspection point 29</t>
  </si>
  <si>
    <t>Inspection point 30</t>
  </si>
  <si>
    <t>Inspection point 31</t>
  </si>
  <si>
    <t>Inspection point 32</t>
  </si>
  <si>
    <t>Inspection point 33</t>
  </si>
  <si>
    <t>Inspection point 34</t>
  </si>
  <si>
    <t>Inspection point 35</t>
  </si>
  <si>
    <t>Inspection point 36</t>
  </si>
  <si>
    <t>Inspection point 37</t>
  </si>
  <si>
    <t>Inspection point 38</t>
  </si>
  <si>
    <t>Inspection point 39</t>
  </si>
  <si>
    <t>Inspection point 40</t>
  </si>
  <si>
    <t>Inspection point 41</t>
  </si>
  <si>
    <t>Inspection point 42</t>
  </si>
  <si>
    <t>Inspection point 43</t>
  </si>
  <si>
    <t>Inspection point 44</t>
  </si>
  <si>
    <t>Inspection point 45</t>
  </si>
  <si>
    <t>Inspection point 46</t>
  </si>
  <si>
    <t>Inspection point 47</t>
  </si>
  <si>
    <t>Inspection point 48</t>
  </si>
  <si>
    <t>Inspection point 49</t>
  </si>
  <si>
    <t>Inspection point 50</t>
  </si>
  <si>
    <t>Inspection point 51</t>
  </si>
  <si>
    <t>Inspection point 52</t>
  </si>
  <si>
    <t>Inspection point 53</t>
  </si>
  <si>
    <t>Inspection point 54</t>
  </si>
  <si>
    <t>Inspection point 55</t>
  </si>
  <si>
    <t>Inspection point 56</t>
  </si>
  <si>
    <t>Inspection point 57</t>
  </si>
  <si>
    <t>Inspection point 58</t>
  </si>
  <si>
    <t>Inspection point 59</t>
  </si>
  <si>
    <t>Inspection point 60</t>
  </si>
  <si>
    <t>If a product is packaged in a box, check if there is any loose space inside the box. There needs to be some kind of foam or plastic inside to protect the product during shipping</t>
  </si>
  <si>
    <t>If a product is packaged in a box, hold it in front of you and shake it 10 times. If you hear the product or any of its parts moving, there is too much loose space in the box and this is not accepted</t>
  </si>
  <si>
    <t>If a product is packaged in a poly bag, check if it is packaged as tight as possible. There should be no loose plastic on the outside of the product</t>
  </si>
  <si>
    <t xml:space="preserve">If a product or any of its components is packaged in a polybag, it must be perforated with 4 holes, each 6.4mm thick. </t>
  </si>
  <si>
    <t>If a product or any of its components is packaged in a polybag, the thickness of the poly bag should be at least 1.5mil (thousandt of an inch). The bag must also be completely sealed and transparent</t>
  </si>
  <si>
    <t>If a product or any of its components is packaged in a polybag, check if it contains the correct suffocation warning label, printed transparently on the front and the back, in the center, in 33 by 21 centimeters.</t>
  </si>
  <si>
    <t>Check if any polyfoam is used to protect the product inside the packaging. Could this foam come loose easily and ruin the product (many small foam parts being everywhere on the product)?</t>
  </si>
  <si>
    <t>If the product stays packaged like this for more than 2 months, do you expect it will have folds or creases on the products? Do you already see this forming a little bit now?</t>
  </si>
  <si>
    <t xml:space="preserve">The UPC label that is printed on the packaging should NOT be printed on a reflective surface, as this prevents scanners from reading the barcode directly. Please ensure that the product labels are not reflective when applying them to units.
</t>
  </si>
  <si>
    <t xml:space="preserve">Checkif the production matches with the SKU barcode, carton dimensions and carton weight with the product information sheet         </t>
  </si>
  <si>
    <t>Outer cartons weighing more than 15kg must be marked "CAUTION Heavy Package - Team Lift" on all sides and on the top</t>
  </si>
  <si>
    <t>Check if the outer carton contains all the mandatory icons (handle with care, this side up, keep dry) on all sides. The direction of 'This side Up' should be towards the top of the outer carton.</t>
  </si>
  <si>
    <t>Check if the outer carton contains the text  ('Think before you lift') two times on the openings of the outer carton</t>
  </si>
  <si>
    <t>Check if the outer carton contains a batch number that matches the batch number that is on the inner product packaging</t>
  </si>
  <si>
    <t>Check if when you open the outer carton, that there is no bad smell</t>
  </si>
  <si>
    <t>If it is a textile product, check if the text "Warning, Keep Away from Fire" is stitched on the product</t>
  </si>
  <si>
    <t>Check if the importer US adress on the packaging is '2501 Chatham Rd # N, Springfield, IL 62704-4188, United States'</t>
  </si>
  <si>
    <t>Check if the importer EU address on the packaging is 'Rietgansstraat 5, 3882 JD Putten, The Netherlands'</t>
  </si>
  <si>
    <t>Check if the importer UK address on the packaging is 'Lytchett House, 13 Freeland Park, Wareham Road, Poole, Dorset, BH16 6FA, UK'</t>
  </si>
  <si>
    <t>Check if the importer, manufacturer, UK Responsible Person and EU Responsible person are on the outer packaging with 'SH International B.V.' As the company name, 'Rietgansstraat 5, 3882 JD Putten, The Netherlands' as the address, 'support@shinternationalbv.com' as the e-mail and 'shinternationalbv.com'as the website</t>
  </si>
  <si>
    <t>Check if 'Designed in the Netherlands, Produced in China' is on the package</t>
  </si>
  <si>
    <t>Check if the EAN and Weight is on the outer packaging. EAN should match with the product information sheet, Content should be similar to the 'Included in set' in the product information sheet and the Weight should be within 100 grams of the packaging  weight</t>
  </si>
  <si>
    <t>Check if  the product packaging contains a sticker with the batch number and manufacturing date</t>
  </si>
  <si>
    <t>Check if when you open the  product packaging that there is no bad smell</t>
  </si>
  <si>
    <t>If the product has a certification label, check if it is attached to the outer packaging and if it contains EAN, ASIN, Age, Model number and Material</t>
  </si>
  <si>
    <t>Check if the manuals, thank you notes, boxes, certification labels and normal labels from production match with the ones from the product information sheet</t>
  </si>
  <si>
    <t>If the product is vacuum compressed, check if the vacuum seal is intact with no leaks or tears</t>
  </si>
  <si>
    <t>If the product is vacuum compressed, check if it is tight enough. It should be snug around the product with minimal air pockets</t>
  </si>
  <si>
    <t>If the product is vacuum compressed, verify if it is thick enough so that it is durable and puncture-resistant</t>
  </si>
  <si>
    <t>Put water on the blanket and rub it. See if the print is affected</t>
  </si>
  <si>
    <t>Check each product carefully if right language design and card design is used</t>
  </si>
  <si>
    <t>Check packaging dimensions and weight with requirements</t>
  </si>
  <si>
    <t>Check if frames fit properly for the weeks, months and the number</t>
  </si>
  <si>
    <t>Check if the right frames and ribbon colour are used for this design</t>
  </si>
  <si>
    <t>Check dimensions of product</t>
  </si>
  <si>
    <t>EU</t>
  </si>
  <si>
    <t>will be updated later on OneDrive</t>
  </si>
  <si>
    <t>Try to see if the wooden frames are easily breakable</t>
  </si>
  <si>
    <t>Check if the frames fit the numbers, months and weeks on blanket</t>
  </si>
  <si>
    <t>VERY IMPORTANT - check if the connectors go in well and are very stable</t>
  </si>
  <si>
    <t>The outer end of the stakes should be same as previous supplier, see the required changes PPT</t>
  </si>
  <si>
    <t>Assemble the product fully and check several positions if it holds</t>
  </si>
  <si>
    <t xml:space="preserve">Check for scratches
</t>
  </si>
  <si>
    <t>Push the plastic hard and check if nothing breaks</t>
  </si>
  <si>
    <t>Adjustable arms should be a little firm, not too weak</t>
  </si>
  <si>
    <t xml:space="preserve">
The label that is printed on the packaging should NOT be printed on a reflective surface, as this prevents scanners from reading the barcode directly. Please ensure that the product labels are not reflective when applying them to units.</t>
  </si>
  <si>
    <t>Check the sturdiness of the bag. Stand on a high surface like a chair holding the bag with the booth inside and shake it a few times to see if it rips.</t>
  </si>
  <si>
    <t>Assemble &amp; disassemble it 4 times. See if this is easy to do and if the product is easy to assemble after you did it a few times.</t>
  </si>
  <si>
    <t>Check all the corners to see if it is sharp (it shouldn't be)</t>
  </si>
  <si>
    <t>Check for scratches/dents/marks on metal beams and wood panels</t>
  </si>
  <si>
    <t>Drop the booth 5 times on the floor to see if it breaks (from a little bit high, not much)</t>
  </si>
  <si>
    <t>Open and close the zipper on the bag 40 times to see if it still works well</t>
  </si>
  <si>
    <t>Attach and detach the buttons from the bag's straps 40 times to see if they break</t>
  </si>
  <si>
    <t>The black wood should NOT contain any logos</t>
  </si>
  <si>
    <t>Check if you can get the panel at the front loose (https://www.youtube.com/watch?v=mxOWKJ41aS8) and re-attach it again. I think it should be possible</t>
  </si>
  <si>
    <t>Check if the product is balanced/sturdy if you push it a few times. Should be strong and stand stable. NOT wobbly</t>
  </si>
  <si>
    <t>Put some weight on the black wood and check if it holds (5-10KG)</t>
  </si>
  <si>
    <t>Push the wooden board at the front lightly and check if it keeps in place</t>
  </si>
  <si>
    <t>Push the wooden board at the top down lightly and check if it keeps in place</t>
  </si>
  <si>
    <t>If a product is packaged in a plastic bag, check if it is packaged as tight as possible. There should be no loose plastic on the outside of the product</t>
  </si>
  <si>
    <t>Carry bag should be packaged as tight as possible and should be almost exactly the same as our packaging dimensions</t>
  </si>
  <si>
    <t>Check if there is no light coming through the material. It should be almost completely dark in the tent</t>
  </si>
  <si>
    <t>There should be no stitches holes in the corners and above the door inside</t>
  </si>
  <si>
    <t>No black scratches or dirt on the outer material</t>
  </si>
  <si>
    <t>Attach and detach the velcro and check if it still works properly</t>
  </si>
  <si>
    <t>Check if the door can be rolled up at the top for both the door and window</t>
  </si>
  <si>
    <t>Stay in the tent for 1 minute and check if it does not get too warm</t>
  </si>
  <si>
    <t>Check if the door and window can be closed fully with almost no light coming in</t>
  </si>
  <si>
    <t>When the tent is hanging, shake the tent 20 times and check if it still fully assembled</t>
  </si>
  <si>
    <t>Fold and unfold the tent 10 times and check if the steel do not bend</t>
  </si>
  <si>
    <t>Try to push some parts of the tents, pretend like a kid is playing with it. Check if the tent properly stays in shape</t>
  </si>
  <si>
    <t>Pull the door flap and window flap and check if it does not break</t>
  </si>
  <si>
    <t>There should be no smell at all in the inside of the tent</t>
  </si>
  <si>
    <t>Check if the Qr code on manual links to' https://qrcodes.pro/m1N3eW' and if that link then forwards you to 'https://odoxia.com/'</t>
  </si>
  <si>
    <t>Check if the correct certification label is attached, with the right info (asin, manufacturing date, address etc)</t>
  </si>
  <si>
    <t>Check if there is mesh on the window</t>
  </si>
  <si>
    <t>There should be a bottom ring at the bottom of the canopy. This bottom ring should be sturdy and NOT look deformed</t>
  </si>
  <si>
    <t>Lightly step a few times (like a kid) on the bottom ring and see if it does NOT bent</t>
  </si>
  <si>
    <t>The bottom ring should not look deformed or bent and be quite sturdy</t>
  </si>
  <si>
    <t>The ties at the door and window should not be able to be ripped off easily when pulling</t>
  </si>
  <si>
    <t>The hanging system should be quite sturdy, even when you shake the tent a few times</t>
  </si>
  <si>
    <t>Test the hanging system thoroughly and assess if you think this could be used properly by our customers</t>
  </si>
  <si>
    <t>When the tent is hanging, pull it a few times to test how sturdy it is</t>
  </si>
  <si>
    <t>Using the rope at the top, change the position of the canopy. You can make it higher or lower using the rope. See if this works properly</t>
  </si>
  <si>
    <t>Please make clear photos and videos of the hanging and rope system, as we could not test this properly at our office</t>
  </si>
  <si>
    <t xml:space="preserve">Make sure SKU barcode is correct, and check production and carton dimension/weight meet with product information sheet
</t>
  </si>
  <si>
    <t xml:space="preserve">Make sure there is no tape over any of the bar codes on the package or carton
</t>
  </si>
  <si>
    <t>Are the wheels sturdy? </t>
  </si>
  <si>
    <t>Are all the racks straight (not bent)?  If some are bent, check if they can be put to the original position by slightly pushing</t>
  </si>
  <si>
    <t>Can the racks hold enough weight (several paintings)? </t>
  </si>
  <si>
    <t>Do the racks fit the frame well? </t>
  </si>
  <si>
    <t>Check that it doesn’t have any sharp edges. </t>
  </si>
  <si>
    <t>Check that the product doesn’t have any scratches. </t>
  </si>
  <si>
    <t>Is the product packed well? </t>
  </si>
  <si>
    <t>Is the product easy to assemble? </t>
  </si>
  <si>
    <t>Is the paint easy to chip?</t>
  </si>
  <si>
    <t>Hang the art drying rack on the wall and put some weight on it. See if it stays hanging</t>
  </si>
  <si>
    <t>Shake the box 10 times, see if anything breaks</t>
  </si>
  <si>
    <t>The grids should not go loose too quickly when drying rack is shaken a little bit</t>
  </si>
  <si>
    <t>Check if the product can sit straight (it does NOT lean forward0?</t>
  </si>
  <si>
    <t>Check if the blanket folds out in a straight square</t>
  </si>
  <si>
    <t xml:space="preserve">Check if there are no staines on the blanket </t>
  </si>
  <si>
    <t xml:space="preserve">Check if the design looks like this&gt; see picture </t>
  </si>
  <si>
    <t xml:space="preserve">Check if there are 3 frames, the arrow, the round 2sided, the small round wreath </t>
  </si>
  <si>
    <t xml:space="preserve">Check if the arrow fits under the words &gt; there should be enough white space to fit the arrow, CHECK THIS </t>
  </si>
  <si>
    <t xml:space="preserve">Check if  the wreath fits around the numbers. </t>
  </si>
  <si>
    <t xml:space="preserve">Make sure that there are no stains on all sides of the fabric.
</t>
  </si>
  <si>
    <t>Check carefully if the handles are sturdy enough.</t>
  </si>
  <si>
    <t>Check the seams - everything should be neatly aligned and it shouldn't rip easily.</t>
  </si>
  <si>
    <t>Check the color of the thread used to attach the handles - it should be the same color as the sensory tunnel</t>
  </si>
  <si>
    <t>Check if the colors are correct!! CODE: 40</t>
  </si>
  <si>
    <t>Make sure that there are no stains on all sides of the fabric.</t>
  </si>
  <si>
    <t>Check if the colors are correct!! CODE: 33</t>
  </si>
  <si>
    <t>Check if the colors are correct!!</t>
  </si>
  <si>
    <t xml:space="preserve">Check if the colors are correct!! </t>
  </si>
  <si>
    <t xml:space="preserve">•Check if there are 4 brackets in each set </t>
  </si>
  <si>
    <t xml:space="preserve">•Check if the boards have no damage like dents or scratches </t>
  </si>
  <si>
    <t>•Check if the boards have no stains</t>
  </si>
  <si>
    <t>•Check if the prints are sharp also when you look closely</t>
  </si>
  <si>
    <t>•Check if the corner protection is not too tight so it doesn’t damage the boards (corners should not be peeled or creased)</t>
  </si>
  <si>
    <t>•When assembling the boards make sure they seamlessly fit together and there is no open space between the 2 boards</t>
  </si>
  <si>
    <t xml:space="preserve">•Make sure when assembled they are sturdy, and the top board is standing straight. </t>
  </si>
  <si>
    <t>Check if the arrow fits under the words</t>
  </si>
  <si>
    <t>Fold the blanket like a muslin blanket according to our instructions on the box</t>
  </si>
  <si>
    <t>Check if the box contains all elements required for assembly</t>
  </si>
  <si>
    <t>Check if the product is easy to assemble</t>
  </si>
  <si>
    <t>Check if there are any sharp edges</t>
  </si>
  <si>
    <t>Check if the product has a strange smell</t>
  </si>
  <si>
    <t xml:space="preserve">There shouldn’t be any scratches or dirt on the material. Check all elements.
</t>
  </si>
  <si>
    <t>Check if all elements are straight, and not bent.</t>
  </si>
  <si>
    <t>Pull on the elements and see if they break or if they bent easily. They should be sturdy.</t>
  </si>
  <si>
    <t>Rub some water on it. The color should not fade away.</t>
  </si>
  <si>
    <t>Check all elements to see if there is chipped paint or scratches.</t>
  </si>
  <si>
    <t>Roll the product for around 1 minute, sometimes slow and sometimes fast. Check if the wheels still work properly</t>
  </si>
  <si>
    <t>Check if the brakes of the wheels work</t>
  </si>
  <si>
    <t>Push the grid downwards and see if it does not break easily. It should handle some pressure</t>
  </si>
  <si>
    <t>Drop the carton from around 0.3m high on the ground 3 times, and check if there is any damage</t>
  </si>
  <si>
    <t>Assemble the complete product and check if this is possible using only the tools that are included (please make a detailed video of this, we need this for content team as well)</t>
  </si>
  <si>
    <t>Board should not smell</t>
  </si>
  <si>
    <t>Corners of the board should be sturdy, even if you step and push on it with your feet</t>
  </si>
  <si>
    <t>Jump a few times on the wooden platform and check if it does not break</t>
  </si>
  <si>
    <t>Put 100kg on the bar and roll it 30 times from one side to the other and check if nothing breaks</t>
  </si>
  <si>
    <t>Put 80kg on the bar and let it drop 30 times on the platform, from 1-1.5m high and check if nothing breaks</t>
  </si>
  <si>
    <t>Put 60kg on the bar and do 12 deadlifts, check if nothing breaks and if it is not too slippery</t>
  </si>
  <si>
    <t>Put low weight on the bar and do the clean and jerk a few times, check if it is not too slippery: https://www.google.com/search?q=clean+and+jerk&amp;tbm=isch&amp;ved=2ahUKEwjc_Pnm_bL-AhUShKQ[…]ZNzCHpKIkgWU66OABg&amp;bih=1032&amp;biw=2133&amp;rlz=1C1ONGR_nlNL998NL998</t>
  </si>
  <si>
    <t>Put low weight on the bar and do olympic snatch a few times, check if it is not too slippery: https://www.google.com/search?q=snatch&amp;tbm=isch&amp;ved=2ahUKEwjv7Zbs_bL-AhWQu6QKHer5DFY[…]ZK-CHJD3kgXq87OwBQ&amp;bih=1032&amp;biw=2133&amp;rlz=1C1ONGR_nlNL998NL998</t>
  </si>
  <si>
    <t>Put low weight on the bar and do some shoulder presses, check if it is not too slippery</t>
  </si>
  <si>
    <t>Put low weght on the bar and do some barbell row, check if it is not too slippery</t>
  </si>
  <si>
    <t>When above points are done, also check if the black rubber is still equal on both sides and is not too far pushed in</t>
  </si>
  <si>
    <t xml:space="preserve">Check the wood and metal for scratchesa
</t>
  </si>
  <si>
    <t xml:space="preserve">The blanket is wrapped in a ribbon and a little card
</t>
  </si>
  <si>
    <t>The blanket has no stains and the print is clear</t>
  </si>
  <si>
    <t>The blanket has no loose threads</t>
  </si>
  <si>
    <t xml:space="preserve">The blanket includes number framse 2x0 + 1 -9 see picture
</t>
  </si>
  <si>
    <t xml:space="preserve">The blanket includes 6 word frames &gt;see picture
</t>
  </si>
  <si>
    <t>The blanket includes little pocket to put frames in</t>
  </si>
  <si>
    <t>Check if the board is stable when dancing on it on a flat surface</t>
  </si>
  <si>
    <t>There should be no scratches on the wood or foam</t>
  </si>
  <si>
    <t>There should be no glue around the foam</t>
  </si>
  <si>
    <t>Try to pull the foam and see if it detaches easily (it should be sturdy and glued well to the board)</t>
  </si>
  <si>
    <t>Check if the size and weight are as described</t>
  </si>
  <si>
    <t>Check if it is packed well</t>
  </si>
  <si>
    <t>The board should not scratch the floor. Check this by dancing/jumping on the board on different floor surfaces.</t>
  </si>
  <si>
    <t>The board should not break when a heavier person dances on it. Check this with two people on the board. </t>
  </si>
  <si>
    <t xml:space="preserve"> Check if the board produces the same sound when dancing on different places on the board</t>
  </si>
  <si>
    <t>Check for any splinters or sharp parts on the front, back and sides of the board</t>
  </si>
  <si>
    <t>Check the corners of the board for scratches</t>
  </si>
  <si>
    <t>Check that it is not too slippery. Dance on it with shoes, then dance again without shoes (socks) to see if it is the same or if it is more slippery</t>
  </si>
  <si>
    <t xml:space="preserve">Check for any warping or unevenness in the tap board's surface. Inspect the middle area to ensure it sits at the same level as the edges. </t>
  </si>
  <si>
    <t>Examine the edges of the tap board for any chipping or peeling. Ensure that all edges are intact and smooth, without any damage</t>
  </si>
  <si>
    <t xml:space="preserve">Evaluate the packaging to prevent damage during shipping. Ensure the tap board is adequately protected and secure within the packaging to avoid chipping or other forms of damage. </t>
  </si>
  <si>
    <t xml:space="preserve">The blanket includes 5 word frames &gt;see picture
</t>
  </si>
  <si>
    <t>Check carefully the packaging dimensions</t>
  </si>
  <si>
    <t>Check for small cuts,  scratches or dirt on the outer material</t>
  </si>
  <si>
    <t>Check if the door can be rolled up at the top</t>
  </si>
  <si>
    <t>Shake the tent 10 times and check if it still fully assembled</t>
  </si>
  <si>
    <t>Check if all poles are the correct sizes</t>
  </si>
  <si>
    <t>Check all stitching from inside, there shouldn't be any light coming through the stitches</t>
  </si>
  <si>
    <t>Check if the stitching of the door and window is sturdy and doesn't rip off easily</t>
  </si>
  <si>
    <t>For each version and size of sensory tent, double check if the right certification label is attached (check the ASIN)</t>
  </si>
  <si>
    <t>Check sharpness of the poles, they have to be clean cut</t>
  </si>
  <si>
    <t>Check if there are any loose threads</t>
  </si>
  <si>
    <t>Check if the zipper at the bottom is working properly</t>
  </si>
  <si>
    <t>Pull the velcro strips next to the door to see if they break</t>
  </si>
  <si>
    <t>Use the velcro strips to hold the door open. See if they work properly</t>
  </si>
  <si>
    <t>Open and close the velcro strips 10 times to see if they still work</t>
  </si>
  <si>
    <t>Points on the right</t>
  </si>
  <si>
    <t>Check for any colors / markings on the basket. Especially around the leather strap (see picture)</t>
  </si>
  <si>
    <t>Put some weight in the basket and see if it holds properly</t>
  </si>
  <si>
    <t xml:space="preserve">Make sure the sequins don't come loose easily </t>
  </si>
  <si>
    <t xml:space="preserve">Make sure the sequins flip properly back and forth </t>
  </si>
  <si>
    <t>Make sure the sequins are not rough to the touch and there are no have edges</t>
  </si>
  <si>
    <t>Make sure it holds its shape after unfolding</t>
  </si>
  <si>
    <t>Make sure it is easy to fold but also heavy enough to keep its shape</t>
  </si>
  <si>
    <t xml:space="preserve">Make sure there are no bends in the steel </t>
  </si>
  <si>
    <t xml:space="preserve">Make sure the shape stensils are cut evenly and are not flimsy </t>
  </si>
  <si>
    <t>The chair blanket should not smell</t>
  </si>
  <si>
    <t xml:space="preserve">There should be no loose stitching or threads </t>
  </si>
  <si>
    <t>The blanket should attach well to the chair and should not fall or move</t>
  </si>
  <si>
    <t>There should be no hairs or material particles coming off the blanket</t>
  </si>
  <si>
    <t>The blanket should not change color when washed. Rub some water on it to see what happens</t>
  </si>
  <si>
    <t>Pull the arms and leg parts 10 times strongly to see if they rip</t>
  </si>
  <si>
    <t>Attach and detach the buttons 10 times to see if they break</t>
  </si>
  <si>
    <t>Check the buckles at the back to see if they work well</t>
  </si>
  <si>
    <t>Pull the buckles at the back to see if they break</t>
  </si>
  <si>
    <t>The blanket should not have any dirt, glue, or spots on it</t>
  </si>
  <si>
    <t>The arms parts and the legs parts should be attached well to the back part</t>
  </si>
  <si>
    <t>The arms parts and the legs parts should be symmetrical</t>
  </si>
  <si>
    <t>Make sure there are no scratches on the wood</t>
  </si>
  <si>
    <t>Check the smell of the spray, make sure it smells nice</t>
  </si>
  <si>
    <t>Make sure the stones are different colours</t>
  </si>
  <si>
    <t>Make sure the handles are sturdy</t>
  </si>
  <si>
    <t>Make sure the back does not bend</t>
  </si>
  <si>
    <t>Make sure the cloth is neatly finished</t>
  </si>
  <si>
    <t xml:space="preserve">Make sure the notebook is good quality </t>
  </si>
  <si>
    <t>All tiles should keep their form. They should not shrink or deform. Try folding them a little and see if they regain their shape easily</t>
  </si>
  <si>
    <t>The tile should not have a chemical smell</t>
  </si>
  <si>
    <t>The tiles should not be slippery on the floor. Put all the tiles on the ground and walk on them. See if they move</t>
  </si>
  <si>
    <t>The tiles should not come off easily when they are in the puzzle shape. Put them on the ground and slightly shake/push some parts, see if it keeps the puzzle shape</t>
  </si>
  <si>
    <t>For each tile, go fast with your hands through the material.. After this, hold it in the air and shake it a few times. See if any of the fabric has come off. A few hairs will come off, but nothing more.</t>
  </si>
  <si>
    <t>The borders and corners of each tile should not go loose when the material is pulled. Please test this by pulling the material at the border of each tile</t>
  </si>
  <si>
    <t>There should be no glue traces around the tile. Check this thoroughly, especially at the edges.</t>
  </si>
  <si>
    <t>Almost no loose threads should be visible around the borders and corners</t>
  </si>
  <si>
    <t>The blue minkey fleece should be able to be felt clearly when you go with your hands over it</t>
  </si>
  <si>
    <t>Each of the bottoms should have the same material</t>
  </si>
  <si>
    <t>Slightly pull the top material of each tile and see if anything comes loose. A few hairs is fine</t>
  </si>
  <si>
    <t>Put the tiles in puzzle form and jump 20 times on each of them. See if they still keep their shape and are not damaged.</t>
  </si>
  <si>
    <t>Check if there is any loose space inside the box. There needs to be some kind of foam or plastic inside to protect the product during shipping</t>
  </si>
  <si>
    <t>Hold the box with the product inside it in front of you and shake it 10 times. If you hear the product or any of its parts moving, there is too much loose space in the box and this is not accepted</t>
  </si>
  <si>
    <t xml:space="preserve">Make sure that all acrylic panels are intact and there are no broken edges or severe scratches.
</t>
  </si>
  <si>
    <t>Check if the right screw is used</t>
  </si>
  <si>
    <t>Check if the door handle package contains some anti-mould stuff</t>
  </si>
  <si>
    <t>Check if all parts align well, especially the doors.</t>
  </si>
  <si>
    <t xml:space="preserve">Make sure that there are no stains or durt on the panels.
</t>
  </si>
  <si>
    <t>Check if all accessories are included in the package and are working - 6 black labels and a white marker + an acrylic serving tong.</t>
  </si>
  <si>
    <t>Check if the bottom panel has anti-slip silicone pads</t>
  </si>
  <si>
    <t>Check for very sharp edges.</t>
  </si>
  <si>
    <t xml:space="preserve">Make sure that the door handles are the same color.
</t>
  </si>
  <si>
    <t>Make sure there is no smell</t>
  </si>
  <si>
    <t>Make sure the product is sturdy, but allows movement</t>
  </si>
  <si>
    <t>Make sure there are no loose stitchings</t>
  </si>
  <si>
    <t>Make sure the velcro closes securely</t>
  </si>
  <si>
    <t>Make sure the velcro is not too loud</t>
  </si>
  <si>
    <t>Make sure the thickness of the material is good</t>
  </si>
  <si>
    <t>Make sure the neckline is not too high</t>
  </si>
  <si>
    <t>Check for any rips or tears in the fabric. Ensure all seams are securely stitched with no loose threads.</t>
  </si>
  <si>
    <t xml:space="preserve">Ensure weights bags can fit into their designated place (pockets inside the vest). Make sure the material enclosed in each weighted bag does not come out </t>
  </si>
  <si>
    <t>Verify the vests’ measures; Ensure that edges and seams are smooth and not abrasive against the skin.</t>
  </si>
  <si>
    <t>Test all straps, Velcro, zippers, and other closure mechanisms to ensure they work properly and are easy to adjust. Check the durability of Velcro, zippers, or buckles through repeated use.</t>
  </si>
  <si>
    <t>Check if the correct sand bags from the product information sheets are used, and that they are not easy to break</t>
  </si>
  <si>
    <t>Check that packaging is in a tight PE bag with no loose space in it</t>
  </si>
  <si>
    <t>Check that the threads on the vest should be in straight lines</t>
  </si>
  <si>
    <t>If it is a textile product, check if there is a "Warning, Keep Away from Fire" label stitched to the product</t>
  </si>
  <si>
    <t>Check if the importer US, UK and EU address is written down on the outer packaging</t>
  </si>
  <si>
    <t>If the product has a certification label, check if it is attached to the outer packaging</t>
  </si>
  <si>
    <t xml:space="preserve">Thickness should remain 3cm. </t>
  </si>
  <si>
    <t>Foam should be soft.</t>
  </si>
  <si>
    <t>Cover shouldn’t be loose, the filling should fit tightly inside the cover.</t>
  </si>
  <si>
    <t>The vibrating mechanism shouldn’t be easily accessible ( the opening for the mechanism should be on the opposite side of the zipper).</t>
  </si>
  <si>
    <t>The vibrating mechanism should work continuously after being pressed on and the intensity of the vibration should remain the same as the last sample we received.</t>
  </si>
  <si>
    <t>The foam shouldn’t be yellowish. Keep it as white as possible.</t>
  </si>
  <si>
    <t>Two colors of the cover – green and orange.</t>
  </si>
  <si>
    <t>The zipper should work well.</t>
  </si>
  <si>
    <t>Foam should be very well glued.</t>
  </si>
  <si>
    <t>The batteries should be packaged in a separate PE bag and should be put outside of the pillow in the carry bag.</t>
  </si>
  <si>
    <t>Check for smell on all items.</t>
  </si>
  <si>
    <t>Check for sharp edges.</t>
  </si>
  <si>
    <t>Are any materials itchy? Rub your hands on all the items and materials and make sure there is nothing that could irritate skin.</t>
  </si>
  <si>
    <t>(Blanket and Outer cover) Wash the fabric to see if it retains its softness and colour. Check to see if it shrinks in the wash.</t>
  </si>
  <si>
    <t>(Outer cover) Open and closer the zipper 10 times to see if it breaks.</t>
  </si>
  <si>
    <t>(Blanket and cover) Pull at the stitches and the fabric to see if anything stretches or any threads come loose.</t>
  </si>
  <si>
    <t>(Diaper bag) Put some items into the bag and check if everything stays in place.</t>
  </si>
  <si>
    <t>(Diaper bag) Check that the Velcro is easily added and removed, and that it stays in place.</t>
  </si>
  <si>
    <t>(Basket) Try to fold the basket or squish it into a small place. Can it regain its shape after being folded?</t>
  </si>
  <si>
    <t>(Basket) Pull the straps gently and swing the basket. Does it break easily?</t>
  </si>
  <si>
    <t>(Basket) Pull at the sides of the basket and check that they are not flimsy, they don’t falldown.</t>
  </si>
  <si>
    <t>Check that the mattress feels thick and sturdy. Pull at it and check if it rips easily.</t>
  </si>
  <si>
    <t xml:space="preserve"> Check that the mattress feels thick and sturdy. Pull at it and check if it rips easily.</t>
  </si>
  <si>
    <t>Almost no light should come through the stitching. Check this by getting inside the tent and closing all lids.</t>
  </si>
  <si>
    <t>There should be no smell inside the tent</t>
  </si>
  <si>
    <t xml:space="preserve">The bars supporting the tent shouldn't be bent.
</t>
  </si>
  <si>
    <t>No scratches / dirt on the outer material</t>
  </si>
  <si>
    <t>Check if velcro works properly for door and window</t>
  </si>
  <si>
    <t>Check if door can be rolled up properly at the top</t>
  </si>
  <si>
    <t>Stay in tent for a little bit and notice if it doesn't get too warm</t>
  </si>
  <si>
    <t>Check if door can be closed fully without a lot of light coming through</t>
  </si>
  <si>
    <t>Check for smell on all parts of the product.</t>
  </si>
  <si>
    <t>Check for sharp or uneven edges on all parts of the product.</t>
  </si>
  <si>
    <t>Pull at the handle 10 times to check it if breaks. Carry the case 5x using the handle to
make sure it withstands the weight.</t>
  </si>
  <si>
    <t>Check that there are no chips, cracks or scratches on the wood, metal trays, or
transparent screen.</t>
  </si>
  <si>
    <t>Try to bend the metal trays. They should be sturdy and not easily bent.</t>
  </si>
  <si>
    <t>When the case is assembled, knock on the wooden sides. The case should stay firmly
assembled.</t>
  </si>
  <si>
    <t>Check all parts to make sure there is no dirt or dust anywhere.</t>
  </si>
  <si>
    <t>When assembled, check all the screws to make sure they are fitted properly into the
wood and are not too close to the surface of the wood.</t>
  </si>
  <si>
    <t>Pull the transparent screen in and out 10 times. Make sure that it can be taken out
easily, but that it does not rattle or feel loose.</t>
  </si>
  <si>
    <t>Insert the metal trays into every possible level of the case. Check that it can slide in
easily and is not slanted.</t>
  </si>
  <si>
    <t>Inspect the transparent screen to make sure that it is clear, without any smudges on the
material.</t>
  </si>
  <si>
    <t>Carry the case a few meters and see if it remains sturdy.</t>
  </si>
  <si>
    <t>Shake the case gently to see if it is wobbly.</t>
  </si>
  <si>
    <t>Inspect the wood to make sure it looks nice and clean.</t>
  </si>
  <si>
    <t>Check that the transparent screen reaches exactly the top of the wooden case. It should
be perfectly aligned with the top.</t>
  </si>
  <si>
    <t>Check that there are 5 metal trays with each case.</t>
  </si>
  <si>
    <t>Check that there are no mold lines on the plastic transparent screen.</t>
  </si>
  <si>
    <t>Check that the protective packaging is secure.</t>
  </si>
  <si>
    <t>Check that the case is not too heavy to carry.</t>
  </si>
  <si>
    <t>Check that all the parts are included (with one extra screw) please count this!</t>
  </si>
  <si>
    <t>Product should be fully dry when they put it in the packaging</t>
  </si>
  <si>
    <t xml:space="preserve">There should be no mould on any of the bamboo
</t>
  </si>
  <si>
    <t>Check that there are no chips, cracks or scratches on the wood.</t>
  </si>
  <si>
    <t>Check all parts of the wood to make sure there is no dirt or dust anywhere.</t>
  </si>
  <si>
    <t>Before assembly, count all the parts and make sure that are the required screws are
included in the package.</t>
  </si>
  <si>
    <t>Assemble the storage rack. Check that all the wooden bars can be screwed in easily.</t>
  </si>
  <si>
    <t>After assembly, check all the screws to make sure they are fitted properly into the wood.</t>
  </si>
  <si>
    <t>Carry the rack a few meters and see if it remains sturdy.</t>
  </si>
  <si>
    <t>Gently push and pull each of the wooden bars 5 times. Check if they stay in position.</t>
  </si>
  <si>
    <t>When assembled, all the bars should stand completely straight, and at equal height.</t>
  </si>
  <si>
    <t>If possible, place heavy canvases or flat items between each of the bars. Does the
product stay in place?</t>
  </si>
  <si>
    <t>There should be no mould on any of the bamboo</t>
  </si>
  <si>
    <t xml:space="preserve">There should be no loose space inside the box. If you shake it, you should not hear anything
</t>
  </si>
  <si>
    <t>Check if our design is exactly like the picture on the right</t>
  </si>
  <si>
    <t>Check if the littlelaughs logo is printed exactly in the middle and is visible well</t>
  </si>
  <si>
    <t>Check for glue traces around the shoe</t>
  </si>
  <si>
    <t>Open and close the buckle 30 times and see if it still works</t>
  </si>
  <si>
    <t>Pull the bell hard and see if it keeps attached</t>
  </si>
  <si>
    <t>Switch the light button on 30 times and see if it still works</t>
  </si>
  <si>
    <t>Slide the bear 30 times to left and right and see if it still works</t>
  </si>
  <si>
    <t>Pull the bear that is on the slider pretty hard, and see if it is sturdy enough</t>
  </si>
  <si>
    <t>Turn the pointers on the clock. They should be able to be moved INDIVIDUALLY</t>
  </si>
  <si>
    <t>Pull the pointers of the clock. They should not be easy to take off</t>
  </si>
  <si>
    <t>Turn the wheels in the top right part 30 times and see if they still work</t>
  </si>
  <si>
    <t>Pull the lace of the shoe and see if it stays in place.</t>
  </si>
  <si>
    <t>Put the key in the lock and turn it. Repeat this 10 times. It should still work properly</t>
  </si>
  <si>
    <t>Pull the rope of the key to see if it is sturdy</t>
  </si>
  <si>
    <t>Pull at the bee and the honeypot and check if they stay in place.</t>
  </si>
  <si>
    <t>Open and close the latches in the top (see pt 4 on the right). There should be a picture behind this</t>
  </si>
  <si>
    <t>The latch (see pt4) should be able to be opened and closed properly. It should be very smooth and NOT tight</t>
  </si>
  <si>
    <t>Check the following components for sharpness (the latch on pt 4, the lock next to the latch, pt 6 where the key is put in, the key itself, the bell)</t>
  </si>
  <si>
    <t>Check the whole board for scratches in the wood</t>
  </si>
  <si>
    <t>Check each screw on the busy board and see if it is sturdy enough, it should not come loose</t>
  </si>
  <si>
    <t>Pull the brown board (see pt 5). It should NOT come off and be very sturdy.</t>
  </si>
  <si>
    <t xml:space="preserve">Check that the wooden attachments at the back and glued firmly. </t>
  </si>
  <si>
    <t xml:space="preserve"> Check the sturdiness of the bag. Stand on a high surface like a chair holding the bag with the booth inside and shake it a few times to see if it rips.</t>
  </si>
  <si>
    <t>Assemble &amp; disassemble it 2 times. See if this is easy to do and if the product is easy to assemble after you did it a few times.</t>
  </si>
  <si>
    <t>Check if the product smells weird</t>
  </si>
  <si>
    <t>(Very important) When the product is used as it is normally, do the tubes in the middle come loose?</t>
  </si>
  <si>
    <t>(Very important) Check if the bending of the tubes is very little. This should not be too obvious</t>
  </si>
  <si>
    <t xml:space="preserve">Check if all stitching is sturdy by pulling the parts </t>
  </si>
  <si>
    <t>The weight should be evenly distributed. Check that it’s the same as in the design file</t>
  </si>
  <si>
    <t>Check to see if it is easy to unbutton and remove the filing</t>
  </si>
  <si>
    <t>Open and close the zipper 10 times to see if it breaks</t>
  </si>
  <si>
    <t>Rub some water on it and see if the color fades or if the material changes</t>
  </si>
  <si>
    <t>Check thoroughtly if the fur is shedding. It should not shed when touching other materials or pulling , or going through it with your hands</t>
  </si>
  <si>
    <t>The nose should be straight, not tilted</t>
  </si>
  <si>
    <t>The eyes should be symetrical</t>
  </si>
  <si>
    <t xml:space="preserve">The plush should not have a strange smell </t>
  </si>
  <si>
    <t>The threads should be sturdy.  Pull the arms and legs with force to see if the stitching rips</t>
  </si>
  <si>
    <t xml:space="preserve">There should be no loose threads or stitching </t>
  </si>
  <si>
    <t>Compare the product to the sample we have from Sally</t>
  </si>
  <si>
    <t>Inside should have no loose threads</t>
  </si>
  <si>
    <t>Pull the nose a few times to see if it gets detached easily.</t>
  </si>
  <si>
    <t>The white part from the head should be oval and wide as the sample from Sally.</t>
  </si>
  <si>
    <t>Check if the color is the same as Sally’s sample.</t>
  </si>
  <si>
    <t>Check if the head line is symmetrical. The line where the yellow fur starts should be straight.</t>
  </si>
  <si>
    <t>Check if the mouth (smile) is the same as Sally’s sample.</t>
  </si>
  <si>
    <t>Check if the weight is 2 kg. And the belly is filled enough to make the sloth look "fat"</t>
  </si>
  <si>
    <t>Check if the plastic sides from the bag are transparent and clean. There should be no scratches, glue, or dirt.</t>
  </si>
  <si>
    <t>Check if the bag is sturdy by pulling the handles 10 times.</t>
  </si>
  <si>
    <t>The stickers should be packed according to the instructions (with carton protector sheet).</t>
  </si>
  <si>
    <t>Each sticker should look the same as in the design file. Check this.</t>
  </si>
  <si>
    <t>Each sticker should have the same dimension as in the design file. Measure this.</t>
  </si>
  <si>
    <t>Each sticker should stick well. Check this with different surfaces of walls and floors.</t>
  </si>
  <si>
    <t xml:space="preserve">The stickers should leave a clean surface after peeling off. Try this with 5 stickers. </t>
  </si>
  <si>
    <t>The stickers should not peel off or chip easily after walking on them several times.</t>
  </si>
  <si>
    <t>The stickers should not be damaged by water (when cleaning the surfaces they are stuck-to). Check this yourself by rubbing water on them.</t>
  </si>
  <si>
    <t>The stickers should not reflect the light too much.</t>
  </si>
  <si>
    <t>The stickers should not fold inside the package, but stay straight.</t>
  </si>
  <si>
    <t>The packaging dimensions are important, and must be according to our requirements.</t>
  </si>
  <si>
    <t>Check if stickers can be easily taken off outside of the package.</t>
  </si>
  <si>
    <t xml:space="preserve">There should be no dirt, marks, or scratches on the stickers. </t>
  </si>
  <si>
    <t>Make sure that the frame edges are smooth</t>
  </si>
  <si>
    <t>Make sure there are no splinters and that the wood is smooth</t>
  </si>
  <si>
    <t>Make sure the sequins is securely attached to the frame</t>
  </si>
  <si>
    <t xml:space="preserve">The sequins should be able to be flipped VERTICALLY (only for the big version)
</t>
  </si>
  <si>
    <t>The mats should not smell</t>
  </si>
  <si>
    <t xml:space="preserve">The materials from the mats should not peel off easily when pulling them (check this in the middle and corners). Check for all but especially check for the fake grass, yellow fur and red heart fabric. </t>
  </si>
  <si>
    <t>The mats should regain their shape easily after folding and touching</t>
  </si>
  <si>
    <t xml:space="preserve">There shouldn't be any loose threads, stitchings, glue, or dirt. The edges should be well stitched </t>
  </si>
  <si>
    <t>The back should be all white anti slip material</t>
  </si>
  <si>
    <t xml:space="preserve">The metal circle in the middle should not be sharp. </t>
  </si>
  <si>
    <t>There should be no glitter coming off the moon</t>
  </si>
  <si>
    <t>There should be a keyring included so they can be al attached to this ring</t>
  </si>
  <si>
    <t>The packaging needs to be very tight. No loose plastic stick out</t>
  </si>
  <si>
    <t>Check if the mats are durable enough when folded a few times, imagine how a kid plays with it</t>
  </si>
  <si>
    <t>Check if sequins work well</t>
  </si>
  <si>
    <t>If you go through the green grass with your hand, check if not too much grass will fall out</t>
  </si>
  <si>
    <t>No loose threads on the border of the product</t>
  </si>
  <si>
    <t>Should not have sharp parts around the round metal bracelet</t>
  </si>
  <si>
    <t>The mats should not smell.</t>
  </si>
  <si>
    <t>The materials from the mats should not peel off easily when pulling them (check this in the middle and corners).</t>
  </si>
  <si>
    <t>The sequins from the fish mat should turn easily (also in the corners).</t>
  </si>
  <si>
    <t>The mats should not change color, shape, or shrink when washing. Rub some water on them to see if they stay intact.</t>
  </si>
  <si>
    <t>The mats should regain their shape easily after folding the head of the animal.</t>
  </si>
  <si>
    <t xml:space="preserve"> There shouldn't be any loose threads, stitchings, glue, or dirt.</t>
  </si>
  <si>
    <t>For the fur, check if not too much comes loose when going through it with your hands</t>
  </si>
  <si>
    <t>For the hedgehog, check if the brown things don’t come loose when pulling lightly</t>
  </si>
  <si>
    <t>The animal felt should be sturdy</t>
  </si>
  <si>
    <t>The quality should be EXACTLY the same as our current sensory mats animal</t>
  </si>
  <si>
    <t xml:space="preserve"> If a product is packaged in a box, check if there is any loose space inside the box. There needs to be some kind of foam or plastic inside to protect the product during shipping.</t>
  </si>
  <si>
    <t xml:space="preserve"> The label that is printed on the packaging should NOT be printed on a reflective surface, as this prevents scanners from reading the barcode directly. Please ensure that the product labels are not reflective when applying them to units.</t>
  </si>
  <si>
    <t>Push &amp; shake the liquor display. It should be sturdy. It can wobble a little bit, but not too much</t>
  </si>
  <si>
    <t xml:space="preserve">Check if the package contains all the elements and hardware </t>
  </si>
  <si>
    <t xml:space="preserve">Check if there are any scratches or smudges on the acrylic panels </t>
  </si>
  <si>
    <t xml:space="preserve"> Check if the acrylic panels aren’t broken or chipped off </t>
  </si>
  <si>
    <t>Check if the acrylic panels are aligned correctly and that the display is symmetrical</t>
  </si>
  <si>
    <t>Check if there are any sharp elements</t>
  </si>
  <si>
    <t xml:space="preserve"> Check if the display is easy to assemble</t>
  </si>
  <si>
    <t>  Shake the display couple of times</t>
  </si>
  <si>
    <t xml:space="preserve"> Push the product 5 times and see if all the elements stay in place </t>
  </si>
  <si>
    <t>  Check if there are any signs of bending in the structure</t>
  </si>
  <si>
    <t>  Check if the product is balanced/sturdy if you push it a few times. It should NOT be wobbly</t>
  </si>
  <si>
    <t xml:space="preserve">  Check if the product smells weird </t>
  </si>
  <si>
    <t xml:space="preserve"> Put some weight that imitates alcohol on each shelf (the display is aimed for small bottles, around 100 ml each, so the weight capacity of each shelf should be 1-2kg)</t>
  </si>
  <si>
    <t>Check if the fur sheds excessively</t>
  </si>
  <si>
    <t>Check if any of the body parts are deformed</t>
  </si>
  <si>
    <t>Check if the stitching is all good everywhere</t>
  </si>
  <si>
    <t>Check if the weight corresponds to the indicated number</t>
  </si>
  <si>
    <t>Check if the velcro strip works well, should be black in color</t>
  </si>
  <si>
    <t>Check if there are any loose threads/ holes/ potential breaking points</t>
  </si>
  <si>
    <t>Check if the weight is properly distributed within the body, especially in the arms</t>
  </si>
  <si>
    <t>Check if the ties from the inside part of the cover that are used to hold the weighted beads are properly positioned and serve their purpose</t>
  </si>
  <si>
    <t>Check if the scarf is stitched</t>
  </si>
  <si>
    <t>Check if the velcro strip works well, should be white in color</t>
  </si>
  <si>
    <t>Check if the weight is properly distributed within the body, especially in the arms/legs</t>
  </si>
  <si>
    <t>Check if the scarf is NOT stitched</t>
  </si>
  <si>
    <t>Check if the name is embroidered correctly on the scarf it should say "COCO The Koala"</t>
  </si>
  <si>
    <t>Check if the eyes can be easily ripped off</t>
  </si>
  <si>
    <t>The text on the photo booth should be same font as our design</t>
  </si>
  <si>
    <t>The velcro on top should be litter lower</t>
  </si>
  <si>
    <t>Light can not come trough the zipper</t>
  </si>
  <si>
    <t>No stitching holes on the fabric</t>
  </si>
  <si>
    <t>The frame must be 12 kg above</t>
  </si>
  <si>
    <t>Compare the product to our current photo booth, the look and design should be 100% the same</t>
  </si>
  <si>
    <t>No velcro on the photo booth logo</t>
  </si>
  <si>
    <t>if a product is packaged in a box, check if there is any loose space inside the box. There needs to be some kind of foam or plastic inside to protect the product during shipping.</t>
  </si>
  <si>
    <t>The label that is printed on the packaging should NOT be printed on a reflective surface, as this prevents scanners from reading the barcode directly. Please ensure that the product labels are not reflective when applying them to units.</t>
  </si>
  <si>
    <t xml:space="preserve"> Check if the package contains all the elements and hardware </t>
  </si>
  <si>
    <t xml:space="preserve">Check if the acrylic panels aren’t broken or chipped off </t>
  </si>
  <si>
    <t>Check if the display is easy to assemble</t>
  </si>
  <si>
    <t xml:space="preserve"> Shake the display couple of times</t>
  </si>
  <si>
    <t xml:space="preserve"> Check if there are any signs of bending in the structure</t>
  </si>
  <si>
    <t xml:space="preserve"> Check if the product is balanced/sturdy if you push it a few times</t>
  </si>
  <si>
    <t xml:space="preserve">Check if the product smells weird </t>
  </si>
  <si>
    <t>Make sure that there are no stains or dirt on the panels</t>
  </si>
  <si>
    <t xml:space="preserve">check the srewdriver it should be the same as the photo which is attached in this file </t>
  </si>
  <si>
    <t>The UPC label that is printed on the packaging should NOT be printed on a reflective surface, as this prevents scanners from reading the barcode directly. Please ensure that the product labels are not reflective when applying them to units.</t>
  </si>
  <si>
    <t>Make sure SKU barcode is correct, and check production and carton dimension/weight meet with product information sheet</t>
  </si>
  <si>
    <t>Check if all tiers have anti-slip rubber pads</t>
  </si>
  <si>
    <t>Check if all tiers can smoothly be stacked on top each other</t>
  </si>
  <si>
    <t>Check for scratches/defects on the metal material</t>
  </si>
  <si>
    <t>Check for rust</t>
  </si>
  <si>
    <t>Check if the matt coverage is all good.</t>
  </si>
  <si>
    <t>Check the quality of each willow basket - no splinters, no broken parts, no discoloration or defects</t>
  </si>
  <si>
    <t>Check if every willow basket can be smoothly slid into its place</t>
  </si>
  <si>
    <t>Check if the chalk works well on the labels</t>
  </si>
  <si>
    <t>Check for stability - once fully assembled, it shouldn't be wobbly.</t>
  </si>
  <si>
    <t>Check if all tiers are of the same size in height</t>
  </si>
  <si>
    <t>Check if the stickers at the front (where the labels are) are removed, since the material is matt we no longer need stickers.</t>
  </si>
  <si>
    <t>Check for dirt spots or color inconsistencies</t>
  </si>
  <si>
    <t>Check for any defects and deformations</t>
  </si>
  <si>
    <t>The materials from the mats should not peel off easily when pulling them (check this in the middle and corners for all mats)</t>
  </si>
  <si>
    <t>All mats should be more of less the same size</t>
  </si>
  <si>
    <t>The mats should not change color, shape, or shrink when washing. Rub some water on them to see if they stay intact</t>
  </si>
  <si>
    <t>The dog's fur shouldn't shed</t>
  </si>
  <si>
    <t>The metal circle in the middle should not be sharp</t>
  </si>
  <si>
    <t>There should be a keyring included so they can be all attached to this ring</t>
  </si>
  <si>
    <t>Check if all stitches are neatly finished, especially on the backside</t>
  </si>
  <si>
    <t>Check if there are any loose parts hanging around that could be potentially ripped off</t>
  </si>
  <si>
    <t>Inspect the rack to see if the paint is chipped anywhere.</t>
  </si>
  <si>
    <t>Assemble the product. It should take under 15 minutes.</t>
  </si>
  <si>
    <t>Check that all the racks are straight and not bent.</t>
  </si>
  <si>
    <t>Put the labels in the plastic space 5 times and then take them out 5 times.</t>
  </si>
  <si>
    <t>Shake the product lightly. It should be sturdy.</t>
  </si>
  <si>
    <t>Can the racks hold enough weight (multiple products)? Test this by putting some cans,bottles, or equally heavy items in the racks.</t>
  </si>
  <si>
    <t>Check that the rack doesn’t lean forward or backward (don’t place it against the wall).</t>
  </si>
  <si>
    <t>Check that it doesn’t have any sharp edges.</t>
  </si>
  <si>
    <t>Check for scratches.</t>
  </si>
  <si>
    <t>Check that the product is packed well.</t>
  </si>
  <si>
    <t>Check that all the shelves are even (so that they all have the same length).</t>
  </si>
  <si>
    <t>Check if the plastic elements are clear, without scratches or dirt.</t>
  </si>
  <si>
    <t>Check that the name tags are not looking too much downwards to the ground. Should be almost straight from the front.</t>
  </si>
  <si>
    <t>Check if the dividers can be put properly on the wire grid. Shake them lightly to see that they stay in place.</t>
  </si>
  <si>
    <t>Check if the bottom line tray labeling is easy to see from in front.</t>
  </si>
  <si>
    <t>Examine the rack&amp;#39;s overall stability when fully loaded with candy or cans, ensuring it doesn't wobble or tip over easily.</t>
  </si>
  <si>
    <t>Ensure that the rack&amp;#39;s packaging protects it from potential damage during transit.</t>
  </si>
  <si>
    <t>Make sure that it doesn’t have a strange smell.</t>
  </si>
  <si>
    <t>Check if the backsde is felt material in light grey for all mats</t>
  </si>
  <si>
    <t>Check if the stitching on the edges is neatly finished for all mats</t>
  </si>
  <si>
    <t xml:space="preserve">Check for any loose components that might be ripped off </t>
  </si>
  <si>
    <t>For the pom poms, check if the stitches are well done and if the pom poms fill the whole mat. The pom poms should be multicolored and single colored</t>
  </si>
  <si>
    <t xml:space="preserve">check if the lace on the red mat is long enough to be tied in a bow </t>
  </si>
  <si>
    <t>check if the double sided tape works well on the wall with the mats</t>
  </si>
  <si>
    <t>Check if the fur on some of the mats sheds</t>
  </si>
  <si>
    <t>The back should be felt material</t>
  </si>
  <si>
    <t>Check if any of the eyes can be easily ripped off</t>
  </si>
  <si>
    <t>Check if the velcro strip works well</t>
  </si>
  <si>
    <t>Check if the weight is properly distributed within the body</t>
  </si>
  <si>
    <t>Check if all mats are more or less of the same size</t>
  </si>
  <si>
    <t>Check if the print on the moon and the meteor is clear enough</t>
  </si>
  <si>
    <t>The sequins from the fish mat should turn easily (also in the corners)</t>
  </si>
  <si>
    <t>Check if the golden threads on  the red mat are stitched properly</t>
  </si>
  <si>
    <t>Check if all buttons are glued VERY WELL</t>
  </si>
  <si>
    <t>Check if there is a small bean inside the maze math</t>
  </si>
  <si>
    <t>check if the glass mat comes with protective layer and it is not scratched</t>
  </si>
  <si>
    <t>Check if the red pyramid mat is glued VERY WELL, especially around the edges</t>
  </si>
  <si>
    <t>check if the zipper works properly</t>
  </si>
  <si>
    <t>check if the buckles are easy to buckle up and undo</t>
  </si>
  <si>
    <t>check if the rings on the blue mat are plastic</t>
  </si>
  <si>
    <t>check if all mats are present, correspond to the colors, and are properly divided into sets</t>
  </si>
  <si>
    <t xml:space="preserve">check if the silicone mat is green in color and there is no dirt trapped between the material and the felt fabric
</t>
  </si>
  <si>
    <t>check if the rings on the blue mat are plastic (shouldn't be rubber)</t>
  </si>
  <si>
    <t>Pull the material from all mats to see if they rip off the base.</t>
  </si>
  <si>
    <t>Check if there are any hairs or dirt in between the mats in the set.</t>
  </si>
  <si>
    <t>The mirror mats should come with a peel-off cover that is easy to remove. Take a few samples and check if the covers can be easily removed without leaving any pieces on the surface.</t>
  </si>
  <si>
    <t>Ensure that all fabrics are clean and have no odors. Double-check the samples.</t>
  </si>
  <si>
    <t xml:space="preserve"> For products made of metallic and artificial leather materials, they must not emit any odors.</t>
  </si>
  <si>
    <t>Verify that none of the samples have glue on their surface.</t>
  </si>
  <si>
    <t>Examine if all edges are neatly stitched, with no loose threads or fabric pieces.</t>
  </si>
  <si>
    <t>The mats should be free from dents, lines, or bruises.</t>
  </si>
  <si>
    <t>The silicon discs should not emit any odors, and no pieces of silicon should detach.</t>
  </si>
  <si>
    <t>Assess the quality of the anti-slip material on the flip side. Place the mats on a table and attempt to push and pull them horizontally a few times.</t>
  </si>
  <si>
    <t>Us the sample from our previous supplier and compare it 1 by 1 with the changing mat from Kevin. Check if the size, thickness, features, dimensions are all the same</t>
  </si>
  <si>
    <t>Check if each velcro component is included like you can find on our pictures. Use all the velcro 20 times and check if it still sticks properly</t>
  </si>
  <si>
    <t>Put some things in each of the pockets and fold the product back into its small shape again</t>
  </si>
  <si>
    <t>Check if there is a small black strap on the edge of the changing mat</t>
  </si>
  <si>
    <t>Check if the material is water proof by putting some water on the material, and cleaning and drying it afterwards</t>
  </si>
  <si>
    <t>Compare the pictures 1 by 1 and check if all the features are there in the correct places</t>
  </si>
  <si>
    <t>If a product is packaged in a box, hold it in front of you and shake it 10 times. If you hear the product or any of its parts moving, there is too much loose space in the box and this is not accepted. Also check if the product is not damaged</t>
  </si>
  <si>
    <t xml:space="preserve">The UPC label that is printed on the inner box should NOT be printed on a reflective surface, as this prevents scanners from reading the barcode directly. Please ensure that the product labels are not reflective when applying them to units.
</t>
  </si>
  <si>
    <t>Check if the screwdriver and screws are the same size as in the photos in this product information sheet</t>
  </si>
  <si>
    <t>Check if the door handles are clean and if there does not come any dust out of the hole</t>
  </si>
  <si>
    <t>Check for very sharp edges and scratches</t>
  </si>
  <si>
    <t>(important) Check if you can assemble the product according to our manual. The screws should all fit properly and NO drilling is needed. There should be pre-drilled holes. The process must be 100% clear if you ONLY follow our instructions.</t>
  </si>
  <si>
    <t xml:space="preserve">There should be a protection layer around the acrylic, but it should be easy to get off with almost no effort
</t>
  </si>
  <si>
    <t>Once the layer is peeled off, the acrylic material should be transparent without any dust or scratches</t>
  </si>
  <si>
    <t xml:space="preserve">Put some weight on the trays. See if they keep stable. </t>
  </si>
  <si>
    <t>Slide the trays in and out 30 times. See if there are no scratches</t>
  </si>
  <si>
    <t xml:space="preserve">The golden door handle should align with the predrilled holes and they should fit perfectly without any struggle
</t>
  </si>
  <si>
    <t>Open and close the door 30 times. Check if everything still aligns</t>
  </si>
  <si>
    <t>Check if the hinges are installed on the door panels and if they match when you assemble them with the side panels</t>
  </si>
  <si>
    <t>Check if there is a bottom magnet part (2 magnets) at the bottom panel</t>
  </si>
  <si>
    <t>The door handles should fit the holes properly</t>
  </si>
  <si>
    <t>There shouldn’t be any scratches or dirt on the material. Check all elements.</t>
  </si>
  <si>
    <t>Pull on the elements and see if they break or if they bend easily. They should be sturdy.</t>
  </si>
  <si>
    <t>Roll the product for around 1 minute, sometimes slow and sometimes fast. Check if the wheels still work properly.</t>
  </si>
  <si>
    <t>Check if the brakes of the wheels work.</t>
  </si>
  <si>
    <t>Push the racks downwards and see if it does not break easily. It should handle some pressure.</t>
  </si>
  <si>
    <t>Insert 3 clamps into the arms and see if this is easy to do.</t>
  </si>
  <si>
    <t xml:space="preserve"> Check if the product has a strange smell</t>
  </si>
  <si>
    <t>Check if you can assemble the product according to our manual (https://www.amazon.com/dp/B0CK4DFWXN). The screws should all fit properly and NO drilling is needed. There should be pre-drilled holes.</t>
  </si>
  <si>
    <t>Check if the door hinges are already assembled on the bakery display</t>
  </si>
  <si>
    <t xml:space="preserve">Put some weight on the tays. See if they keep stable. </t>
  </si>
  <si>
    <t xml:space="preserve">The golden door parts should align with the predrilled holes and they should fit in a good way
</t>
  </si>
  <si>
    <t>Check if the hinges are installed on the side panels</t>
  </si>
  <si>
    <t>Check if there is a bottom magnet part at the bottom panel</t>
  </si>
  <si>
    <t>Check if all the stitches are durable and neatly finished.</t>
  </si>
  <si>
    <t>Check if there is something easily being ripped of (nose, eye. Fabrics, sequins)</t>
  </si>
  <si>
    <t>Check if all sequins work properly</t>
  </si>
  <si>
    <t>Check if mop cloth can come off easily</t>
  </si>
  <si>
    <t>Check if all the body parts are symmetrical. There
shouldn't be any deformities or big differences between the smaller
and bigger plush</t>
  </si>
  <si>
    <t>Check if the carry bag opens and closes easily and properly. Check this 10-15 times</t>
  </si>
  <si>
    <t>Check if stitching comes loose when you pull the legs/arms/other
body par</t>
  </si>
  <si>
    <t>Go through the fur with your hands. A little bit of shedding is okay, but not too much</t>
  </si>
  <si>
    <t>Pull the nose and the eyes. See if it stays in place</t>
  </si>
  <si>
    <t xml:space="preserve">When looking directly at the sensory plush, the eyes should be symnetrical and should be at the same height (see picture on the right)
</t>
  </si>
  <si>
    <t xml:space="preserve">Throw the plush on the ground 10 times. See if anything breaks
</t>
  </si>
  <si>
    <t xml:space="preserve">All sequins, also at the edge, should be able to be turned. If it is 2-3 that cannot be turned it is okay (see picture on the right)
</t>
  </si>
  <si>
    <t>Check if mop cloth can come off easily, this should not be the case</t>
  </si>
  <si>
    <t xml:space="preserve">When looking directly at the sensory plush, the eyes should be symnetrical
</t>
  </si>
  <si>
    <t>Pull the legs, with the strength of a child. None of the stitching should come losew (see picture on the right)</t>
  </si>
  <si>
    <t xml:space="preserve">The mop can shed a little bit, but not too much
</t>
  </si>
  <si>
    <t>Stretch the sheet 10 times in every direction. See if it tears or frays.</t>
  </si>
  <si>
    <t>Rub the cloth with a wet cloth for 1-2 minutes, make sure no colour comes off or fades.</t>
  </si>
  <si>
    <t>Check if there are any stains on the sheet. There should be no stains at all.</t>
  </si>
  <si>
    <t xml:space="preserve">An A6 thank you note should be included </t>
  </si>
  <si>
    <t>Make sure there are no loose threads hanging from the sheet</t>
  </si>
  <si>
    <t>Tug on the stitching to see if any threads come loose. There should not be any loose stitching.</t>
  </si>
  <si>
    <t xml:space="preserve">Make sure the colour of the sheet matches the colour code provided 
</t>
  </si>
  <si>
    <t>See if the stretchability matches that of the photo above</t>
  </si>
  <si>
    <t xml:space="preserve">Make sure the stretchability is the consistent within the same sheet
</t>
  </si>
  <si>
    <t>Check if the fur sheds excessively by roughly shuffling the fur.</t>
  </si>
  <si>
    <t>Check if the weight of the product inside the packaging weighs in at 2.2KG on a scale</t>
  </si>
  <si>
    <t xml:space="preserve">Open and close the zipper 10 times to make sure the it works smoothly
</t>
  </si>
  <si>
    <t xml:space="preserve">Make sure there are no loose threads or holes in the product
</t>
  </si>
  <si>
    <t xml:space="preserve">Gently tug on both eyes to make sure they are attached properly
</t>
  </si>
  <si>
    <t>Check if the weight is evenly distributed throughout the body</t>
  </si>
  <si>
    <t xml:space="preserve">Make sure the stitching is strong all over the product
</t>
  </si>
  <si>
    <t xml:space="preserve">Make sure there are 5 ribbons attached to the inside of the cover at each arm and leg, and at the zipper
</t>
  </si>
  <si>
    <t>Make sure there are 5 ribbons attached to the inner liner at each arm and leg, and at the zipper</t>
  </si>
  <si>
    <t xml:space="preserve">Make sure the features of the face are aligned to the center
</t>
  </si>
  <si>
    <t>Make sure the inner ribbons are attached securely and are long enough to tie together</t>
  </si>
  <si>
    <t>Make sure the design and the size of the face is the same as the production sample</t>
  </si>
  <si>
    <t>Make sure everything is straight, centered, and aligned.</t>
  </si>
  <si>
    <t>Check is the plush's fur is shedding and the stitches are durable.</t>
  </si>
  <si>
    <t xml:space="preserve">Make sure that the sides/frames of the mats are well stitched.
</t>
  </si>
  <si>
    <t>Check if the mats with fur are not shedding and the ones with fabric are stitched well and durable.</t>
  </si>
  <si>
    <t xml:space="preserve">Make sure the back of the mats are non-slip.
</t>
  </si>
  <si>
    <t xml:space="preserve">Check if the lines of the maze mat are straight and not tilted. Make sure the ball in the maze can be moved in every part of the maze.  </t>
  </si>
  <si>
    <t>Check the sequins of the sequin mat if they are durable, the colors are correct and all the sequins can be turned easily</t>
  </si>
  <si>
    <t xml:space="preserve">Make sure the ball does not make a sound when squished.
</t>
  </si>
  <si>
    <t>Check if the ball goes back to it's original shape after squeezing.</t>
  </si>
  <si>
    <t>Attach and detach the filling of the plush. See if you can align it well with the ribbons</t>
  </si>
  <si>
    <t xml:space="preserve">There should be no scratches on the box
</t>
  </si>
  <si>
    <t>Rub the plush with water. See if the color stays the same and the fur doesn't change</t>
  </si>
  <si>
    <t>Check for loose threads and sharp corners around the sensory mats</t>
  </si>
  <si>
    <t>Hang the posters on the wall using the double sided tape. Also hang the hooks onto the three solution wall posters. Check if the hooks work in a good way</t>
  </si>
  <si>
    <t>Check if the posters and cards are the same as our design</t>
  </si>
  <si>
    <t>Put the ball through the complete maze. It should go smoothly through it, also at the sites.</t>
  </si>
  <si>
    <t xml:space="preserve">The fur of the maze should feel soft
</t>
  </si>
  <si>
    <t>Check if the washing label is on the teddy, and the suffocation warning is around the PE bag, and the keep away from fire warning is stitched onto the sensory mat</t>
  </si>
  <si>
    <t xml:space="preserve">Make sure the sequins don't come loose easily
</t>
  </si>
  <si>
    <t>ship with sequins on the inside, not on the outside</t>
  </si>
  <si>
    <t xml:space="preserve">Make sure the fabric is attached to the bar properly
</t>
  </si>
  <si>
    <t>Run your hand over the all the sequins. Make sure the sequins are not rought to the touch and there are no sharp edges</t>
  </si>
  <si>
    <t>Make sure the fabric is easy to fold but also holds its shape</t>
  </si>
  <si>
    <t>Make sure there are no sharp edges on the plastic rod</t>
  </si>
  <si>
    <t>Slide the fabric into the rod at the groove 10 times. Make sure the process is smooth.</t>
  </si>
  <si>
    <t>Make sure there are no loos threads hanging from the corners of the fabric</t>
  </si>
  <si>
    <t>Make sure the round knobs fit on each side of the plastic rod easily</t>
  </si>
  <si>
    <t>Make sure the rope has a knot on both ends</t>
  </si>
  <si>
    <t>Make sure the rope does not have long threads hanging from it</t>
  </si>
  <si>
    <t>Shake the fabric roughly for 1 minute. Make sure none of the sequins fall off</t>
  </si>
  <si>
    <t>Flip all the sequins back and forth 10 times. All the sequins should flip properly.</t>
  </si>
  <si>
    <t>Use a hammer to hang the hooks into the wall. Check if nothing breaks and it holds it properly.</t>
  </si>
  <si>
    <t>Check if the product is already fully assembled once it comes out of the package. Meaning, that the plastic part at the top is already assembled</t>
  </si>
  <si>
    <t>Check the color of the sequins if it matches with the pictures</t>
  </si>
  <si>
    <t xml:space="preserve">The product should be rolled up and packaged in a plastic bag. The product already needs to be assembled (plastic part and rope attached onto sequins wall)
</t>
  </si>
  <si>
    <t>Draw 'Nick' in the sequins wall. Check if you think it goes smoothly.</t>
  </si>
  <si>
    <t>Remove the rope and plastic part. Then assemble it again. You can follow the instructions from our manual. Check if you think this process is clear enough?</t>
  </si>
  <si>
    <t>Check the dino if it is fully blue and there is no paint of other colors on it</t>
  </si>
  <si>
    <t>Check each pop and plush mechanism of the plush if it works properly. Also check if there is an opening on the mouth</t>
  </si>
  <si>
    <t>Check if the washing label is on the koala, and the suffocation warning is around the PE bag, and the keep away from fire warning is stitched onto the sensory mat</t>
  </si>
  <si>
    <t>The lines of the maze should be straight</t>
  </si>
  <si>
    <t>check whether the stitching line is straight or not for the mindful maze mat (zebra)</t>
  </si>
  <si>
    <t>Open and close each clip 3 times to make sure they all work fine</t>
  </si>
  <si>
    <t>Check if the sample has any scratches on it / parts where the color came off</t>
  </si>
  <si>
    <t xml:space="preserve">Make sure the end of each shelf, when correctly positioned, fits perfecty into place (E.g., every extremity should fit into the frame so that the structure looks sturdy)
</t>
  </si>
  <si>
    <t>Remove and place back each plastic piece, to make sure they all slide smoothly into its intended place</t>
  </si>
  <si>
    <t>Remove and place back one paper tag, to make sure it fits, and slides, smoothly into its intended place</t>
  </si>
  <si>
    <t>Lift the product (1-2m hight) and let it fall. Make sure no component comes off. The product should still be intact after the fall</t>
  </si>
  <si>
    <t>Place some weight on each shelf to make sure they can hold it without breaking</t>
  </si>
  <si>
    <t>Are all the racks straight (not bent)?</t>
  </si>
  <si>
    <t>Can the racks hold enough weight (multiple products)? Make sure that the rack doesn’t lean forward or backward (don’t place it against the wall).</t>
  </si>
  <si>
    <t>Check that the product doesn’t have any scratches or chipped pain</t>
  </si>
  <si>
    <t>Is the product packed well?</t>
  </si>
  <si>
    <t xml:space="preserve">Is the product easy to assemble?
</t>
  </si>
  <si>
    <t xml:space="preserve">Check that all the shelves are even (so that they all have the same length).
</t>
  </si>
  <si>
    <t xml:space="preserve">Check if the product can sit straight.
</t>
  </si>
  <si>
    <t xml:space="preserve">Check that the name tags (places where people can write information) are clear and functional (and something can be written on it).
</t>
  </si>
  <si>
    <t xml:space="preserve">Check if the plastic elements are clear, without scratches.
</t>
  </si>
  <si>
    <t xml:space="preserve">Check if the name tags are not looking too much downwards to the ground. Should be almost straight from the front.
</t>
  </si>
  <si>
    <t>Check if the compartments don’t slide fully out when pushed.</t>
  </si>
  <si>
    <t>Check if the dividers can be put properly on the wire grid.</t>
  </si>
  <si>
    <t>Examine the rack's overall stability when fully loaded with candy, ensuring it doesn't wobble or tip over easily.</t>
  </si>
  <si>
    <t>Ensure that the rack's packaging protects it from potential damage during transit.</t>
  </si>
  <si>
    <t>Check that the product doesn’t have any scratches.</t>
  </si>
  <si>
    <t>Is the product easy to assemble?</t>
  </si>
  <si>
    <t>Check if the product can sit straight.</t>
  </si>
  <si>
    <t>Check that the name tags (places where people can write information) are clear and functional (and something can be written on it)</t>
  </si>
  <si>
    <t>Check if the name tags are not looking too much downwards to the ground. Should be almost straight from the front</t>
  </si>
  <si>
    <t>Check if the compartments don’t slide fully out when pushed</t>
  </si>
  <si>
    <t>Check if the dividers can be put properly on the wire grid</t>
  </si>
  <si>
    <t>Check if something can be hung on the sides</t>
  </si>
  <si>
    <t>Check if the transparent plastic cover is easy to silde in and if it is sturdy</t>
  </si>
  <si>
    <t>Check if the bottom line tray labelling is easy to see from in front</t>
  </si>
  <si>
    <t>Check if stencils all match with the photos</t>
  </si>
  <si>
    <t>Check the direction of the sequins with the photos</t>
  </si>
  <si>
    <t xml:space="preserve">The front color of the sequins should be 'rainbow', and the back should be 'gray'
</t>
  </si>
  <si>
    <t>Use the stencils to draw the shapes in the sequins</t>
  </si>
  <si>
    <t>Check for any loose threads around the border</t>
  </si>
  <si>
    <t>Fold the product back into shape 10 times. See if it it still works properly and holds it shape</t>
  </si>
  <si>
    <t>Check if it fits well enough in the carry bag</t>
  </si>
  <si>
    <t>Check if there is a small handle what you can use to hold the sequins wall</t>
  </si>
  <si>
    <t xml:space="preserve">Flip the sequins with your hand a few times - make sure all the sequins flip smoothly
</t>
  </si>
  <si>
    <t xml:space="preserve">Make sure the direction of the sequins is bottom to top - this means that to draw on the product you should move your hand starting from the top towards the lower part
</t>
  </si>
  <si>
    <t xml:space="preserve">Fold and unfold the product 5x times to make sure the folding mechanism works smoothly
</t>
  </si>
  <si>
    <t xml:space="preserve">Check if the wavy frame on the edge sticks out slightly (look at the pictures on the side for reference)
</t>
  </si>
  <si>
    <t xml:space="preserve">Make sure the sequins don't detach easily - Move your hand roughly and repeatedly over the surface of the product.
</t>
  </si>
  <si>
    <t>Check if the two holes and the handle are placed in their intended position (check pictures for reference)</t>
  </si>
  <si>
    <t>Hang the product on the wall and check if the sequins work properly</t>
  </si>
  <si>
    <t>Check if the sequins on the outer edge can also be flipped</t>
  </si>
  <si>
    <t>Check if there is handle. Also pull this and check if it stays in place</t>
  </si>
  <si>
    <t>Check if the holes are around 1cm in diameter</t>
  </si>
  <si>
    <t>There should be no stitches in the corners and above the door inside</t>
  </si>
  <si>
    <t>Fold the tent, using our method (https://odoxia.com/sensory-tent/) 10 times and check if the steel do not bend</t>
  </si>
  <si>
    <t>Put the pole in the part at the top and check if it is the right size. It should not be too long and not go through the material at the other side</t>
  </si>
  <si>
    <t>Try to push some parts &amp; poles of the tents, pretend like a kid is playing with it. Check if the tent properly stays in shape</t>
  </si>
  <si>
    <t>Pull the door flap and window flap and check if it does not rip too easily</t>
  </si>
  <si>
    <t>There should be no (chemical) smell at all in the inside of the tent</t>
  </si>
  <si>
    <t>Check if the Qr code on manual links to' https://qrcodes.pro/Tz6kUL' and if that link then forwards you to 'https://odoxia.com/sensory-tent/'</t>
  </si>
  <si>
    <t>Check sharpness of the pole</t>
  </si>
  <si>
    <t>There should be no light coming through at the top and the back of the tent</t>
  </si>
  <si>
    <t>Pull the door flap and window flap, relatively hard and check if it does not break</t>
  </si>
  <si>
    <t>Check all the dimensions of the tent if they align with the pictures</t>
  </si>
  <si>
    <t>Check for certification label on carry bag, suffocation warning on PE bag, and keep away from fire label stitched on tent</t>
  </si>
  <si>
    <t>When the pole is inserted at the top, I t can stick out 1-2cm, but it shouldn’t stick out too much, this could cause the door or back  flap to break. Please check if it is not too tight</t>
  </si>
  <si>
    <t>Check if the carry bag has a white odoxia logo and sensory tent on it, see the picture</t>
  </si>
  <si>
    <t>Carry bag should be packaged quite tight and very close to our provided dimensions</t>
  </si>
  <si>
    <t>Almost no light should come through door. Only tiny bit at bottom</t>
  </si>
  <si>
    <t>There should be a no stitch lines in the tent.</t>
  </si>
  <si>
    <t xml:space="preserve">Check if velcro works properly for door </t>
  </si>
  <si>
    <t>Stay in tent for little bit and notice if it doesn't get too warm</t>
  </si>
  <si>
    <t>It should be very dark inside the tent</t>
  </si>
  <si>
    <t>Please make a video of assembly and dissassembly of the tent and let us know any struggle points</t>
  </si>
  <si>
    <t>Shake the tent a few times and check if it is still fully assembled properly</t>
  </si>
  <si>
    <t xml:space="preserve">Make  sure the frame that touched the ground is straight and not bent
</t>
  </si>
  <si>
    <t xml:space="preserve">Make sure the Velcro to close the door lines up
</t>
  </si>
  <si>
    <t>Pull the flap at the door. Check if it does not break too quickly</t>
  </si>
  <si>
    <t>Check if the plastic has a suffocation warning on it in multiple languages</t>
  </si>
  <si>
    <t>Check if the batch number and manufacturing date are added with a seperate sticker to the carry bag</t>
  </si>
  <si>
    <t>Check if the outer cartons has the icons: "handle with care", "keep dry", "think before you lift"</t>
  </si>
  <si>
    <t>Check if the outer carton has the text "this side up" on the two openings of the carton at the top</t>
  </si>
  <si>
    <t>Check if the carry bag is blue and has a white odoxia logo like our pictures</t>
  </si>
  <si>
    <t>Check if the Qr code on manual links to' https://qrcodes.pro/zKBWlB' and if that link then forwards you to 'http://odoxia.com/sensory-star/'</t>
  </si>
  <si>
    <t>Check is the plush's fur is not shedding and the stitches are durable. Test this by shuffling the fur of the plush and pulling on the legs.</t>
  </si>
  <si>
    <t xml:space="preserve">Make sure that the sides/frames of the mats are well stitched by bending the mat in different ways.
</t>
  </si>
  <si>
    <t xml:space="preserve">Make sure the back of the mats are non-slip. Check this placing them on a surface and pushing them.
</t>
  </si>
  <si>
    <t>Check the sequins of the sequin mat if they are durable, the colors are correct and all the sequins can be turned easily. Shuffle the sequins roughly to test durability.</t>
  </si>
  <si>
    <t>Check if the ball goes back to it's original shape after squeezing. Squeeze strongly 10 times.</t>
  </si>
  <si>
    <t>Make sure the posters and emotion cards are packaged in separate plastic bag inside the box.</t>
  </si>
  <si>
    <t>Make sure the metal ring on the emotion cards have a thin layer of bubble wrap around it.</t>
  </si>
  <si>
    <t xml:space="preserve">Make sure that everything fits in the box.
</t>
  </si>
  <si>
    <t>Check if the house puzzle pieces fit each other by lifting the whole puzzle when aassembled to see if any piece drops.</t>
  </si>
  <si>
    <t>Check around the box, there should be no scratches, dents or dirt.</t>
  </si>
  <si>
    <t>Check the logo on the box, it should not come off easily. Test this by wiping it with wet cloth several times.</t>
  </si>
  <si>
    <t>Inside the box should not smell.</t>
  </si>
  <si>
    <t>Check the posters, there should be no scratches or dents.</t>
  </si>
  <si>
    <t xml:space="preserve">The house puzzle should be assembled inside a plastic bag with an A6 insert also in the plastic bag.
</t>
  </si>
  <si>
    <t>Make sure the back of the mats are non-slip. Check this placing them on a surface and pushing them.</t>
  </si>
  <si>
    <t>Check if the  puzzle cube pieces fit each other by lifting the whole puzzle when aassembled to see if any piece drops.</t>
  </si>
  <si>
    <t>If the product weighs more than 15KG for EU, or more than 23KG for US, boxes weighing more than 15kg must be marked "CAUTION Heavy Package - Team Lift" we need 5 stickers in total, viewable from both the top and all sides of each heavy-weight container.</t>
  </si>
  <si>
    <t>Make sure the ribbons are attached securely and are long enough to tie together</t>
  </si>
  <si>
    <t xml:space="preserve">The product should not slide easily. Try and push the product with your feet from the side when placed on the floor, it should be difficult to push.
</t>
  </si>
  <si>
    <t>Make sure the back of the panels are clean
Make sure all the panels have hooks on them</t>
  </si>
  <si>
    <t xml:space="preserve">Touch the materials of the mats with your hands. Check that no material sheds. 
</t>
  </si>
  <si>
    <t xml:space="preserve">Measure all parts of the set and check that the measurements correspond with the dimensions and images attached .
</t>
  </si>
  <si>
    <t>Check that all components are included.</t>
  </si>
  <si>
    <t>Check that there is no dirt, marks, or sharp/ irritating parts on any of the components.</t>
  </si>
  <si>
    <t>Check that the hooks are centred on the mats.</t>
  </si>
  <si>
    <t>Check if the stiching is sturdy and it does not come off when pulling</t>
  </si>
  <si>
    <t>Make sure the back of the panels are clean</t>
  </si>
  <si>
    <t>Make sure that all the panels have hooks</t>
  </si>
  <si>
    <t xml:space="preserve">Pull gently at the fabric components. Check if any threads come loose. </t>
  </si>
  <si>
    <t xml:space="preserve">Pull gently at the silicone discs. Check that they do not break or tear.
</t>
  </si>
  <si>
    <t>Check the if the fur sheds. Shuffle the shed rapidly to see if it sheds too much.</t>
  </si>
  <si>
    <t>Check the velcro glues. Try to rip the pieces with velcro glued to them, it should not come off easily.</t>
  </si>
  <si>
    <t>Check  if the sequins all turn.</t>
  </si>
  <si>
    <t>Check if the sequins are well attached. Test this by rapidly playing with the sequins to see if any pieces drop.</t>
  </si>
  <si>
    <t xml:space="preserve">It should not smell. </t>
  </si>
  <si>
    <t>It should not have loose threads .</t>
  </si>
  <si>
    <t>Check if the glue around the dogs eyes are visible, it should not be visible.</t>
  </si>
  <si>
    <t>Check if the stitching of the cover button sturdy. Test this by pulling strongly.</t>
  </si>
  <si>
    <t>Check if the laces on Page 9 are stitched at the end and cannot be taken out of place.</t>
  </si>
  <si>
    <t>Check if the puzzle pieces on page 7 stick well on the book. It should not drop easily.</t>
  </si>
  <si>
    <t>Check if the ropes on page 8 are attached well. Test this by pulling on the ropes all together and individually.</t>
  </si>
  <si>
    <t>Check if the rope around the dog's neck on page 6 is attached well. Test this by pulling on it strongly.</t>
  </si>
  <si>
    <t>Check if the cover button is not too hard to close. Check this by opening and closing the button 10 times.</t>
  </si>
  <si>
    <t>Check if the plastic attachment on the zipper on page 10 is attached well. Test this by pulling it strongly.</t>
  </si>
  <si>
    <t>It should not have anything ripped or scratched.</t>
  </si>
  <si>
    <t>There should be NO glue around any of the pieces -&gt; especially the pieces with the apple and the puzzle</t>
  </si>
  <si>
    <t>There should be no glue visible around the dogs eyes</t>
  </si>
  <si>
    <t>There is a velcro piece on the back of the apple and on the page with different shapes. This velcro piece should NOT be easy to peel off</t>
  </si>
  <si>
    <t xml:space="preserve">Make sure everything is neatly stitched
</t>
  </si>
  <si>
    <t>Make sure there are no loose threads</t>
  </si>
  <si>
    <t>Make sure the apron fits over the head and can be attached on the back with a knot/bow in the denim ribbon. Also, make sure the denim ribbon for attaching the apron to the body is attached sturdy.</t>
  </si>
  <si>
    <t>Make sure it is possible to sit with the apron</t>
  </si>
  <si>
    <t>Make sure the stitching for the rope at the bottom of the apron is at the top of the denim piece.</t>
  </si>
  <si>
    <t xml:space="preserve">Try the 2 zippers 5 times and see if they close correctly and are sturdy.
</t>
  </si>
  <si>
    <t xml:space="preserve">The 2 zipper heads should be on the opposite side when they are shut.
</t>
  </si>
  <si>
    <t>Make sure the back is minky fleece.</t>
  </si>
  <si>
    <t>Check if the fur green fur sheds. Test it by gently pulling on the fur and shuffling the fur rapidly.</t>
  </si>
  <si>
    <t>Check if the edges of the green fur are stitched neatly.</t>
  </si>
  <si>
    <t>Make sure the rings are plastic (wood color) and when pulling doesn't break. Make sure the red ribbon is sturdy and attached.</t>
  </si>
  <si>
    <t>Make sure the pillow is sturdy and attached to the black ribbon, make sure the pillow makes a crinkling sound when squeezing it with the hands.</t>
  </si>
  <si>
    <t>Make sure the ends of the ropes are not shedding and there is a knot at the end.</t>
  </si>
  <si>
    <t>Make sure the ropes are sturdily attached when pulling and that it is possible to braid the ropes.</t>
  </si>
  <si>
    <t>Make sure the flip sequins flip properly and that they are attached well. Test this by shuffling the sequins rapidly.</t>
  </si>
  <si>
    <t>Make sure the sequins colors are green to silver.</t>
  </si>
  <si>
    <t>Make sure the microfiber pieces don't come off when pulled gently.</t>
  </si>
  <si>
    <t>Make sure the rope has a shoelace like end and that it fits thorugh the metal holes.</t>
  </si>
  <si>
    <t>Make sure the product are the right dimensions.</t>
  </si>
  <si>
    <t>Make sure the microfiber is stitched neatly and does not have excess material.</t>
  </si>
  <si>
    <t>Make sure the squishy minky cushion makes a wrinkle sound when played.</t>
  </si>
  <si>
    <t>Make sure all the screws fit properly</t>
  </si>
  <si>
    <t>Make sure there is no chipped paint on any cmponents</t>
  </si>
  <si>
    <t>Make sure the colour of all metal components are the same</t>
  </si>
  <si>
    <t>Make sure the colour of all the cloth components are the same</t>
  </si>
  <si>
    <t>Make sure there are no sharp edges anywhere</t>
  </si>
  <si>
    <t>Try tightening the buckle and loosening it. This should be easy to do</t>
  </si>
  <si>
    <t>Make sure the chair rocks smoothly</t>
  </si>
  <si>
    <t>Make sure there are no loose threads hanging from the product</t>
  </si>
  <si>
    <t>Make sure none of the tubes are bent</t>
  </si>
  <si>
    <t>Please check the sample from your CN office and double check if it is the same quality as the mass production sample</t>
  </si>
  <si>
    <t>Check if it can be assembled according to our insturctions</t>
  </si>
  <si>
    <t>Sit in it and try to rock it, see if you can go back and forth</t>
  </si>
  <si>
    <t>Put water on the mattress and check if it doesn’t stain</t>
  </si>
  <si>
    <t>When the product is assembled, push some of the components and check if they don’t break</t>
  </si>
  <si>
    <t>Check if all the components are included</t>
  </si>
  <si>
    <t>There should be no belt to the product</t>
  </si>
  <si>
    <t>Check if each component is stickered with the correct letter from the manual first page that contains the overview of all components</t>
  </si>
  <si>
    <t>Check if each component has plastic protection around it</t>
  </si>
  <si>
    <t>Try to sit in the chair. It should not break with your weight. If possible try to wiggle a bit back and forth so you can see if it rocks</t>
  </si>
  <si>
    <t>Check if the screws are not too sharp when assembled</t>
  </si>
  <si>
    <t xml:space="preserve">Make sure there are no loose threads hanging from the sheet 
</t>
  </si>
  <si>
    <t>See if the stretchability matches that of the photos in the sheet</t>
  </si>
  <si>
    <t>See if the stretchability matches that of the photos above</t>
  </si>
  <si>
    <t xml:space="preserve">Make sure the nose and eyes are aligned </t>
  </si>
  <si>
    <t>make sure the edging of the velcro strips is straight and neat.</t>
  </si>
  <si>
    <t xml:space="preserve">the velcro should be easy to use </t>
  </si>
  <si>
    <t>the zipper should be easy to use</t>
  </si>
  <si>
    <t>tug on the fur gently to ensure there is no excessive shedding</t>
  </si>
  <si>
    <t>tug on all the attachments to ensure the stitching is good all over the product</t>
  </si>
  <si>
    <t>the ball attachment should attach securely to the muff</t>
  </si>
  <si>
    <t>the ears should be stitched well to the side of the body</t>
  </si>
  <si>
    <t>Please check if the product is shipped with the ball and head INSIDE the hole</t>
  </si>
  <si>
    <t>The ball and ribbon should be attached with a button behind the ear</t>
  </si>
  <si>
    <t>The edging of the velcro must be neat</t>
  </si>
  <si>
    <t>Nose and eyes should be aligned</t>
  </si>
  <si>
    <t>Check the board for any scratches or damage</t>
  </si>
  <si>
    <t>Shake the box 30 times and check for any damages</t>
  </si>
  <si>
    <t>Use all 3 markers to draw something on the whiteboard and erase it. Test all parts of the whiteboard, on each of the 3 panels</t>
  </si>
  <si>
    <t>Check if the eraser has magnets on the back so it can be hung on the whiteboard</t>
  </si>
  <si>
    <t>Hang a piece of paper on the whiteboard using 2 magnets. Let it hang for a few minutes. After this, check if all other parts of the board are magnetic</t>
  </si>
  <si>
    <t>Hang a piece of velcro on the black side and let it hang for a few minutes. After this, check all other parts of the board if velcro attaches to it</t>
  </si>
  <si>
    <t>Rotate all parts of the panel display board 180 degrees. Check if the mechanism can make the rotation properly. Test it 30 times to see if nothing breaks</t>
  </si>
  <si>
    <t>Check if there is any plastic still stuck around the edges</t>
  </si>
  <si>
    <t>Check if the product is packaged according to the criteria we specified</t>
  </si>
  <si>
    <t>Put the panel display board in the carry bag and put it around your shoulder. Check if the carry bag can hold the weight and if the handles don't break</t>
  </si>
  <si>
    <t>Pull the handles of the carry bag and check if they don’t break</t>
  </si>
  <si>
    <t>Check for any bubbles on the whiteboard. As a comparison, please use the panel display board you have at the office as a 'perfect sample'</t>
  </si>
  <si>
    <t>Check if all the accessories are included: eraser, 12 magnets, 3 colors</t>
  </si>
  <si>
    <t>If the supplier uses markers from their warehouse, that we bought from the first order, please check if all the markers work. They could be dried out because they have been laying there for a long time</t>
  </si>
  <si>
    <t>Check if the product weighs the same as our requirements</t>
  </si>
  <si>
    <t>Check if there are any other marks on the whiteboard. It should feel and look very smooth</t>
  </si>
  <si>
    <t>Rub both sides with water and check if it doesn't leave stains or discoloring</t>
  </si>
  <si>
    <t>Put the product in your hands and shake it 10 times. Check if no screw comes loose</t>
  </si>
  <si>
    <t>Push the velcro and the whiteboard side slighthly. It should not break or leave any marks</t>
  </si>
  <si>
    <t>Check for following colors of magnets: 2 Red
2 Blue
2 Yellow
2 Green
2 Pink</t>
  </si>
  <si>
    <t>Check if both the Qr code  + the URL below link to 'qrcodes.pro/Q6SCL1' and if that link then forwards you to 'https://odoxia.com/wp/sensory-tent-mini-square/'</t>
  </si>
  <si>
    <t>Check if design is like picture</t>
  </si>
  <si>
    <t>Take weight, report actual finding and compare to client specification if applicable. Values in kg.</t>
  </si>
  <si>
    <t>No strong or irritative smell is allowed on the product</t>
  </si>
  <si>
    <t>Put your hands inside the muff and see if this properly fits your hands</t>
  </si>
  <si>
    <t>Check if inside does not feel sticky or sweaty</t>
  </si>
  <si>
    <t>When hands inside see if you can squeeze the plastic ball</t>
  </si>
  <si>
    <t>Attach and detach the ribbon 5 times, see if button does not break.</t>
  </si>
  <si>
    <t>See if rope can be laced properly in the holes, check if one side of the rope has a knot</t>
  </si>
  <si>
    <t>Pull ribbon and see if sturdy attached, push the rings really hard to see if they don’t break. Also make sure there are NO SHARP edges at the rings</t>
  </si>
  <si>
    <t>Open and close belt 2 times and see if it works properly</t>
  </si>
  <si>
    <t>Pull the ribbons, see if they don’t break</t>
  </si>
  <si>
    <t>See if the Velcro is sturdy attached at both sides of the blanket and test it 3 times to see if it properly opens and closes</t>
  </si>
  <si>
    <t>Nothing should come loose easily when pulling</t>
  </si>
  <si>
    <t>The rope of the squeeze ball will be changed to blue (originally white)</t>
  </si>
  <si>
    <t>The ball attachment should attach securely to the muff</t>
  </si>
  <si>
    <t>The ears should be stitched well to the side of the body</t>
  </si>
  <si>
    <t>Make sure the fidget muff’s tongue is in the middle of your mouth</t>
  </si>
  <si>
    <t>Make sure the stitches are neatly finished</t>
  </si>
  <si>
    <t>No loose tread</t>
  </si>
  <si>
    <t>No shedding of the fur, tug on the fur gently to ensure there is no excessive shedding</t>
  </si>
  <si>
    <t>No color transfers when wet/washed</t>
  </si>
  <si>
    <t>All plastic parts should be well attached to the toy Test this yourself</t>
  </si>
  <si>
    <t>The product should not have any peculiar smell</t>
  </si>
  <si>
    <t>Make sure the nose and eyes are aligned</t>
  </si>
  <si>
    <t>Make sure the edging of the velcro strips is straight and neat</t>
  </si>
  <si>
    <t>The velcro should be easy to use</t>
  </si>
  <si>
    <t>The zipper should be easy to use</t>
  </si>
  <si>
    <t>Check if the green square is straight</t>
  </si>
  <si>
    <t>Check if the product is 2cm shorter than the sample that we have at the Ningbo Office</t>
  </si>
  <si>
    <t>Examine the mat for evenness of the sequin distribution, color consistency and vibrancy</t>
  </si>
  <si>
    <t>Look for any loose threads, missing sequins, or frayed edges.</t>
  </si>
  <si>
    <t xml:space="preserve">Measure the mat to confirm it meets the desired dimensions </t>
  </si>
  <si>
    <t>Run your hand over the sequins to evaluate their smoothness and whether they catch or snag.</t>
  </si>
  <si>
    <t>Flip the sequins with your fingers to confirm they easily change direction and lay flat when reversed.</t>
  </si>
  <si>
    <t>Rub the sequins firmly to assess whether they remain attached and intact.</t>
  </si>
  <si>
    <t>Ensure all sequins are securely attached and cannot be easily removed or swallowed.</t>
  </si>
  <si>
    <t>Check that the mat edges are smooth</t>
  </si>
  <si>
    <t>Smell the mat immediately upon opening the package to check for any strong or unpleasant odors.</t>
  </si>
  <si>
    <t>The sequins should flip to silver when you go with your hands from top to bottom</t>
  </si>
  <si>
    <t>Check if the edges of the mats are solid and are NOT wavy</t>
  </si>
  <si>
    <t>The metal ring  (check inspection point 1) should be included with the other items in the set</t>
  </si>
  <si>
    <t>None of the sequins should come off when you shake the product a bit or play with the sequins</t>
  </si>
  <si>
    <t>Check if the product have all components inside the package.</t>
  </si>
  <si>
    <t>Assess if you think the components in the package are protected well enough</t>
  </si>
  <si>
    <t>Assemble the product exactly according to our manual. Determine if you think the steps are clear enough.</t>
  </si>
  <si>
    <t>Convert the willow basket to a 2-tier stand. Determine if you think it is still stable enough.</t>
  </si>
  <si>
    <t>Please ensure the quality of the basket is good, and there should be no breakage or bisfurcation.</t>
  </si>
  <si>
    <t>Check if the packaging has a food grade icon</t>
  </si>
  <si>
    <t>Check if the manual contains text related to that it is certified for US FDA and EU FCM and that only the cotton material cotton should be used to store the food in</t>
  </si>
  <si>
    <t>Write on each of the black clips using the markers. After this, erase it. Check if there are no white marks left and it is completely black again</t>
  </si>
  <si>
    <t>Open and close the black clips 30 times and check if they still work properly</t>
  </si>
  <si>
    <t>Put some small things in the baskets. After this, push the baskets and the stand from all sides a few times, similar to like how a customer would grab somethings. Check if you think it is stable enough.</t>
  </si>
  <si>
    <t>While the willow basket is standing still, shake the stand 20 times slightly. Check if nothing falls out and if it stays in place</t>
  </si>
  <si>
    <t>Are the rack straight (not bent)?</t>
  </si>
  <si>
    <t>Can the racks hold enough weight? Preferably try with some light products. (e.g Books)</t>
  </si>
  <si>
    <t>Does the product have any sharp edges?</t>
  </si>
  <si>
    <t>Does the product have any scratches?</t>
  </si>
  <si>
    <t>Push the mesh grid very carefully. It can bend a little bit, but not too much</t>
  </si>
  <si>
    <t>Put the lids in water for 2 minutes. Check if anything comes off</t>
  </si>
  <si>
    <t>Check for scratches or rust</t>
  </si>
  <si>
    <t>Check if the color is pure stainless steel</t>
  </si>
  <si>
    <t>Carefully check the dimensions of the product. They should match</t>
  </si>
  <si>
    <t>Check if each lid is packaged in a separate PE bag, inside the colorful box</t>
  </si>
  <si>
    <t>Screw the lids on a jar. Check if it works properly.</t>
  </si>
  <si>
    <t xml:space="preserve">The product should not smell. Test this by both checking the outer cover and the foam separately </t>
  </si>
  <si>
    <t>The product should have soft outer cover</t>
  </si>
  <si>
    <t>The zipper should be easy to use. Test this by zipping and unzipping the zipper 10 times</t>
  </si>
  <si>
    <t>The inner foam should be white</t>
  </si>
  <si>
    <t>The inner foam should not have a cut. Please check this by taking the cover off and inspecting the foam all-around</t>
  </si>
  <si>
    <t>The inner mesh should be well-stitched. Check this by pulling the inner mesh</t>
  </si>
  <si>
    <t>The product's outer cover should not have any holes. Check this by closely inspecting the outer cover</t>
  </si>
  <si>
    <t>The product should not be dirty</t>
  </si>
  <si>
    <t>Check for loose stitches.</t>
  </si>
  <si>
    <t>The product should inflate back easily when unpacking it.</t>
  </si>
  <si>
    <t>There shouldn't be any loose threads, stitchings, glue, or dirt</t>
  </si>
  <si>
    <t>The edges should be well stitched</t>
  </si>
  <si>
    <t>Make sure all the sequins flip smoothly. A few sequins at the edges are not able to flip, that is ok. No sequins should fall of</t>
  </si>
  <si>
    <t>Run your hands along the edges of the frame to make sure there are no splinters or sharp edges on the wood. Nothing should feel sharp</t>
  </si>
  <si>
    <t>Make sure that when the product is horizontal, the sequins can be flipped by dragging your finger down</t>
  </si>
  <si>
    <t>Make sure the screws and plugs fit</t>
  </si>
  <si>
    <t>Make sure the product does not smell bad</t>
  </si>
  <si>
    <t>Make sure all the sequins are the same colour</t>
  </si>
  <si>
    <t>Make sure the backing is attached to the frame securely</t>
  </si>
  <si>
    <t>Make sure all the sequins are attached securely</t>
  </si>
  <si>
    <t>Make sure there are no scratches or any damage to the wooden frame</t>
  </si>
  <si>
    <t>Make sure there are no stains on the wooden frame</t>
  </si>
  <si>
    <t>Make sure there are 4 screws and 4 plugs included in the set. Make sure the screw can fit correctly in the plug. The screw should be around 1cm longer than the plug</t>
  </si>
  <si>
    <t>Shake the product for 10 seconds. Check if no sequins fall of</t>
  </si>
  <si>
    <t>The color of the wood should be relatively similar and consistent for the whole frame.</t>
  </si>
  <si>
    <t>Check that if you go with your hand from top to bottom, that the sequins flip from gold to silver</t>
  </si>
  <si>
    <t>The product should not smell</t>
  </si>
  <si>
    <t>The product should not be dirty when touched. Test this by rubbing your hand to see if any dirt stains your hand and also with a wet wipe.</t>
  </si>
  <si>
    <t>The product should be easy to move. Test this by pushing the product both when it is empty and filled</t>
  </si>
  <si>
    <t xml:space="preserve">The wheel breaks should work. They should be assembled in the back 2 wheels. Test this by putting the breaks on and trying to push. </t>
  </si>
  <si>
    <t>The product should have 26 screws. (20 screws for product and 4 extra screws)</t>
  </si>
  <si>
    <t xml:space="preserve">The product should have a screwdriver that fits the screws that come with the product. </t>
  </si>
  <si>
    <t xml:space="preserve">The bars should be sturdy when assembled and should not wiggle easily. Test this by moving the bar back and forward a couple of times. </t>
  </si>
  <si>
    <t xml:space="preserve">The product should not have stains. </t>
  </si>
  <si>
    <t xml:space="preserve">The product should be packaged well. </t>
  </si>
  <si>
    <t>The product should not have holes in the outer frame.</t>
  </si>
  <si>
    <t>The product should have 6 big bars and 4 small bars</t>
  </si>
  <si>
    <t xml:space="preserve">The product should be packaged with new wheels, they should not have dirt on them. </t>
  </si>
  <si>
    <t>The product should have a small wrench that helps with the assembly of the wheels.</t>
  </si>
  <si>
    <t xml:space="preserve">The wrench and the screwdriver (additional items) should fit the screws and the wheel nuts so that they are useful when assembling the product. </t>
  </si>
  <si>
    <t>Put some paintings or big items in between the bars to see if they can withstand the weight</t>
  </si>
  <si>
    <t>(Supplier switch focus) The poles should be sturdy and not too light weight</t>
  </si>
  <si>
    <t>(Supplier switch focus) The sample had dust and sctatches, this should nto happen</t>
  </si>
  <si>
    <t>(Supplier switch focus) Wheel brakes are hard to set, should be easy to do</t>
  </si>
  <si>
    <t>The product should not have excessive shedding.</t>
  </si>
  <si>
    <t>The product should not have loose stitching.</t>
  </si>
  <si>
    <t>The face of the product should be aligned and centered.</t>
  </si>
  <si>
    <t>The button should for stress ball should attached well.</t>
  </si>
  <si>
    <t xml:space="preserve">The end part of the ears should not be stitched, they should be loose. </t>
  </si>
  <si>
    <t>The velcro should be easy to use.</t>
  </si>
  <si>
    <t xml:space="preserve">The velcro should be stitched straight and neatly. </t>
  </si>
  <si>
    <t xml:space="preserve">All the elements on the blanket should be stitched well. Test this by pulling on them. </t>
  </si>
  <si>
    <t xml:space="preserve">Everything should be stitched straight and neatly on the blanket. </t>
  </si>
  <si>
    <t xml:space="preserve">The minky pouch should make a wrinkle sound </t>
  </si>
  <si>
    <t xml:space="preserve">The buckle should be easy to clip and unclip. Test this by clipping and unclipping the buckle 5 times. </t>
  </si>
  <si>
    <t>The microfiber should be stitched well with little to no excess material around it.</t>
  </si>
  <si>
    <t xml:space="preserve">The tassels should be stitched straight. </t>
  </si>
  <si>
    <t>The eyes should have brown circle inside them.</t>
  </si>
  <si>
    <t>The muff should have a stress ball</t>
  </si>
  <si>
    <t xml:space="preserve">The stress ball should be sturdy. Test this by squeezing and releasing the stress ball 5 times. </t>
  </si>
  <si>
    <t>The blanket should not have loose stitching.</t>
  </si>
  <si>
    <t>The product should not have excessive sheding.</t>
  </si>
  <si>
    <t xml:space="preserve">The product should have curly fur. </t>
  </si>
  <si>
    <t xml:space="preserve">The three colored loops should be stitched well and all should be the same size. </t>
  </si>
  <si>
    <t xml:space="preserve">The rope/lace should be attached well. Test this by roughly pulling the rope. </t>
  </si>
  <si>
    <t>The light yellow pouch should have an opening the top of the blanket when laid flat</t>
  </si>
  <si>
    <t>The embroiders should be stitched well.</t>
  </si>
  <si>
    <t>The zipper should stitched to the blanket all around.</t>
  </si>
  <si>
    <t>The denim zipper should be easy to use and durable. Test this by zipping and unzipping 5 times.</t>
  </si>
  <si>
    <t>Cover Page: title and the image holder should be centered</t>
  </si>
  <si>
    <t>Cover Page: The images should have a glossy finish, like the V1</t>
  </si>
  <si>
    <t>Cover Page:The product should have 4 double-sided cards/images</t>
  </si>
  <si>
    <t xml:space="preserve">Cover Page: The button should not be too difficult to open. Test this by buttoning and unbuttoning 5 times. </t>
  </si>
  <si>
    <t>Page 1: The image holders should have white stitched borders. They should be stitched well</t>
  </si>
  <si>
    <t>Page 2: The fur should not shed. Test this by shuffling the fur to see the amount. The shedding should not be more than V1 Page 2</t>
  </si>
  <si>
    <t xml:space="preserve">Page 3: The product should have 6 flowers with 2 of each color  </t>
  </si>
  <si>
    <t xml:space="preserve">Page 3: The velcro on the flowers should be attached well </t>
  </si>
  <si>
    <t xml:space="preserve">Page 3: The velcro on page 3 should be stitched </t>
  </si>
  <si>
    <t>Page 3: The extra flower should fit the orange pouch</t>
  </si>
  <si>
    <t xml:space="preserve">Page 4: Should not have white lining seen from the side under the page </t>
  </si>
  <si>
    <t xml:space="preserve">Page 4: The sequins should all turn </t>
  </si>
  <si>
    <t>Page 4: The sequins should not break off. Test this by playing with the sequins roughly</t>
  </si>
  <si>
    <t>Page 5: The microfiber should be soft and not dirty</t>
  </si>
  <si>
    <t xml:space="preserve">Page 6: The cat should have a stitched nose and whiskers same as the image </t>
  </si>
  <si>
    <t>Page 6: The whiskers should not be ripped easily</t>
  </si>
  <si>
    <t xml:space="preserve">Page 6: The buckle should be attached well. Test this by pulling the buckle </t>
  </si>
  <si>
    <t xml:space="preserve">Page 6: The stitching on the cat design should be sturdy overall. Test this by trying to find loose threads. </t>
  </si>
  <si>
    <t>Page 7: The mesh on the maze should be stitched well and should not get ripped. Test this by playing with the ball in the maze and trying to rip it from the yellow stitching borders</t>
  </si>
  <si>
    <t xml:space="preserve">Page 7: The balls in the maze should be red and blue. The balls need to be visible. </t>
  </si>
  <si>
    <t xml:space="preserve">Page 8: All the elements on the page should be stitched well. Test this by puling all the elements on the page. </t>
  </si>
  <si>
    <t>Page 8: The plastic on the zipper should not rip. Test this by pulling the plastic.</t>
  </si>
  <si>
    <t>Page 8: The zipper should be easy to use. Test this by zipping and unzipping 5 times.</t>
  </si>
  <si>
    <t xml:space="preserve">Page 8: The ropes should be well-stitched. Test this by pulling on them </t>
  </si>
  <si>
    <t xml:space="preserve">Page 8: The minky pouch should make a wrinkle sound when played with. </t>
  </si>
  <si>
    <t>Page 8: The loops attached around the pouch should be stitched well.</t>
  </si>
  <si>
    <t>Page 9: The shoelaces should be stitched on the top.</t>
  </si>
  <si>
    <t>Page 9: The laces should be durable. Test this by pulling them to test the strength</t>
  </si>
  <si>
    <t>Page 10: The gold tassels should be stitched straight.</t>
  </si>
  <si>
    <t xml:space="preserve">Page 10: The red button on the denim pocket should be easy to undo. </t>
  </si>
  <si>
    <t xml:space="preserve">Page 10: The red button should be stitched very well as if it rips it can create a swallowing hazard. Test this by very hardly pulling the button. </t>
  </si>
  <si>
    <t>Check that if you go with your hand from top to bottom, that the sequins flip from rainbow to silver</t>
  </si>
  <si>
    <t>Inspect the product for dents or dirt that could affect the performance</t>
  </si>
  <si>
    <t>Check the stitching  at the bottom, ensure that there are no loose threads</t>
  </si>
  <si>
    <t>Drop the stunt trainer from a 3m height 5 times. Check that it is unharmed</t>
  </si>
  <si>
    <t>Put a weight of at least 70 kg on the trainer. Keep it on for 5 minutes and check that it bounces back to shape</t>
  </si>
  <si>
    <t>Repeat the same process, but keep the weight on for 10 minutes</t>
  </si>
  <si>
    <t>Scratch the material 5 times to ensure it does not leave a mark</t>
  </si>
  <si>
    <t>Stand on the trainer on carpeted floors for 2 minutes, ensure it does not slip</t>
  </si>
  <si>
    <t>Stand on the trainer on tiled floors for 2 minutes, ensure it does not slip</t>
  </si>
  <si>
    <t>Stand on the trainer on wooden floors for 2 minutes, ensure it does not slip</t>
  </si>
  <si>
    <t>Kick the trainer 5 times to ensure it does not tip over</t>
  </si>
  <si>
    <t>Make sure the product doesn't have any creases or scratches during shipping</t>
  </si>
  <si>
    <t>The design should not fade with use. Rub your hands over each pieces and see if any colour comes off.</t>
  </si>
  <si>
    <t>Please be careful not to have any disconnection problems on the back</t>
  </si>
  <si>
    <t>Examine the edges of the path elements to make sure there are no sharp corners or rough surfaces that could cause injuries.</t>
  </si>
  <si>
    <t>Check how well the path holds up under regular use</t>
  </si>
  <si>
    <t>Evaluate how easy it is to clean the path, considering the materials used and the potential for dirt accumulation.</t>
  </si>
  <si>
    <t>Make sure the glitter doesn't fall off the mat excessively</t>
  </si>
  <si>
    <t>Check if the dino has the correct dimensions and it is exactly according to our packaging dimensions. This is very important</t>
  </si>
  <si>
    <t>Check if the head is around 0.5cm thickness and the other components are 0.25cm thickness</t>
  </si>
  <si>
    <t>Check if the sequins flip if you go with your hand from top to bottom. They should flip from rainbow to silver</t>
  </si>
  <si>
    <t xml:space="preserve">Put the product on the wall using the double sided tape. Check if the mats stay in place even if you play with them </t>
  </si>
  <si>
    <t>Check if all components of the dinosaur align properly with each other. That they are of the same length.</t>
  </si>
  <si>
    <t>Pull the green material a few times and check if none of the parts come out easily</t>
  </si>
  <si>
    <t>Check if the caterpillar has the correct dimensions and it is exactly according to our packaging dimensions. This is very important</t>
  </si>
  <si>
    <t>Check if all components of the butterfly align properly with each other. That they are of the same length.</t>
  </si>
  <si>
    <t>Pull the blue material a few times and check if none of the parts come out easily</t>
  </si>
  <si>
    <t>Go with your hand through the grass a few times. No grass should fall out</t>
  </si>
  <si>
    <t>Play with the grass and pull it slightly. Check if no grass comes loose. A tiny bit is okay</t>
  </si>
  <si>
    <t>Play with the pompons and pull them very slightly. They should not come off too easily.</t>
  </si>
  <si>
    <t>Check if the thickness of the head is 0.5cm and the others are 0.25cm thick</t>
  </si>
  <si>
    <t>Check if the back of the pompons has some stitching line. It should NOT contain a white part that is sticked on it with glue</t>
  </si>
  <si>
    <t>Go with your hand through the red fur a few times. No fur should fall out</t>
  </si>
  <si>
    <t>Check if the butterfly has the correct dimensions and it is exactly according to our packaging dimensions. This is very important</t>
  </si>
  <si>
    <t>Almost no light should come through door and window. Only tiny bit at bottom</t>
  </si>
  <si>
    <t>There should be a minimal amount of stitches in the tent. There will be a tiny bit above the door That is fine.</t>
  </si>
  <si>
    <t>No black scratches / dirt on the outer material</t>
  </si>
  <si>
    <t>Please make a photo of all components that are included</t>
  </si>
  <si>
    <t>Please make a video of assembly of the tent and let us know any struggle points</t>
  </si>
  <si>
    <t>Make sure the product has the correct dimensions.</t>
  </si>
  <si>
    <t>Tug on the handles of the bag to ensure they do not tearup</t>
  </si>
  <si>
    <t>Make sure the pipes can be securely connected</t>
  </si>
  <si>
    <t>There should minimal space when the pipe is inserted in the fabric.</t>
  </si>
  <si>
    <t>Make sure there is right dimensions on each of the pipe.</t>
  </si>
  <si>
    <t>Check if the weight of the components and the entire product is smilar.</t>
  </si>
  <si>
    <t>Shake the tent a few times to ensure it is stable and does not topple over.</t>
  </si>
  <si>
    <t>Check if QR code + link below links to 'qrcodes.pro/29281T' and this links to 'https://odoxia.com/wp/sensory-tent-cube/'</t>
  </si>
  <si>
    <t>Pull the purple flaps</t>
  </si>
  <si>
    <t>Check if there is a zipper in the pocket</t>
  </si>
  <si>
    <t>Pull the three colored parts, they should not come off easily</t>
  </si>
  <si>
    <t>Check if the shoe lace is stitched at the back</t>
  </si>
  <si>
    <t>Check if there is a hidden zipper below the green velcro</t>
  </si>
  <si>
    <t>Pull the black and green part back and forth 20 times and check if it still works</t>
  </si>
  <si>
    <t>Get the pillow out of the case and get it back in again</t>
  </si>
  <si>
    <t>Check if the tassels can be tugged securely by pulling them a few times.</t>
  </si>
  <si>
    <t>Move the zipper 10 times to ensure it works smoothly.</t>
  </si>
  <si>
    <t>Button and unbutton it a few times to ensure the buttons work properly.</t>
  </si>
  <si>
    <t>Make sure all the components are stitched on well and are not coming loose.</t>
  </si>
  <si>
    <t>Check the sides of the product to see if they are stitched well and have no holes.</t>
  </si>
  <si>
    <t>Check if the fur sheds excessively by gently pulling on the fur and shuffling it rapidly.</t>
  </si>
  <si>
    <t>Gently tug on the rings to ensure they are made of silicon (wood color) and do not have holes or break.</t>
  </si>
  <si>
    <t>Make sure the tassels are twisted and  sitched in properly.</t>
  </si>
  <si>
    <t>Make sure everything is neatly stitched all over the product.</t>
  </si>
  <si>
    <t>Ensure there are no loose threads.</t>
  </si>
  <si>
    <t>The plastic on the zipper should not rip. Test this by pulling the plastic.</t>
  </si>
  <si>
    <t>Check if the ribbbons are attahced securtly pu pulling them a few times.</t>
  </si>
  <si>
    <t>Check if the ribbons are cut well and have no loose ends coming out.</t>
  </si>
  <si>
    <t>Check if the microfiber are secured well by tugging on them a few times.</t>
  </si>
  <si>
    <t>Make sure the denmin pocket has no holes, and is a shallow pocket</t>
  </si>
  <si>
    <t>Make sure the Bird is embrodired and not printed, with no looose ends</t>
  </si>
  <si>
    <t>The zipper color should be same as stated below. The color should be same as previous version of the product.</t>
  </si>
  <si>
    <t>Make sure on the braided shoelace, the denmin is only sitched to one side and it can be flipped =.</t>
  </si>
  <si>
    <t>Check if the braided shoelace is braided securely by pulling a few times and no loose threads.</t>
  </si>
  <si>
    <t>Make sure the denim pocket has no holes, and is a shallow pocket</t>
  </si>
  <si>
    <t>Make sure the rope is braided with a knot at the bottom</t>
  </si>
  <si>
    <t>Check if the rope is knotted securely by pulling it strongly 5 times.</t>
  </si>
  <si>
    <t xml:space="preserve">The edges of the microfiber patch should be neat, check this closely. </t>
  </si>
  <si>
    <t xml:space="preserve">The zipper should be the same color as stated and the same as the previous version. </t>
  </si>
  <si>
    <t>Check if the tassels can be tugged securely by pulling them a few times</t>
  </si>
  <si>
    <t>Check if the yellow fur sheds excessively by gently pulling on the fur and shuffling it rapidly.</t>
  </si>
  <si>
    <t>Check if the flip sequins flip properly and are attached securely by shuffling them rapidly.</t>
  </si>
  <si>
    <t>Check if the pink ruffles are secured well by tugging on them a few times.</t>
  </si>
  <si>
    <t>Check if the zip opens up to a pouch and has a pocket.</t>
  </si>
  <si>
    <t>Check sure the wodden toggle is securely sitched by pulling it a few times</t>
  </si>
  <si>
    <t>Make sure the tassels are twisted and sitched in properly.</t>
  </si>
  <si>
    <t>Gently tug on the rings to ensure they are made of silicon (wood color) and do not break or have any holes.</t>
  </si>
  <si>
    <t>The buttons should be white, they should not be any other color.</t>
  </si>
  <si>
    <t>Make sure there is excess fabric with the zip to close the book together</t>
  </si>
  <si>
    <t xml:space="preserve">Page 1: Make sure the felt door opens up </t>
  </si>
  <si>
    <t>Page 1: Move the zipper 10 times to ensure it works smoothly.</t>
  </si>
  <si>
    <t>Page 1: Make sure the ribbon bow tie is securely tied by pulling it 5 times</t>
  </si>
  <si>
    <t>Page 1:  The pockets are swed in well and are seperated well.</t>
  </si>
  <si>
    <t>Page 2: Make sure the felt flower has a yellow centre.</t>
  </si>
  <si>
    <t>Page 2: Make sure the ribbons are securely tied by tugging a few times</t>
  </si>
  <si>
    <t>Page 2: Pull the microfibers a few times to ensure they do not come out.4</t>
  </si>
  <si>
    <t>Page 2: Make sure the cordoury pocket is sewed in properoly and has is hollow inside.</t>
  </si>
  <si>
    <t>Page 3: Gently tug on the rings to ensure they are made of silicon (wood color) and do not have holes or break.</t>
  </si>
  <si>
    <t>Page 3:Check if the yellow fur sheds excessively by gently pulling on the fur and shuffling it rapidly.</t>
  </si>
  <si>
    <t>Page 3: Make sure the Bird is embrodired and not printed, with no looose ends</t>
  </si>
  <si>
    <t>Page 3: Make sure the Belt can be unbuckled and pull it a few times.</t>
  </si>
  <si>
    <t>Page 4: Make sure the tassels are twisted and  sitched in properly.</t>
  </si>
  <si>
    <t>Page 4: Check sure the wodden toggle is securely sitched by pulling it a few times</t>
  </si>
  <si>
    <t>Page 4: Check if the flip sequins flip properly and are attached securely by shuffling them rapidly.</t>
  </si>
  <si>
    <t>Page 4: Check if the tassels can be tugged securely by pulling them a few times</t>
  </si>
  <si>
    <t>Page 4: Make sure the braided shoelace  has no loose ends</t>
  </si>
  <si>
    <t xml:space="preserve">Make sure there is a picture in the front pocket </t>
  </si>
  <si>
    <t>Make sure the is a pocket in the back as well.</t>
  </si>
  <si>
    <t>Ensure that the handles are sturdy by pulling them a few times.</t>
  </si>
  <si>
    <t>Check if the cards are included. There should be 3 vertical ones in the holder and 1 horizontal one in the front)</t>
  </si>
  <si>
    <t xml:space="preserve">The product should not have any glue residue. Check carefully around the product. </t>
  </si>
  <si>
    <t>Make sure the laces are stitched at the top and have no loose ends.</t>
  </si>
  <si>
    <t>Make sure the vinly pockets do not rip easily and swed in securely.</t>
  </si>
  <si>
    <t>Push the minkey fleece cushion and see if it makes a crinkly sound</t>
  </si>
  <si>
    <t>Check if the blanket doesn't have too big folds when you get it out of the package</t>
  </si>
  <si>
    <t>Make sure the belt is stitched in securely and properly</t>
  </si>
  <si>
    <t>Make sure the tie is securely attached to the blanket by pulling it a few times</t>
  </si>
  <si>
    <t>Make sure the Dog is embrodired and not printed, with no looose ends</t>
  </si>
  <si>
    <t xml:space="preserve">The edges of the Fur patch should be neat, check this closely. </t>
  </si>
  <si>
    <t>Make sure the logo is stitched securely and well placed.</t>
  </si>
  <si>
    <t>Make sure the fabric around the denim pocket is not dirty.</t>
  </si>
  <si>
    <t>Make sure there is a stitch in the shoelace below and pull a few times to ensure it is secure.</t>
  </si>
  <si>
    <t>Check if the ribbbons are attahced securely by pulling them a few times.</t>
  </si>
  <si>
    <t>Make sure the bird is embrodired and not printed, with no looose ends</t>
  </si>
  <si>
    <t xml:space="preserve">Make sure everything is centered </t>
  </si>
  <si>
    <t xml:space="preserve">Light pull on the rose to make sure it does not come off and the glue is not visible. </t>
  </si>
  <si>
    <t>Pull the 3 ribbons on the side a few times to make sure they do not tear.</t>
  </si>
  <si>
    <t>Make sure the fllower pattern is algined and centered properly.</t>
  </si>
  <si>
    <t>Rub the glitter number a few times and make sure the glitter does not trasnfer</t>
  </si>
  <si>
    <t xml:space="preserve">Pull on the fake grass a few times and make sure it does not shed </t>
  </si>
  <si>
    <t>Make sure the minky texture has the bumbs and can be felt.</t>
  </si>
  <si>
    <t>Pull on the number 1 fabric  a few times to make sure it does not shed and is secured well.</t>
  </si>
  <si>
    <t>Shuffle the fake grass a few times to make sure it does not shed.</t>
  </si>
  <si>
    <t>Make sure that the ring is included in the set</t>
  </si>
  <si>
    <t xml:space="preserve">The edges of the microfiber should be neat, check this closely. </t>
  </si>
  <si>
    <t xml:space="preserve">Make sure all the backs have a non slip texture </t>
  </si>
  <si>
    <t>Rub the glitter a few times and make sure the glitter does not trasnfer</t>
  </si>
  <si>
    <t>Pull on the fake grass a few times and make sure it does not rip.</t>
  </si>
  <si>
    <t xml:space="preserve">The dimensions need to be 31cm x 31cm (31 cm diameter) </t>
  </si>
  <si>
    <t>The dimensions of the hole should be 9cm diameter.</t>
  </si>
  <si>
    <t>The product should not be too stiff (have too much filling).</t>
  </si>
  <si>
    <t>The zipper should not break after repeatedly opening and closing it a few times.</t>
  </si>
  <si>
    <t>The zipper needs to be strong and should have a protector fabric added inside to avoid the zipper getting stuck (see</t>
  </si>
  <si>
    <t>The zipper should close easily and smoothly.</t>
  </si>
  <si>
    <t xml:space="preserve"> The seam should be strong and not rip easily when pulled.</t>
  </si>
  <si>
    <t>The product should have an even distribution of the filling inside and hold</t>
  </si>
  <si>
    <t>product should have an even circular shape throughout, without any bumps or inconsistencies.</t>
  </si>
  <si>
    <t>The filling weight should be 290 grams.</t>
  </si>
  <si>
    <t>The seam should be straight and even, without any variations</t>
  </si>
  <si>
    <t xml:space="preserve">The product should not shed fur </t>
  </si>
  <si>
    <t>The extra filling should be 25grams</t>
  </si>
  <si>
    <t>The product should arrive in vaccumed packaging</t>
  </si>
  <si>
    <t>The zipper needs to be strong, straight and should have a protector fabric added inside to avoid the zipper getting stuck</t>
  </si>
  <si>
    <t xml:space="preserve">The product should have an even distribution of the filling inside </t>
  </si>
  <si>
    <t>The filling weight should be 236 grams.</t>
  </si>
  <si>
    <t>The product should arrive in vacuumed packaging</t>
  </si>
  <si>
    <t>The total weight of the pillow should be 290g</t>
  </si>
  <si>
    <t>The seam should be strong and not rip easily when pulled.</t>
  </si>
  <si>
    <t>Product should have an even circular shape throughout, without any bumps or inconsistencies.</t>
  </si>
  <si>
    <t>The product is vacuumed for the packaging</t>
  </si>
  <si>
    <t>Are the rack or other components straight (not bent)?</t>
  </si>
  <si>
    <t>Can the racks hold enough weight? Preferably try with some light products.</t>
  </si>
  <si>
    <t>Check if the clips can hold enough weight? Preferably try with some light products (eg, photos, memo or other paper)</t>
  </si>
  <si>
    <t>Please ensure all the parts will not separate or deform during the transportation.</t>
  </si>
  <si>
    <t>Please ensure the quality of the rope is good, and there should be no breakage or bisfurcation.</t>
  </si>
  <si>
    <t xml:space="preserve">The wall holders should come in a separate plastic bag placed inside the bag with all the accesories </t>
  </si>
  <si>
    <t>All the bars of the grid should be straight</t>
  </si>
  <si>
    <t>All the horizontal bars should be parallel</t>
  </si>
  <si>
    <t>All the vertical bars should be parallel</t>
  </si>
  <si>
    <t>Try to hammer the wall holders into a wall and check if it breaks or get damaged in anyway</t>
  </si>
  <si>
    <t xml:space="preserve">The hanging shelf should be completly straight </t>
  </si>
  <si>
    <t>The hooks (attachment parts) of the accesories should have the right shape, like in the images</t>
  </si>
  <si>
    <t>All the horizontal bars of the grid should be parallel</t>
  </si>
  <si>
    <t>All the vertical bars of the grid should be parallel</t>
  </si>
  <si>
    <t>Make sure that the stiching is even all around</t>
  </si>
  <si>
    <t>Make sure that the edges are not rough or uneven areas.</t>
  </si>
  <si>
    <t>Make sure that the pads don’t smell and look clean</t>
  </si>
  <si>
    <t>There should be no stains on the pads</t>
  </si>
  <si>
    <t>Gently pull at the layers to confirm they are securely attached, with no separation.</t>
  </si>
  <si>
    <t>Measure the diameter and shape to make sure they match specifications.</t>
  </si>
  <si>
    <t>Make sure the colour does not transfer onto skin. Put some water on the make-up pad and test this on your arm or your face</t>
  </si>
  <si>
    <t>Make sure the color is consistent across all pads in the set.</t>
  </si>
  <si>
    <t>Make sure there are no holes or defects on the pads.</t>
  </si>
  <si>
    <t>Lightly pull on the bag to make sure it does not rip</t>
  </si>
  <si>
    <t>Check that all labels and tags are properly attached and do not peel off.</t>
  </si>
  <si>
    <t>Make sure the fabric does not shed fibers, test by pulling on it 10 times</t>
  </si>
  <si>
    <t>Make sure pads retain their shape</t>
  </si>
  <si>
    <t>rub the pads 10 times to check if the material wears thin.</t>
  </si>
  <si>
    <t>make sure the drawstring of the package bag are there</t>
  </si>
  <si>
    <t>Check that all pads are uniform in weight and thickness</t>
  </si>
  <si>
    <t xml:space="preserve">Make sure the different pads have diffebrt fabrics and harshness </t>
  </si>
  <si>
    <t>Ensure that the pads’ round or square shapes are consistent across the batch.</t>
  </si>
  <si>
    <t>Check there is a washing label on the net bag</t>
  </si>
  <si>
    <t>No loose threads around the pads</t>
  </si>
  <si>
    <t>Make sure trhe black make-up pad is 3.95 grams (improvement point from sample)</t>
  </si>
  <si>
    <t>Make sure the black make-up pad is 3.95 grams (improvement point from sample)</t>
  </si>
  <si>
    <t>The product should be stitched well (ALL)</t>
  </si>
  <si>
    <t>The product should not smell (ALL)</t>
  </si>
  <si>
    <t>The product should not arrive dirty (ALL)</t>
  </si>
  <si>
    <t>The product should have all 24 mats</t>
  </si>
  <si>
    <t>The fur should not shed (Mat 4 &amp; 5)</t>
  </si>
  <si>
    <t>The sequins should all be reversible (Mat 8)</t>
  </si>
  <si>
    <t>The buckles should be well attached (Mat 14)</t>
  </si>
  <si>
    <t>The zipper should be sturdy and should not break after use. Test this by zipping and unzipping 10 times (Mat 17)</t>
  </si>
  <si>
    <t>The plastic mirror should not arrive dirty, with fingerprints (Mat 19)</t>
  </si>
  <si>
    <t>The tassels should be attached well. Test this by pulling on the tassels hardly to test their stitching (Mat 21)</t>
  </si>
  <si>
    <t>Minky fabric should not have marks on it (Mat 23)</t>
  </si>
  <si>
    <t>The reflective mat should not have rough parts. Test this by shuffling your hand over it (Mat 24)</t>
  </si>
  <si>
    <t xml:space="preserve">All the mats should have light yellow/brown fabric around the edges (ALL) </t>
  </si>
  <si>
    <t>The edges should be well-finished. (ALL)</t>
  </si>
  <si>
    <t>Make sure there is no glue on the sensory mats at all</t>
  </si>
  <si>
    <t>The end of the lace should be stitched (Mat 2)</t>
  </si>
  <si>
    <t xml:space="preserve">it should not leak </t>
  </si>
  <si>
    <t xml:space="preserve">it should not rust </t>
  </si>
  <si>
    <t xml:space="preserve">there should not be aything written on the tray or on the cups </t>
  </si>
  <si>
    <t xml:space="preserve">there should not be any sharp edges </t>
  </si>
  <si>
    <t xml:space="preserve">it should not smell </t>
  </si>
  <si>
    <t xml:space="preserve">the cups have to fit the tray </t>
  </si>
  <si>
    <t xml:space="preserve">it should not bend or break easily </t>
  </si>
  <si>
    <t xml:space="preserve">the product should have the color PANTONE: #B7CDC2 </t>
  </si>
  <si>
    <t xml:space="preserve">the quality should not change after washing </t>
  </si>
  <si>
    <t xml:space="preserve">the measurements have to be as described </t>
  </si>
  <si>
    <t>the tray should be same finish as the pots (glossy)</t>
  </si>
  <si>
    <t xml:space="preserve">The handles should be sturdy and fixed to the tray </t>
  </si>
  <si>
    <t>The pots should have a drainage hole in all three pots</t>
  </si>
  <si>
    <t>Put water in the tray. Wait few mins, check if nothing leaks</t>
  </si>
  <si>
    <t>Double check if white  &amp; green color is same as previous supplier (see required changes document photo)</t>
  </si>
  <si>
    <t xml:space="preserve">there should not be any sharp or uneven edges </t>
  </si>
  <si>
    <t xml:space="preserve">the product should have the white color as shown </t>
  </si>
  <si>
    <t>the tray should have the same finish as the pots (glossy)</t>
  </si>
  <si>
    <t>Make sure there is one stich inside the shoelace on the felt</t>
  </si>
  <si>
    <t>Make sure the purple colour on the 3 tier cloth, is pantone 2715C</t>
  </si>
  <si>
    <t>Pull the plastic toggle a few times to make sure it does not come come out</t>
  </si>
  <si>
    <t>Make sure that the red fabric pouch opnes up to be a pocket</t>
  </si>
  <si>
    <t>Make sure the red pouch is attahced by velcro</t>
  </si>
  <si>
    <t>Make sure the plastic hook, hooks and unhooks easily</t>
  </si>
  <si>
    <t>Make sure the strap closes with velcro</t>
  </si>
  <si>
    <t>Make sure the red pouch is attahced by a button</t>
  </si>
  <si>
    <t>Make sure the cat and dog is embrodired and not printed, with no looose ends</t>
  </si>
  <si>
    <t>Make sure the yellow zipper is facing opposite to the red one</t>
  </si>
  <si>
    <t>Put in fingers through the finger holes to make sure they are wide and even.</t>
  </si>
  <si>
    <t xml:space="preserve">Pull the 3 ribbons on the side a few times to make sure it is securely attached </t>
  </si>
  <si>
    <t xml:space="preserve">Make sure the background is a lighter colour </t>
  </si>
  <si>
    <t>Checked if the product is wrapped in crepe paper with a blue odoxia sticker</t>
  </si>
  <si>
    <t xml:space="preserve">it needs to be sturdy </t>
  </si>
  <si>
    <t xml:space="preserve">the wheels should move propperly </t>
  </si>
  <si>
    <t xml:space="preserve">the breaks on all wheels should be working </t>
  </si>
  <si>
    <t xml:space="preserve">the product should be easy to assemble and not get stuck </t>
  </si>
  <si>
    <t>it should not smell</t>
  </si>
  <si>
    <t xml:space="preserve">it should not have sharp edges </t>
  </si>
  <si>
    <t xml:space="preserve">it should not have scratches </t>
  </si>
  <si>
    <t xml:space="preserve">it should not be broken in any parts </t>
  </si>
  <si>
    <t xml:space="preserve">it should not be dirty  </t>
  </si>
  <si>
    <t xml:space="preserve">All items should be on the right sizes </t>
  </si>
  <si>
    <t xml:space="preserve">the shelves should fit the rack </t>
  </si>
  <si>
    <t xml:space="preserve">the U shape base and U shaped bottom should fit </t>
  </si>
  <si>
    <t xml:space="preserve">the screws should fit the holes and maintain stability </t>
  </si>
  <si>
    <t xml:space="preserve">The screw and screw drivers should came on a plastic bag </t>
  </si>
  <si>
    <t>The product finishing should be glossy like on the picture (not matte)</t>
  </si>
  <si>
    <t xml:space="preserve">It should not be missing any parts </t>
  </si>
  <si>
    <t xml:space="preserve">It should be able to handle small packages on the shelves </t>
  </si>
  <si>
    <t xml:space="preserve">The clips on the side should be able to hold small packages (chips and candy) </t>
  </si>
  <si>
    <t xml:space="preserve">the labels and plastic covers should fit the shelves </t>
  </si>
  <si>
    <t xml:space="preserve">the finishing needs to be glossy </t>
  </si>
  <si>
    <t xml:space="preserve">Thoroughly check if the packaging dimensions are accurate. Not any part of the box should be pushed outward (this can increase dimensions when Amazon checks it)
</t>
  </si>
  <si>
    <t>Can the racks hold enough weight? Preferably try with some light products (eg books)</t>
  </si>
  <si>
    <t>Important: when unpacking the product, does any white foam get loose and stay around all the product parts?</t>
  </si>
  <si>
    <t>Do all the shelves have the same length?</t>
  </si>
  <si>
    <t>Check if the spacing between the grids is even. All racks should be parallel</t>
  </si>
  <si>
    <t xml:space="preserve">There should be 11 pairs of holes in the top piece </t>
  </si>
  <si>
    <t>The holes should all be spaced at an equal distance</t>
  </si>
  <si>
    <t xml:space="preserve">There should be 8 pairs of holes in the middle piece </t>
  </si>
  <si>
    <t>Make sure that all the components are in the box</t>
  </si>
  <si>
    <t xml:space="preserve">The racks shoud be strong and not bend easily </t>
  </si>
  <si>
    <t xml:space="preserve">the screwdriver should fit the screw </t>
  </si>
  <si>
    <t>all objects should follow the dimensions and sizes specified on the PI sheet</t>
  </si>
  <si>
    <t xml:space="preserve">the screws shouls be in metal </t>
  </si>
  <si>
    <t xml:space="preserve">\the basis should enable the board to move up and down firmly </t>
  </si>
  <si>
    <t xml:space="preserve">Screws should fit the holes and be tight </t>
  </si>
  <si>
    <t xml:space="preserve">finishing on the edges should not be open/ sharp </t>
  </si>
  <si>
    <t xml:space="preserve">product should not smell </t>
  </si>
  <si>
    <t xml:space="preserve">it should be clean </t>
  </si>
  <si>
    <t xml:space="preserve">it should be easy to assemble </t>
  </si>
  <si>
    <t xml:space="preserve">all parts should fit for a sturdy material </t>
  </si>
  <si>
    <t xml:space="preserve">Hooks should be stable and fit the holes </t>
  </si>
  <si>
    <t xml:space="preserve">The hooks should be able to hold objects </t>
  </si>
  <si>
    <t>Are all the components straight  (not bent)?</t>
  </si>
  <si>
    <t xml:space="preserve">Can the clips attached on the metal rods hold light weights, like a bag of chips ? </t>
  </si>
  <si>
    <t>Check if the product has all components inside the package.</t>
  </si>
  <si>
    <t>Check if the separate clips can hold enough weight? Preferably try with some light products, like the paper labels or  photos</t>
  </si>
  <si>
    <t xml:space="preserve">The separate clips and the screws sould comee in a separate plastic bag </t>
  </si>
  <si>
    <t xml:space="preserve">The paper labels should come in a tight plastic package (plastic foil) </t>
  </si>
  <si>
    <t>All the metal rods of the product should be straight</t>
  </si>
  <si>
    <t>When assembled, all the horizontal rods should be parallel</t>
  </si>
  <si>
    <t>When assembled, all the vertical rods should be parallel</t>
  </si>
  <si>
    <t xml:space="preserve">All the atached metal clips should be straight (straight position on the rods) </t>
  </si>
  <si>
    <t xml:space="preserve">Whe assembled the product should stand straight </t>
  </si>
  <si>
    <t xml:space="preserve">The product roduct should stand firmly on the ground and not fall or woble (Check by shaking it a bit it a bit) </t>
  </si>
  <si>
    <t>The plastinc labels should not have any scratches or rips</t>
  </si>
  <si>
    <t>Check that all the components have the right dimensions</t>
  </si>
  <si>
    <t>The screws should be of the right type (see image)</t>
  </si>
  <si>
    <t>6 plastic label holders should be included</t>
  </si>
  <si>
    <t>The plastic lable holders should have 6cm in length (see image)</t>
  </si>
  <si>
    <t>The plastic lable holder should properly hold the paper labels</t>
  </si>
  <si>
    <t>Are all the components straight (not bent)?</t>
  </si>
  <si>
    <t>Can the clips attached on the metal rods hold light weights, like a bag of chips?</t>
  </si>
  <si>
    <t>Check if the product has all components inside the package. There should be no other components apart from the ones shown before (no extra rods)</t>
  </si>
  <si>
    <t>Check if the separate clips can hold enough weight? Preferably try with some light products, like the paper labels or photos</t>
  </si>
  <si>
    <t>The separate clips and the screws should come in a separate plastic bag</t>
  </si>
  <si>
    <t>The paper labels should come in a tight plastic package (plastic foil)</t>
  </si>
  <si>
    <t>All the attached metal clips should be straight (straight position on the rods)</t>
  </si>
  <si>
    <t>When assembled the product should stand straight</t>
  </si>
  <si>
    <t>The product should stand firmly on the ground and not fall or wobble (Check by shaking it a bit it a bit)</t>
  </si>
  <si>
    <t>The plastic labels should not have any scratches or rips</t>
  </si>
  <si>
    <t>4 plastic label holders should be included</t>
  </si>
  <si>
    <t xml:space="preserve">The assembled product should be easy to hang </t>
  </si>
  <si>
    <t xml:space="preserve">When hanged, the product should stay firmly attached and not fall or woble (Check by pulling it a bit) </t>
  </si>
  <si>
    <t>When hanged, the product should be abe to hold enough weight without falling (Place more bags in the clips to check)</t>
  </si>
  <si>
    <t>2 plastic label holders should be included</t>
  </si>
  <si>
    <t>3 plastic label holders should be included</t>
  </si>
  <si>
    <t xml:space="preserve">Make sure the cleaning cloth is included </t>
  </si>
  <si>
    <t xml:space="preserve">Make sure there are no scratches or cracks on the mirror </t>
  </si>
  <si>
    <t>Make sure the wood is strudy</t>
  </si>
  <si>
    <t>Make sure the attachements are made of metal</t>
  </si>
  <si>
    <t>Make sure the white colour does not transfer in the metal attachments</t>
  </si>
  <si>
    <t xml:space="preserve">Make sure the screws are the correct dimensions </t>
  </si>
  <si>
    <t>There should be no holes on the long wooden baord</t>
  </si>
  <si>
    <t xml:space="preserve">Make sure the mirror is the correct thickness </t>
  </si>
  <si>
    <t xml:space="preserve">Make sure the mirror is sturdy, has no scratches and no cracks. </t>
  </si>
  <si>
    <t>The mirror should have a protection film layer</t>
  </si>
  <si>
    <t>Double check the correct sizes for all the screws</t>
  </si>
  <si>
    <t xml:space="preserve">Assemble the product onto the wall according to our instructions. Make sure to lean a bit on the handle to check if it doesn’t fall of if a child would hang onto it. </t>
  </si>
  <si>
    <t>Wipe the mirror with the provided cleaning cloth to ensure it leaves no residue or lint.</t>
  </si>
  <si>
    <t>Check that all corners and edges on the wood and mirror are smooth and not sharp to the touch.</t>
  </si>
  <si>
    <t>Pull on the metal fixtures gently to confirm they are securely attached to the wood and mirror.</t>
  </si>
  <si>
    <t>Rub your hand along the wood to check for any splinters or rough patches that need sanding.</t>
  </si>
  <si>
    <t>Use a screwdriver to check that all screws are tightened properly. They should resist a quarter-turn without stripping.</t>
  </si>
  <si>
    <t>Shake the wood holder 10 times to see if it is stable.</t>
  </si>
  <si>
    <t>Check if the mirror does not break when you drill the screws in the wall</t>
  </si>
  <si>
    <t xml:space="preserve">The wooden parts need to be able to be very tight when screwed into each other using the white metal part. This should not be loose in anyway
</t>
  </si>
  <si>
    <t>Check if product is packaged very tightly. Should be almost no loose plastic. We want thickness around 3cm</t>
  </si>
  <si>
    <t>Check if the product has any loose stitching</t>
  </si>
  <si>
    <t>Check if the zipper doesn't break after opening and closing it 30 times</t>
  </si>
  <si>
    <t>Pull at the material and check if it is not easily broken</t>
  </si>
  <si>
    <t>Clean the pillow with water and rub it. You can put the whole pillow in the water. See if there is any damage</t>
  </si>
  <si>
    <t>Put some filling in the pillow and see how easy this is to do</t>
  </si>
  <si>
    <t>Get some filling out of the pillow and see how easy this is to do</t>
  </si>
  <si>
    <t>Check if shape is round and even when arriving. So NOT uneven</t>
  </si>
  <si>
    <t>Pull lightly at the zipper and see if it stays in place and does not break</t>
  </si>
  <si>
    <t>Check if the hole is around 8cm</t>
  </si>
  <si>
    <t>The product should have sturdy stitching. Test this by pulling on different points with stitching.</t>
  </si>
  <si>
    <t>The product should not smell.</t>
  </si>
  <si>
    <t>The zipper should be sturdy. Test this by zipping and unzipping 30 times. Pull the edges</t>
  </si>
  <si>
    <t xml:space="preserve">The product should have a sturdy buckle for adjusting the straps. Test this by pulling the straps and using buckles to resize from largest size to smallest 10 times. </t>
  </si>
  <si>
    <t>The ball should not be easy to squeeze, it should be hard and keep its shape when weight is put on it. Test it by putting your weight onto the ball.</t>
  </si>
  <si>
    <t>There should be no holes or damage.</t>
  </si>
  <si>
    <t>There should be no logo or other text on the sleep position trainer</t>
  </si>
  <si>
    <t>Put the vest on and tighten and loosen the strap. The fit should be very snug when you put it tight, and loose when you loosen it.</t>
  </si>
  <si>
    <t>Put the vest on and put the ball in it. Lay down with your back towards the ground. It should not be comfortable and if you imagine you are sleeping, you would want to go on your side</t>
  </si>
  <si>
    <t>Put the vest on and put it tight. Try to move around with it with your body. Lay on the ground and move a few times. Nothing should break, even if the vest is tight. It should be made of flexible material</t>
  </si>
  <si>
    <t xml:space="preserve">The product should have a zipper on the short end and the cover should be removable. </t>
  </si>
  <si>
    <t xml:space="preserve">The foam should be stored all in a inner pillowcase </t>
  </si>
  <si>
    <t xml:space="preserve">The product should not have any loose foam inside the outer cover. </t>
  </si>
  <si>
    <t xml:space="preserve">The product should fill with air when fallen onto. Test this by gently falling on the product 3 times. </t>
  </si>
  <si>
    <t>Jump 20 times on the kids crash pad and kick it hard 20 times. After every jump, it should go back to its original shape and nothing should break.</t>
  </si>
  <si>
    <t xml:space="preserve">The stitching should be sturdy. Test this by pulling the handle hard. </t>
  </si>
  <si>
    <t>The zipper should be sturdy. Test this by zipping and unzipping 30 times. And pull the edges to check if it is sturdy enough.</t>
  </si>
  <si>
    <t>Throw the kids crash pad around a few times, nothing should break</t>
  </si>
  <si>
    <t>Put water on the cover. It should not leave any stains or damage the cover. Try to clean it and see if it gets dry fast enough.</t>
  </si>
  <si>
    <t>There should be NO loose foam in the kids crash pad itself. Everything should be inside the bag. Please check it carefully. You can do this by removing the cover and putting it on again</t>
  </si>
  <si>
    <t>After removing the vacuum compress, check if it gets to shape fast enough</t>
  </si>
  <si>
    <t>The dimensions of the product should be 107 cm L x 23 cm W x 6.6 cm H</t>
  </si>
  <si>
    <t>The weight of the product should be 0.5kg</t>
  </si>
  <si>
    <t>There should be 24 balls inside the polyester material</t>
  </si>
  <si>
    <t>The outside layer should be non removable: it should be impossible to get the balls out of it</t>
  </si>
  <si>
    <t>There should be double seams everywhere. Try to pull the material with two hands, in opposite directions, to see if it rips</t>
  </si>
  <si>
    <t>The balls should not break</t>
  </si>
  <si>
    <t>The product should be able to hold up to 150 kg.</t>
  </si>
  <si>
    <t>Use the product as intended (place it on the floor and lay on it with your back) and see if the balls are firm enough</t>
  </si>
  <si>
    <t>The balls should not change shape or become less hard/firm under the weight</t>
  </si>
  <si>
    <t>It should have no loose threads or bad stitching</t>
  </si>
  <si>
    <t>There should be space for the ball to move inside of the fabric squares</t>
  </si>
  <si>
    <t>Each ball should be placed inside an individual section of the cover</t>
  </si>
  <si>
    <t>The dimensions of the sections should be 11.5cm x 8.9cm</t>
  </si>
  <si>
    <t>It should not smell</t>
  </si>
  <si>
    <t xml:space="preserve">The fabric should be 0.4 cm thick </t>
  </si>
  <si>
    <t xml:space="preserve">The balls should be made from a hard foam which should not get deformed when pressed </t>
  </si>
  <si>
    <t>The balls should have a 6.5cm diameter</t>
  </si>
  <si>
    <t>All the balls should have the same level of firmness. Test this by pressing on every ball, one by one.</t>
  </si>
  <si>
    <t>There should be no scratches on the floor</t>
  </si>
  <si>
    <t>There should be no glue around the foam of the mat</t>
  </si>
  <si>
    <t>Try to pull the foam and see if it detaches easily (it should be sturdy and glued well to the base)</t>
  </si>
  <si>
    <t>Check if the foam is stable when dancing on it on a flat surface</t>
  </si>
  <si>
    <t>The floor should not scratch the surface beneath it. Check this by dancing/jumping on the foam on different floor surfaces</t>
  </si>
  <si>
    <t>The foam should not break or deform when a heavier person dances on it. Check this with two people on the floor</t>
  </si>
  <si>
    <t>Check if the foam produces a consistent sound when dancing on different places of the floor</t>
  </si>
  <si>
    <t>Check for any splinters or sharp parts on the foam, front, back, or sides</t>
  </si>
  <si>
    <t>Check the corners of the foam for damage or rough edges</t>
  </si>
  <si>
    <t>Check that the foam is not too slippery. Dance on it with shoes, then dance again without shoes (socks) to see if it is the same or if it becomes more slippery</t>
  </si>
  <si>
    <t>Check for any warping, softness, or unevenness in the foam surface. Inspect the middle area to ensure it is at the same level as the edges</t>
  </si>
  <si>
    <t>Examine the edges of the foam for any tearing, peeling, or roughness. Ensure that all edges are intact and smooth, without any damage</t>
  </si>
  <si>
    <t>Evaluate the packaging to prevent damage during shipping. Ensure the foam is adequately protected and secure within the packaging to avoid compression or other forms of damage</t>
  </si>
  <si>
    <t>The product should not slide easily. Try and push the product with your feet from the side when placed on the floor. It should be difficult to push</t>
  </si>
  <si>
    <t>The floor should not arrive dirty or stained</t>
  </si>
  <si>
    <t>Stand on one side of the foam floor. The floor should remain in place and not shift or move out of balance</t>
  </si>
  <si>
    <t>Check for any manufacturer logos or branding on the back or sides</t>
  </si>
  <si>
    <t>Ensure that the foam pieces are all properly shaped and fit together securely without gaps</t>
  </si>
  <si>
    <t>The foam should not produce excessive sound when it is danced on</t>
  </si>
  <si>
    <t>Carefully check that the size is correct (122*180)</t>
  </si>
  <si>
    <t>Check if the color matches the swatch or the description provided by the manufacturer</t>
  </si>
  <si>
    <t>The Mat should remain stable and not deform or wobble when dancing on it on a flat surface</t>
  </si>
  <si>
    <t>Make sure there is no strong smells when the mat is opended</t>
  </si>
  <si>
    <t>Make sure there is no smell of paint/ paint thinner on the mat</t>
  </si>
  <si>
    <t>Make sure the thickness is actually 5mm</t>
  </si>
  <si>
    <t>Make sure that when you dance on it, the mat itself does not slip</t>
  </si>
  <si>
    <t>Check if there is a logo sticker on the back of the product</t>
  </si>
  <si>
    <t>The product  should not smell</t>
  </si>
  <si>
    <t xml:space="preserve">The product should be 5 lbs / 2.26 KG </t>
  </si>
  <si>
    <t>The product should have sturdy stitching</t>
  </si>
  <si>
    <t xml:space="preserve">Should not have loose threads </t>
  </si>
  <si>
    <t>The product should not shed</t>
  </si>
  <si>
    <t xml:space="preserve">The inner weight should be removable and should have ties inside. Test this by taking the inner part outside. </t>
  </si>
  <si>
    <t>The velcro should be sturdy. Test this by sticking and unsticking 10 times</t>
  </si>
  <si>
    <t>The weight should be evenly distributed. Test this by lifting the product and hugging it to see if it gives same weight to all points.</t>
  </si>
  <si>
    <t xml:space="preserve"> Check if the embroidered eyes can be easily disturbed. Test this by scratching the eyes to get loose threads. </t>
  </si>
  <si>
    <t xml:space="preserve">Throw the product from height 5 times to ensure no damages happens to the product. </t>
  </si>
  <si>
    <t>Should not arrive dirty</t>
  </si>
  <si>
    <t>Stand on one side of the tap dance board. The board should still say in place and not go out of balance</t>
  </si>
  <si>
    <t>Check for the odoxia logo on the back</t>
  </si>
  <si>
    <t>Check that the black foam pieces are all one piece</t>
  </si>
  <si>
    <t xml:space="preserve">The board should not produce much sound when it is danced on
</t>
  </si>
  <si>
    <t>Carefully check that the size is correct (58x119cm)</t>
  </si>
  <si>
    <t>Check if color matches with the swatch</t>
  </si>
  <si>
    <t>The wood pattern should be like the photo on the right side</t>
  </si>
  <si>
    <t>There should be no scratches, tears, or holes on the pillow's foam or cover</t>
  </si>
  <si>
    <t>The cover should be securely stitched with no loose threads or uneven seams</t>
  </si>
  <si>
    <t>Try to pull at the Velcro straps to check if they are striched properly</t>
  </si>
  <si>
    <t>Check if the foam is firm and does not deform easily under moderate pressure</t>
  </si>
  <si>
    <t>Check if the size, shape of the pillow match the product description</t>
  </si>
  <si>
    <t>Check if the product is packed well to prevent damage during shipping</t>
  </si>
  <si>
    <t>The pillow should not have any sharp edges or hard components that could cause discomfort or injury</t>
  </si>
  <si>
    <t>Check that the foam returns to its original shape after compression</t>
  </si>
  <si>
    <t>The pillow should not emit any strong or unpleasant smell</t>
  </si>
  <si>
    <t>Inspect the Velcro straps or fasteners to ensure they adhere securely and adjust easily without slipping</t>
  </si>
  <si>
    <t>Check the surface of the foam for any unevenness, bumps, or warping</t>
  </si>
  <si>
    <t>Verify that the material used for the cover is soft and smooth to prevent skin irritation</t>
  </si>
  <si>
    <t>Ensure the pillow does not slide excessively when in use. Place it between the legs and check if it stays securely in position</t>
  </si>
  <si>
    <t>Test the product with simulated use (e.g., placing it between the knees or thighs) to confirm it maintains proper positioning and does not lose shape</t>
  </si>
  <si>
    <t>Test the product while laying on your side. Confirm if it maintains proper positioning</t>
  </si>
  <si>
    <t>Evaluate the packaging to ensure the product is adequately protected and arrives clean and undamaged</t>
  </si>
  <si>
    <t>The pillow should not arrive dirty, stained, or damaged</t>
  </si>
  <si>
    <t>Check that the product meets the advertised dimensions (e.g., width, height, thickness)</t>
  </si>
  <si>
    <t>Confirm that the cover material is washable (if specified in the description)</t>
  </si>
  <si>
    <t>Verify the color of the product matches the advertised swatch</t>
  </si>
  <si>
    <t>Check for any hard or sharp Velcro edges that might cause discomfort or scratches</t>
  </si>
  <si>
    <t>Confirm that the pillow is lightweight and easy to carry</t>
  </si>
  <si>
    <t>Check if there is a zipper on the pillow. Use the zipper 30 times, check if it doesn’t break</t>
  </si>
  <si>
    <t>Get the pillow in and out of the cover 3 times, check if it still works properly</t>
  </si>
  <si>
    <t>Put water on the cover, once removed from the foam. Check if it doesn’t stain</t>
  </si>
  <si>
    <t>Check for any loose plastic when its vacuum compressed, it should not stick out too much, should be packaged tight</t>
  </si>
  <si>
    <t>(most important) check for missing hardware and missing pieces</t>
  </si>
  <si>
    <t>(most important) check if the mirror is broken</t>
  </si>
  <si>
    <t>(most important) Check if the product is packaged well enough, so that the mirror is protected. So there needs to be no loose space, and good foam protection</t>
  </si>
  <si>
    <t xml:space="preserve">The product should not bend easily </t>
  </si>
  <si>
    <t xml:space="preserve">it should not have any sharp edges </t>
  </si>
  <si>
    <t xml:space="preserve">it should not come dirty </t>
  </si>
  <si>
    <t xml:space="preserve">it should not have any loose parts </t>
  </si>
  <si>
    <t xml:space="preserve">the tray should fit the basis </t>
  </si>
  <si>
    <t xml:space="preserve">the basis should be foldable </t>
  </si>
  <si>
    <t xml:space="preserve">The product should not be rusted </t>
  </si>
  <si>
    <t xml:space="preserve">it should not scratch easily </t>
  </si>
  <si>
    <t>it should be stable</t>
  </si>
  <si>
    <t xml:space="preserve">the basis should be easy to fold and unfold </t>
  </si>
  <si>
    <t xml:space="preserve">It should be portable </t>
  </si>
  <si>
    <t xml:space="preserve">there should not be any scratches </t>
  </si>
  <si>
    <t xml:space="preserve">The color should be black </t>
  </si>
  <si>
    <t xml:space="preserve">The finishing should be glossy and the same at the basis and the tray </t>
  </si>
  <si>
    <t xml:space="preserve">the blue strap should be firmly attached to the box </t>
  </si>
  <si>
    <t xml:space="preserve">The mirror should not fall off and should not be easily pulled off </t>
  </si>
  <si>
    <t xml:space="preserve">The box should easily fold and unfold </t>
  </si>
  <si>
    <t xml:space="preserve">the backside should be made of breathable material </t>
  </si>
  <si>
    <t xml:space="preserve">The box structure is made of metal rods (fiber) </t>
  </si>
  <si>
    <t xml:space="preserve">There should be a mirror on one side </t>
  </si>
  <si>
    <t xml:space="preserve">There should be two plain sides </t>
  </si>
  <si>
    <t xml:space="preserve">There should be two hole sides </t>
  </si>
  <si>
    <t xml:space="preserve">When folded all sides should be paralell </t>
  </si>
  <si>
    <t xml:space="preserve">The mirror should not arrive scratched </t>
  </si>
  <si>
    <t xml:space="preserve">the mirror should not deform the image </t>
  </si>
  <si>
    <t xml:space="preserve">The product should not smell </t>
  </si>
  <si>
    <t xml:space="preserve">It should not be dirty </t>
  </si>
  <si>
    <t xml:space="preserve">It should not be scratched or broken </t>
  </si>
  <si>
    <t xml:space="preserve">The color of the trap should be Blue 7687 Pantone as indicated on the image </t>
  </si>
  <si>
    <t xml:space="preserve">The strap should be strong and resistant </t>
  </si>
  <si>
    <t xml:space="preserve">The mirror has octagonal shape </t>
  </si>
  <si>
    <t xml:space="preserve">the margins around the mirror have different dimensions </t>
  </si>
  <si>
    <t xml:space="preserve">It should not deform the image </t>
  </si>
  <si>
    <t xml:space="preserve">The mirror should arrive covered with a protective foil </t>
  </si>
  <si>
    <t xml:space="preserve">The box should be black </t>
  </si>
  <si>
    <t xml:space="preserve">The product should have the following dimensions: 33.5 x 25 x 25 cm. </t>
  </si>
  <si>
    <t>Check if there is a sticker on the mirror that mentions that this is a protection layer they should peel off</t>
  </si>
  <si>
    <t>Make sure that the FNKSU and the Data Matrix UDI code are on different sides of the packaging, and that there is at least 5cm between them</t>
  </si>
  <si>
    <t>There should be no visible tears, holes, or scratches on the mat</t>
  </si>
  <si>
    <t>The mat should not have any unpleasant or strong chemical odors</t>
  </si>
  <si>
    <t>The mat should be made from non-toxic, safe materials suitable for children</t>
  </si>
  <si>
    <t>Check that the size and weight match the description</t>
  </si>
  <si>
    <t>Ensure that the mat is double-sided and both sides are usable without defects</t>
  </si>
  <si>
    <t>The mat should be soft and comfortable for children to sit, lie, or play on</t>
  </si>
  <si>
    <t>Check the texture of the mat to ensure it is smooth, with no loose or peeling areas</t>
  </si>
  <si>
    <t>Ensure that the mat has a non-slip backing and stays in place on smooth floors</t>
  </si>
  <si>
    <t>Check that the mat folds easily without permanent creases or damage</t>
  </si>
  <si>
    <t>The mat should be easy to wipe clean with a damp cloth without damaging the material</t>
  </si>
  <si>
    <t>Check that the mat does not absorb water if it is labeled waterproof</t>
  </si>
  <si>
    <t>The mat should not have any small detachable parts that could pose a choking hazard</t>
  </si>
  <si>
    <t>Inspect the stitching around the edges to ensure it is secure and there are no loose threads</t>
  </si>
  <si>
    <t>The printed designs and colors should match the advertised images, with no smudging or defects</t>
  </si>
  <si>
    <t>Verify that the mat is lightweight and easy to roll up or store when not in use</t>
  </si>
  <si>
    <t>Check that the mat is thick enough to provide cushioning and comfort for children during play</t>
  </si>
  <si>
    <t>Ensure the mat is free from any sharp edges or hard components that could cause injury</t>
  </si>
  <si>
    <t>Check for any visible signs of wear or damage after being folded or stored</t>
  </si>
  <si>
    <t>Inspect the overall finish to ensure there are no rough edges or unfinished seams</t>
  </si>
  <si>
    <t>Confirm that the mat is easy to fold and transport without losing shape</t>
  </si>
  <si>
    <t>The mat should not slide excessively when in use</t>
  </si>
  <si>
    <t>Check that the mat arrives in clean condition and is free from dirt or damage in the packaging</t>
  </si>
  <si>
    <t>(important) confirm if there are not too many wrinkles</t>
  </si>
  <si>
    <t>(Important) confirm if the edges can stay up high once it is unpacked</t>
  </si>
  <si>
    <t>(important) confirm if the colors are like the pictures on the right</t>
  </si>
  <si>
    <t>Put water on the mat. It should not leak</t>
  </si>
  <si>
    <t>Throw the product from height 5 times to ensure no damage happens to the product.  The product should have no damage.</t>
  </si>
  <si>
    <t>Check the pull-up bar for stability when attached to a doorframe or mounting structure.</t>
  </si>
  <si>
    <t>Ensure the pull-up bar is securely fastened and does not wobble or shift when pressure is applied.</t>
  </si>
  <si>
    <t>There is a metal part on the wood, 2 should be assembled. 2 should be included with the product. Please check if it is possible to lock in the metal parts with each other. The idea is that the customer can put the 2 extra ones on the wall,and then assemble it easily by just hanging it on there</t>
  </si>
  <si>
    <t>Verify the pull-up bar can support the intended weight without bending, cracking, or breaking.</t>
  </si>
  <si>
    <t>Ensure the mounting brackets or hardware are securely attached and do not loosen under pressure.</t>
  </si>
  <si>
    <t>Check for any sharp edges or loose parts that could pose a risk to an infant's skin.</t>
  </si>
  <si>
    <t>Test the non-slip feet or grips to ensure the bar stays securely in place without sliding when used.</t>
  </si>
  <si>
    <t>The protection film layer of the mirror should be easy to remove.</t>
  </si>
  <si>
    <t>Verify the design is easy for an infant to grip, with textured surfaces or padding to encourage a safe grip.</t>
  </si>
  <si>
    <t>Check that the bar can be adjusted to different heights (if applicable) to accommodate growing children.</t>
  </si>
  <si>
    <t>Ensure that no small parts could come loose and present a choking hazard during use.</t>
  </si>
  <si>
    <t>Check the pull-up bar for any defects such as cracks, warping, or signs of stress from previous use.</t>
  </si>
  <si>
    <t>Ensure the bar is lightweight but sturdy enough to withstand regular use by infants.</t>
  </si>
  <si>
    <t>Inspect the surface for any signs of wear or deterioration, especially from mounting or usage.</t>
  </si>
  <si>
    <t>Check the mirror for any visible defects, including air bubbles or irregularities in the glass.</t>
  </si>
  <si>
    <t>Ensure the pull-up bar is easy to assemble and does not require excessive force or complex tools.</t>
  </si>
  <si>
    <t>Verify that the pull-up bar is portable and can be easily moved or stored without damage.</t>
  </si>
  <si>
    <t>Check for packaging protection: Ensure the product is well-protected in transit and arrives free from damage.</t>
  </si>
  <si>
    <t>Test the pull-up bar’s grip stability by having the infant pull on it, ensuring it remains firmly in place.</t>
  </si>
  <si>
    <t>Check for any chemical odors or harmful materials in the plastic or metal components.</t>
  </si>
  <si>
    <t>Ensure that all mounting parts (e.g., screws, anchors) are included in the package for proper installation.</t>
  </si>
  <si>
    <t>The mirror should have no scratches on the surface.</t>
  </si>
  <si>
    <t>The mirror should be free of cracks or chips, particularly around the edges.</t>
  </si>
  <si>
    <t>The mirror should not be distorted. It should provide a clear, undistorted reflection.</t>
  </si>
  <si>
    <t>Ensure the mirror edges are rounded or beveled to prevent injuries from sharp corners.</t>
  </si>
  <si>
    <t>Check the backing of the mirror to ensure it is securely attached to the frame and cannot be easily detached.</t>
  </si>
  <si>
    <t>Ensure the mirror is child-safe and constructed from non-toxic, shatter-resistant materials.</t>
  </si>
  <si>
    <t>Check for any glue residue or chemical smells from the adhesive used in the frame assembly.</t>
  </si>
  <si>
    <t>Ensure the wood frame is smooth with no splinters, rough edges, or imperfections.</t>
  </si>
  <si>
    <t>Check if the hanging system on the back of the bathroom station mirror can be hung on the big screw. It should fit in the hole</t>
  </si>
  <si>
    <t>There should be no scratches on the mirror.</t>
  </si>
  <si>
    <t>The mirror should have no cracks or chips, especially around the edges or corners.</t>
  </si>
  <si>
    <t>The mirror should not be distorted. It should provide a clear and accurate reflection.</t>
  </si>
  <si>
    <t>Ensure there is no strong smell of glue or chemicals on any part of the station.</t>
  </si>
  <si>
    <t>Check that the shelf is included as an unassembled piece.</t>
  </si>
  <si>
    <t>Verify that wooden holders are packed separately as unassembled pieces.</t>
  </si>
  <si>
    <t>Extra screws should be included in the package to attach the shelf and wooden holders to the mirror board.</t>
  </si>
  <si>
    <t>The wooden holders and shelf should have smooth, polished surfaces with no splinters or rough edges.</t>
  </si>
  <si>
    <t>Check the size and weight of the components to ensure they match the product description.</t>
  </si>
  <si>
    <t>Ensure the packaging protects all parts, particularly the mirror, from damage during shipping.</t>
  </si>
  <si>
    <t>Inspect the mirror backing to ensure it is secure and will not separate from the frame.</t>
  </si>
  <si>
    <t>The wooden parts should be made of durable material and free from visible defects such as cracks, chips, or warping.</t>
  </si>
  <si>
    <t>Check for pre-drilled holes in the wooden holders and shelf to ensure easy assembly with the screws provided.</t>
  </si>
  <si>
    <t>Verify that the screws and other hardware are rust-free and durable.</t>
  </si>
  <si>
    <t>Assemble the unit to ensure all parts fit together correctly and securely without gaps or misalignments.</t>
  </si>
  <si>
    <t>The fully assembled unit should be stable and not wobble when placed on a flat surface or wall-mounted.</t>
  </si>
  <si>
    <t>Check the color and finish of all wooden parts to ensure they match the product description and are uniform.</t>
  </si>
  <si>
    <t>The mirror surface should be easy to clean without leaving streaks or smudges.</t>
  </si>
  <si>
    <t>The assembled bathroom station should be child-safe with no sharp edges or protruding parts.</t>
  </si>
  <si>
    <t>Ensure that the packaging includes all listed components, including screws, wooden pieces, and the mirror board.</t>
  </si>
  <si>
    <t>The product should arrive in clean condition with no dust, dirt, or damage.</t>
  </si>
  <si>
    <t>Verify that the station is lightweight and easy to move, as advertised.</t>
  </si>
  <si>
    <t>Test the assembled unit by placing light items on the shelf to ensure it supports weight as intended.</t>
  </si>
  <si>
    <t>Test the weight capacity of the shelf by placing lightweight items to ensure it can hold them without sagging or breaking.</t>
  </si>
  <si>
    <t>Assemble the product according to our instructions. All the cuts should fit well onto each other and it shouldn’t take too much effort to put them in. Nothing should break. This is very important</t>
  </si>
  <si>
    <t>Spin the spinning display 30 times. See if it still works properly and if it doesn't make too much sound. A little bit of sound is okay, but it should not be annoying or frustrating</t>
  </si>
  <si>
    <t xml:space="preserve">The protection layer of the acrylic components should be very easy to remove. There should also be a small peel layer to make this easy
</t>
  </si>
  <si>
    <t>Write on the chalkboard and erase it</t>
  </si>
  <si>
    <t>Place your hand on the transparent window, pick it up and touch it on multiple areas; then place it back  and check for any visible stain or fingerprint</t>
  </si>
  <si>
    <t xml:space="preserve">Play a bit with the frame; check that the structure does not get easily stained
</t>
  </si>
  <si>
    <t xml:space="preserve">The pieces should fit together smoothly; try to disassemble and put together 
</t>
  </si>
  <si>
    <t>Rub the frame for 1-2 minutes with a wet cloth; make sure no color come off</t>
  </si>
  <si>
    <t>Scratch the board on top of the frame to make sure no coloring come off</t>
  </si>
  <si>
    <t>Check if the board is too fragile by letting it fall (1 meters should be enough)</t>
  </si>
  <si>
    <t>Place your hand in the compartment to make sure nothing edgy or pointed sticks out</t>
  </si>
  <si>
    <t>Check if each color of the wood has thew same colour</t>
  </si>
  <si>
    <t>Double check carefully if all components of the sticker display are included. Please refer to the 'whats included in the set' and to the picture'</t>
  </si>
  <si>
    <t>A a6 thank you note and a manual should be included</t>
  </si>
  <si>
    <t>Put some small cards in the components of the sticker display. Check if it still holds properly</t>
  </si>
  <si>
    <t>Push the sticker display around a little bit. It can shake a little bit, but it should not fall immediately</t>
  </si>
  <si>
    <t>Check the wood if there are any stains. A tiny bit is fine, but not too much and it should definitely not be distracting for the customer</t>
  </si>
  <si>
    <t>Check if the screw is around 2cm wide and if it fits correctly in the display</t>
  </si>
  <si>
    <t>Check the wood for stains. There should be no stains at all for mass production</t>
  </si>
  <si>
    <t>The color of all the wooden panels should match with each other and should be 100% the same</t>
  </si>
  <si>
    <t>Check if the protection film is already pulled a little bit, so it is easier to remove. It should also be relatively neat around the edges.</t>
  </si>
  <si>
    <t xml:space="preserve">The product should not have many wrinkles on the outer fabric. </t>
  </si>
  <si>
    <t xml:space="preserve">The product should be able to withstand pressure. Test this by pushing the foam with your body weight, the foam should not be squeezed easily. </t>
  </si>
  <si>
    <t xml:space="preserve">The case should be easily removable. Test this by removing the outer case and putting it back on 3 times. </t>
  </si>
  <si>
    <t xml:space="preserve">The product should not be dirty. </t>
  </si>
  <si>
    <t xml:space="preserve">The minky fabric should be soft. </t>
  </si>
  <si>
    <t>The detachable fabric on the bottom should have velcro on the minky side.</t>
  </si>
  <si>
    <t xml:space="preserve">The product itself should also have velcro on the bottom so that the detachable mat can stick.  </t>
  </si>
  <si>
    <t>The foam inside should have no text on it.</t>
  </si>
  <si>
    <t xml:space="preserve">The foam inside should be one piece. </t>
  </si>
  <si>
    <t>The product should have a sturdy zipper.</t>
  </si>
  <si>
    <t>Check the video in this link and compare the foam strength (Documents - SH International BV\Purchasing\Inspections\Photos inspection points\Baby situp ring)</t>
  </si>
  <si>
    <t>Throw the product on the ground 5 times, relatively hard, and check if nothing comes off or breaks</t>
  </si>
  <si>
    <t>Check if inside sewing lines are neat and don’t come loose</t>
  </si>
  <si>
    <t>Pull zipper hard, it should be strong</t>
  </si>
  <si>
    <t xml:space="preserve">There is no space at the bottom of the grid </t>
  </si>
  <si>
    <t>Make sure that no element is missing from the board</t>
  </si>
  <si>
    <t>Check if the rope is well stitched too the wood, it should not come loose</t>
  </si>
  <si>
    <t>Check if the back of the board has a hanging system and 2 knobs. It should also not have any scratches</t>
  </si>
  <si>
    <t>Check if the painting of the inside door is chipped (see photo on the right)</t>
  </si>
  <si>
    <t>Check if the butterfly is tight and in the correct angle (see photo on the right)</t>
  </si>
  <si>
    <t>(See photo below) Check if the screws of each component that is on the busy board are sturdy enough, and they don’t break easily when you push and pull it</t>
  </si>
  <si>
    <t>Make sure ALL wooden components on the busy board are sturdy and nothing cam come loose (see photo below, but check all other components as well)</t>
  </si>
  <si>
    <t>Verify the moisture content of the wood to prevent warping or mold.</t>
  </si>
  <si>
    <t>Ensure screws are uniform in size and thread pattern.</t>
  </si>
  <si>
    <t>Apply moderate force horizontally on the assembled rack to test strength and joint integrity.</t>
  </si>
  <si>
    <t>Inspect the finish of the wood for consistent stain or varnish application, with no untreated areas.</t>
  </si>
  <si>
    <t>Confirm that the screwdriver fits all screw heads properly, indicating correct tool inclusion.</t>
  </si>
  <si>
    <t>Check for stability by simulating the movement of canvases in and out of the rack.</t>
  </si>
  <si>
    <t>Check if all the holes are on the correct places so the product can be assembled.</t>
  </si>
  <si>
    <t>It should not heat up too much</t>
  </si>
  <si>
    <t>It should regain its shape after folding</t>
  </si>
  <si>
    <t>It should be comfortable</t>
  </si>
  <si>
    <t>It should have high quality materials that stay the same after washing. Rub some water on it and see what happens</t>
  </si>
  <si>
    <t>The material should not shed</t>
  </si>
  <si>
    <t>The zippers should not break. Open and close them 10 times to test this</t>
  </si>
  <si>
    <t>The rim should be only one circular piece (not divided into two)</t>
  </si>
  <si>
    <t>The rim should be thick enough</t>
  </si>
  <si>
    <t xml:space="preserve">The mattress at the bottom of the bed should be thick </t>
  </si>
  <si>
    <t>It should be folded well and vacuum sealed</t>
  </si>
  <si>
    <t>The cover should be detachable (the zipper should be long to make the detaching process easy)</t>
  </si>
  <si>
    <t>The mattress should not feel like it touches the ground whenever you lie in it, should be comfortable.</t>
  </si>
  <si>
    <t>The walls of the dog bed should be a bit flexible but also sturdy</t>
  </si>
  <si>
    <t>Get the cover out and put it back in again, see if this process is possible and easy</t>
  </si>
  <si>
    <t>Wash the dog bed with a bit of water</t>
  </si>
  <si>
    <t>Human dog bed should not shed any fur</t>
  </si>
  <si>
    <t>Carefully check the size and material pictures if it matches with what is in the PI sheet</t>
  </si>
  <si>
    <t>Double check the packaging dimensions and product dimensions carefully with our PI sheet, the product has been changed</t>
  </si>
  <si>
    <t>The fur has been changed to a slightlyu nbew material. Check if you still think it feels soft for the customer.</t>
  </si>
  <si>
    <t xml:space="preserve">Make sure that all wooden panels follow the same wooden pattern.
</t>
  </si>
  <si>
    <t>Check if there are any cracks / skratches / damages on the wood panels.</t>
  </si>
  <si>
    <t>Check if the rotation mechanism runs smoothly and there is no disturbing noise as a result of it.</t>
  </si>
  <si>
    <t>Check if all components are evenly aligned and there're no sharp edges.</t>
  </si>
  <si>
    <t>Check if the wheel spins well and safely with higher velocity.</t>
  </si>
  <si>
    <t>Check if the mat covers the whole inside part of the wheel.</t>
  </si>
  <si>
    <t>Check if the mat cannot be easily disattached during use.</t>
  </si>
  <si>
    <t>Check if the hole for the break mechanism is present on one of the wooden panels and works well.</t>
  </si>
  <si>
    <t>Check if the feather acessory doesn't shed too much and works well</t>
  </si>
  <si>
    <t>Assembly the cat wheel according to our user manual. Everything should be 100% clear if you follow it and nothing should be confusing</t>
  </si>
  <si>
    <t>Double check the number of screws and the sizes carefully</t>
  </si>
  <si>
    <t>Double check the dimensions of all the components</t>
  </si>
  <si>
    <t xml:space="preserve">The velcro should stick carefully
</t>
  </si>
  <si>
    <t>Double check all components in the set and all the dimensions. If 1 thing is not the same, this inspection report is not approved</t>
  </si>
  <si>
    <t>(see right) check the changes for mass production. The plate should NOT need to touch the screws that are outside of it. It should fit well</t>
  </si>
  <si>
    <t>the screws in the pipes should be glueds and they shouldn't become loose</t>
  </si>
  <si>
    <t>No bolt should be needed for the screws shown in the picture 2, and the screws should be the same size as the hole, and without using a bolt, the screw should be tight already.</t>
  </si>
  <si>
    <t xml:space="preserve">The end parts should be well-aligned and there shouldn’t be a gap </t>
  </si>
  <si>
    <t>The surface of the pipes should not be easily scratched</t>
  </si>
  <si>
    <t>Part c should be straight and not bent</t>
  </si>
  <si>
    <t>Part d should be straight (90 degree)</t>
  </si>
  <si>
    <t>Make sure all the parts are straight and not bent</t>
  </si>
  <si>
    <t>the surface should not have any defects/scratches</t>
  </si>
  <si>
    <t>Make sure all the parts are included in set (refer to the previous sheet E3</t>
  </si>
  <si>
    <t>all the parts should arrive without any damages</t>
  </si>
  <si>
    <t>the packaging should be without any damages</t>
  </si>
  <si>
    <t>Check that there are no chips, dents or scratches on the metal. All the metal should feel smooth.</t>
  </si>
  <si>
    <t>Check all parts of the metal to make sure there is no dirt or dust anywhere. Your hands should not be dirty after touching the product.</t>
  </si>
  <si>
    <t>Before assembly, count all the parts and make sure that are the required screws are included in the package.</t>
  </si>
  <si>
    <t>Assemble the exercise ball holder. Does it take less than 30 minutes?</t>
  </si>
  <si>
    <t>Carry the ball holder a few metres and see if if remains sturdy.</t>
  </si>
  <si>
    <t xml:space="preserve">Drop the product from 1 meter high to see if it breaks or bends. </t>
  </si>
  <si>
    <t>Place some heavy objects on the ball holder. Does it hold them without bending or breaking?</t>
  </si>
  <si>
    <t>Carefully check if all the accessories are included in the product, and if they use some kind of metal bag</t>
  </si>
  <si>
    <t>Check packaging dimensions carefully if they are according to our requirement</t>
  </si>
  <si>
    <t xml:space="preserve">Assemble the product according to our manual </t>
  </si>
  <si>
    <t>Please hang the product on the wall (using the dry wall plugs)</t>
  </si>
  <si>
    <t>Check if product can hold enough weight (with yoga balls)</t>
  </si>
  <si>
    <t>Check if product has any sharp edges</t>
  </si>
  <si>
    <t>Is the product packed well enough for protection?</t>
  </si>
  <si>
    <t>Are all loose nuts and screws packed properly?</t>
  </si>
  <si>
    <t>Check that all parts are even and have the same length</t>
  </si>
  <si>
    <t>Check if the product does not bend</t>
  </si>
  <si>
    <t>Check for scratches on the pipes and iron holders</t>
  </si>
  <si>
    <t>Check if the large stainless steel screws fit the drywall plugs</t>
  </si>
  <si>
    <t>Check if the L type wrench can be used to turn the small screws</t>
  </si>
  <si>
    <t>Check if the black knob/nut is packaged loose, and NOT already on the pipe</t>
  </si>
  <si>
    <t>All the items should be included in the set</t>
  </si>
  <si>
    <t>the knobs should be able to perfectly align witht the pipes without any gaps</t>
  </si>
  <si>
    <t>See picture on right. There should be NO knob here. Screw should be tight in the hole.</t>
  </si>
  <si>
    <t>The end parts should have a knob, see picture on right</t>
  </si>
  <si>
    <t>check there is equal gap between all the racks</t>
  </si>
  <si>
    <t>Check if the product is not uneven</t>
  </si>
  <si>
    <t>Put the screws into the two holes, use the plugs first, and see if it stays in place</t>
  </si>
  <si>
    <t>Check if when putting the screws into the two holes that nothing breaks</t>
  </si>
  <si>
    <t>Check plugs + dimensions change, see photo on right</t>
  </si>
  <si>
    <t xml:space="preserve">Check if the paint is chipped anywhere </t>
  </si>
  <si>
    <t xml:space="preserve">Put the labels in the plastic space 10 times and then take them out 10 times </t>
  </si>
  <si>
    <t xml:space="preserve">Push the product around 10 times </t>
  </si>
  <si>
    <t> the plastic space for labels should be clearer and have a cleaner look </t>
  </si>
  <si>
    <t> the paint shouldn't be chipped </t>
  </si>
  <si>
    <t>Check if the size of the product is correct</t>
  </si>
  <si>
    <t>Both of the items should be the same size</t>
  </si>
  <si>
    <t>The paint should be even through the whole item (no scuff marks)</t>
  </si>
  <si>
    <t>The stem should be straight</t>
  </si>
  <si>
    <t>Make sure the stake is sturdy, but still flexible</t>
  </si>
  <si>
    <t>Bend the length a few time, test if it breaks. Be careful with this, it will bend a little bit</t>
  </si>
  <si>
    <t>Check if all of the items are included</t>
  </si>
  <si>
    <t>Check if all of the measurements are correct</t>
  </si>
  <si>
    <t>Open and close the plastic buckle in the basket. Also pull it hard and see if it does not break</t>
  </si>
  <si>
    <t>Check the foam, it should be soft. It should be surrounded with 1 waterproof cover, and one star cover</t>
  </si>
  <si>
    <t>Check if there are no stitching sticking out on all items</t>
  </si>
  <si>
    <t>Open and close the matress cover zipper 10 times</t>
  </si>
  <si>
    <t>Check if the foam can be removed from the matress/foam cover</t>
  </si>
  <si>
    <t>The blanket should be very thin and soft, and should have no smell when unpacked</t>
  </si>
  <si>
    <t>Pull the drawstings on the bag, see if it can be done easily 5 times</t>
  </si>
  <si>
    <t>Pull hard on the handles of the basket 10 times</t>
  </si>
  <si>
    <t>There should be no smell on all parts of the product</t>
  </si>
  <si>
    <t>The matress should fit nicely in the basket</t>
  </si>
  <si>
    <t>Make sure there are no seams ripped in the basket</t>
  </si>
  <si>
    <t>The sides of the basket should be standing up</t>
  </si>
  <si>
    <t>The transparent panel should perfectly align with the top of the case . Check that the transparent screen reaches exactly the top of the wooden case. It should be perfectly aligned with the top</t>
  </si>
  <si>
    <t>Check that there are stickers on each of the panels and if they match with the manual</t>
  </si>
  <si>
    <t>Check that there are no chips, cracks or scratches on the wood</t>
  </si>
  <si>
    <t>Insert the metal trays into every possible level of the case.</t>
  </si>
  <si>
    <t>All wooden parts should be aligned</t>
  </si>
  <si>
    <t>Pull at the handle 10 times to check it if breaks. Put some more weight in the case.</t>
  </si>
  <si>
    <t>Assembly the product according to the manual</t>
  </si>
  <si>
    <t>Check if the trays and the acrylic mirror have protection layers. The acrylic mirror should have 2. See picture on right</t>
  </si>
  <si>
    <t>   Shake the case gently to see if it is wobbl</t>
  </si>
  <si>
    <t>The product weight should be around 6.6 KG.</t>
  </si>
  <si>
    <t>Check if there are 13 screws. One should be extra and 12 needed for assembly.</t>
  </si>
  <si>
    <t>Check if 4 non slip mats are included. See picture</t>
  </si>
  <si>
    <t>Check if there are white plugs in component A (top surface) and B+C (side walls). In each of those holes should be a plug. see picture</t>
  </si>
  <si>
    <t>Pay attention to damage of screw holes, see picture</t>
  </si>
  <si>
    <t>Check if the trays are magnetic, see picture</t>
  </si>
  <si>
    <t>Pay attention to the scratches, see picture.</t>
  </si>
  <si>
    <t>Pay careful attention to the packaging method that is described in our pictures. See picture on right, there should be foam in the part in red.</t>
  </si>
  <si>
    <t>Make sure the Velcro straps fit around the rolled up mat</t>
  </si>
  <si>
    <t xml:space="preserve">Make sure the material on both sides is consistent </t>
  </si>
  <si>
    <t>Make sure the colour on the front and back of the at is consistent</t>
  </si>
  <si>
    <t>Scratch the mat 10 times to ensure it does not tear</t>
  </si>
  <si>
    <t>Run your hands around the edge of the mat to make sure the edging is even</t>
  </si>
  <si>
    <t>Compare the colour to the PI sheet, should be 100% the same. Kevin should also have a sample at the office, please compare it to that one</t>
  </si>
  <si>
    <t>A velcro strap should be included</t>
  </si>
  <si>
    <t>Check if the velcro strap can be put tight around the jump rope mat when rolled up, and if you can carry it</t>
  </si>
  <si>
    <t>Compare each sticker 1 by 1 with the PI sheet. Check the dimensions and colors carefully.</t>
  </si>
  <si>
    <t>Rub 1 sticker with a wet cloth for 1-2 minutes, make sure no colour comes off or fades.</t>
  </si>
  <si>
    <t>Test a sticker on the floor. Walk on it and check if it stays in place</t>
  </si>
  <si>
    <t>Apply and remove the stickers repeatedly - they should not tear or damage</t>
  </si>
  <si>
    <t>Colors should match those from the pictures on the side</t>
  </si>
  <si>
    <t>Shapes should match intended dimensions and outlines.</t>
  </si>
  <si>
    <t>Rub the printed area vigorously - Print should not smudge or fade easily.</t>
  </si>
  <si>
    <t>Stickers should  adhere easily without air bubbles or creases.</t>
  </si>
  <si>
    <t>Test for slip resistance with kids and adults walking over the stickers.</t>
  </si>
  <si>
    <t>Simulate heavy foot traffic over the stickers for a period of time.</t>
  </si>
  <si>
    <t xml:space="preserve">Make sure the product does not smell when taken out of the box (pell-off the sticker to make sure the glue does not smell either)
</t>
  </si>
  <si>
    <t>Make sure each sticker comes with a white border around it to facilitate peeling-off process</t>
  </si>
  <si>
    <t>When peeling the stickers, they should not already break. Also when you get a sticker from the floor to remove it, the sticker should not break when taking it off</t>
  </si>
  <si>
    <t>Check if the packaging is correct. So packaged within 2 cardboards, in  a big PE bag. And each set of sticker in a separate PE bag</t>
  </si>
  <si>
    <t xml:space="preserve">(Important point) Pull and push the foam. It should not break too easily </t>
  </si>
  <si>
    <t>(Most important) Check if the zipper works properly, it should not have the same issues as the piercing pillow. Try it 20-30 times completely</t>
  </si>
  <si>
    <t>Check for any paint marks on the cover</t>
  </si>
  <si>
    <t>Check if the filling is closed properly so that nothing can come out</t>
  </si>
  <si>
    <t>Check if the glass beads are divided evenly over the blanket</t>
  </si>
  <si>
    <t>Confirm if the material is the same a the pictures</t>
  </si>
  <si>
    <t>Pull at the seams, nothing should break</t>
  </si>
  <si>
    <t>Pull the zipper a few times, it should not break</t>
  </si>
  <si>
    <t>Put water on the cover and see if nothing comes off</t>
  </si>
  <si>
    <t>The inner filling should be clean and without stains</t>
  </si>
  <si>
    <t>The cover should fit properly around the cover and the zipper should be on the side</t>
  </si>
  <si>
    <t>Thoroughly check if the beads are still evenly dividend and did not break after vacuum compression</t>
  </si>
  <si>
    <t>Check if there is a small cover over the zipper, at the closure end</t>
  </si>
  <si>
    <t>Check for black spots inside the moss</t>
  </si>
  <si>
    <t>Check for scratches / broken parts in wood</t>
  </si>
  <si>
    <t>Check for molds inside the wood</t>
  </si>
  <si>
    <t>Check for molds inside the moss</t>
  </si>
  <si>
    <t>Check smell of the moss</t>
  </si>
  <si>
    <t>Check for loose threads</t>
  </si>
  <si>
    <t>Pull the material a few times, check if it keeps its shape</t>
  </si>
  <si>
    <t>Check print of design</t>
  </si>
  <si>
    <t>Check for scratches and dents on the base tray, seed tray and dome</t>
  </si>
  <si>
    <t>Check if accessories cannot be bent too quickly</t>
  </si>
  <si>
    <t>Check if the top ventilator can be rotated without doing damage</t>
  </si>
  <si>
    <t>Gently push on parts of the tray and see if it breaks</t>
  </si>
  <si>
    <t xml:space="preserve"> Gently try to bend the seed planter set and see if they break</t>
  </si>
  <si>
    <t>Check if the plant labels are flexible and can be bent</t>
  </si>
  <si>
    <t>Check if there is a hole at the bottom of the seed tray</t>
  </si>
  <si>
    <t>Did the set arrive with all accessories?</t>
  </si>
  <si>
    <t>Is the logo from the bag clear?</t>
  </si>
  <si>
    <t>The bag should be stitched well and not have loose threads. </t>
  </si>
  <si>
    <t>The rod and reel should not break.</t>
  </si>
  <si>
    <t>Reel should roll up and down properly.</t>
  </si>
  <si>
    <t>The mill and the handle should be durable.</t>
  </si>
  <si>
    <t>The plastic box should be clear.</t>
  </si>
  <si>
    <t>The products should not have any scratches.</t>
  </si>
  <si>
    <t>They should not have any strange smell.</t>
  </si>
  <si>
    <t>Pull the rod fully out and test it a few times by pulling hard on it. Should be flexible and not make any noise</t>
  </si>
  <si>
    <t>Check plastic if nothing is broken</t>
  </si>
  <si>
    <t>Check if accessories are same as in required changes PPT</t>
  </si>
  <si>
    <t xml:space="preserve">Make sure the additional items are present in the package: tools, glove, hammer </t>
  </si>
  <si>
    <t xml:space="preserve">Make sure that once assembled the product is stable and sturdy </t>
  </si>
  <si>
    <t>Make sure all plastic connectors, shelf parts and sticks are present and in the needed quantities</t>
  </si>
  <si>
    <t>Make sure all plastic connectors fit into the sticks and are not loose</t>
  </si>
  <si>
    <t>Assemble the product according to the manual drawings. Make sure that all the parts come together easily!</t>
  </si>
  <si>
    <t xml:space="preserve">Check that there is no dirt, marks, or sharp areas on any of the parts. </t>
  </si>
  <si>
    <t>The rim should be thick enough (thicker than the previous evaluation)</t>
  </si>
  <si>
    <t>The mattress at the bottom of the bed should be thick like the amazon sample</t>
  </si>
  <si>
    <t>Take weight, report actual finding
and compare to client specification if
applicable. Values in g.</t>
  </si>
  <si>
    <t>Report actual finding and compare to client specification if applicable.</t>
  </si>
  <si>
    <t>Take dimensions, report actual
finding and compare to client
specification if applicable.
Values in mm .</t>
  </si>
  <si>
    <t>Scan barcode and compare result
with actual printed number and
specification from client.</t>
  </si>
  <si>
    <t>No strong or irritative smell is
allowed on the product.</t>
  </si>
  <si>
    <t>It needs to be waterproof (anything
should be able to be wiped off)</t>
  </si>
  <si>
    <t>No light should come through where the boards connect</t>
  </si>
  <si>
    <t>Please check if the wall holders don't break with reasonable force.</t>
  </si>
  <si>
    <t>Push/press/use adjustable parts
(buckle, slider) 50 times. They
should still be as new.</t>
  </si>
  <si>
    <t>Rub on product with wet and dry
cotton cloth for 10 cycles. No color
should get transferred.</t>
  </si>
  <si>
    <t>Inspect the fabric for any signs of tears, fraying, or weak spots. The fabric should be durable, smooth, and free from defects.</t>
  </si>
  <si>
    <t>Check the stitching along all seams for consistency, strength, and any loose threads.</t>
  </si>
  <si>
    <t>Evaluate the quality of the filling (foam, cotton, etc.). The filling should be evenly distributed and of appropriate density. Open the mattress cover at a small, inconspicuous spot to inspect the internal materials.</t>
  </si>
  <si>
    <t>Apply pressure to different parts of the mattress to ensure it maintains its shape without sagging.</t>
  </si>
  <si>
    <t>Sit on the edge of the mattress to check for adequate edge support. The edges should be firm and resistant</t>
  </si>
  <si>
    <t>Lay down on the mattress and move around to check for even weight distribution. The mattress should not have any hard or overly soft spots.</t>
  </si>
  <si>
    <t>Inspect the mattress for uniform color throughout. There should be no discoloration, stains, or visible defects in the fabric.</t>
  </si>
  <si>
    <t>Measure the futon mattress to confirm it meets the specified dimensions (length, width, and thickness).</t>
  </si>
  <si>
    <t>Check for consistent thickness across the mattress. There should be no noticeable variations in height.</t>
  </si>
  <si>
    <t>Verify that all required labels (care instructions, safety warnings, material contents) are present and correctly attached.</t>
  </si>
  <si>
    <t>Smell the mattress to check for any off-putting or strong chemical odors.</t>
  </si>
  <si>
    <t>Inspect the mattress for any signs of damage due to shipping, such as dents, tears, or compression marks.</t>
  </si>
  <si>
    <t>Test the ease with which the futon can be folded and unfolded. The process should be smooth, without excessive resistance or wear on the fabric.</t>
  </si>
  <si>
    <t>Make sure the dust cover fits properly around the futon mattress</t>
  </si>
  <si>
    <t>Was the dust cover with water and check if the material stays the same quality</t>
  </si>
  <si>
    <t>Carefully check the thickness of the mattress with our product photos</t>
  </si>
  <si>
    <t>Lie on the mattress. It should feel relatively comfortable. You should not feel like you are lying on the ground</t>
  </si>
  <si>
    <t>Check if the packaging is according to our dimensions and it is packaged as tight as possible</t>
  </si>
  <si>
    <t>Check if the silicon does not smell</t>
  </si>
  <si>
    <t>Put some water on the dog mat, try to fold it and put it up and see if no water falls out</t>
  </si>
  <si>
    <t>The edges are a little bit less high than our current dog mat. However, it should be okay. Please check if you put water on the dog mat, and you move it a bit to the side, if it doesn’t go over the edge too fast</t>
  </si>
  <si>
    <t>Check for any scratches, dirt marks or cracks</t>
  </si>
  <si>
    <t>Check if the color is according to our design</t>
  </si>
  <si>
    <t>Fold the product 20 times and pull it a little bit afterwards. Check if it doesn’t break</t>
  </si>
  <si>
    <t>Check for any sharp edges</t>
  </si>
  <si>
    <t xml:space="preserve">It should not come scratched </t>
  </si>
  <si>
    <t xml:space="preserve">it should not break easily when bended </t>
  </si>
  <si>
    <t xml:space="preserve">seed trays should not come wrinkled </t>
  </si>
  <si>
    <t xml:space="preserve">it should come clean </t>
  </si>
  <si>
    <t xml:space="preserve">the bottom should be green </t>
  </si>
  <si>
    <t xml:space="preserve">the top should be transparent </t>
  </si>
  <si>
    <t xml:space="preserve">green ventilation lid should close properly and open easily </t>
  </si>
  <si>
    <t xml:space="preserve">all components listed should be in the package </t>
  </si>
  <si>
    <t xml:space="preserve">it should not lose its quality after washing </t>
  </si>
  <si>
    <t xml:space="preserve">The 8 labels and seed planters should come together in a plastic bag </t>
  </si>
  <si>
    <t xml:space="preserve">The products should be packet with protection </t>
  </si>
  <si>
    <t xml:space="preserve">There should be measurements marked on the pointy seed planter on centimeters and inches </t>
  </si>
  <si>
    <t>Check if the ventilaor slider makes almost no noise</t>
  </si>
  <si>
    <t>Tray material should be matte, see our required changes PPT</t>
  </si>
  <si>
    <t>Check if there are two layers of bubble wrap. One around complete product, and one between the two glasses</t>
  </si>
  <si>
    <t>Is the frame made of durable and sturdy materials?
Are there any sharp edges?</t>
  </si>
  <si>
    <t>Is the fabric strong and resistant to tears? Is the fabric easy to 
clean?</t>
  </si>
  <si>
    <t>Was the product made in the correct size?</t>
  </si>
  <si>
    <t>Is the playpen easy to assemble and disassemble? Are the 
instructions clear? Does it come with all the necessary tools and parts 
for assembly?</t>
  </si>
  <si>
    <t>Does the playpen stand firm on different surfaces?</t>
  </si>
  <si>
    <t>Are all small parts securely attached to avoid 
choking hazards?</t>
  </si>
  <si>
    <t>Does the design allow caregivers to see inside easily?</t>
  </si>
  <si>
    <t>Are the zippers, snaps, or other closures childproof 
yet easy for adults to use?</t>
  </si>
  <si>
    <t>Is the playpen lightweight and easy to transport? Does it 
come with its carrying bag? Is the carrying bag durable and easy to 
use?</t>
  </si>
  <si>
    <t>Does the playpen fold compactly for storage? Is the carrying 
bag appropriately sized to fit the disassembled playpen?</t>
  </si>
  <si>
    <t xml:space="preserve"> Does the playpen remain stable even when a child leans on 
the sides?</t>
  </si>
  <si>
    <t>Check if the color of the cloth and carry bag is correct</t>
  </si>
  <si>
    <t>Check the product packaging section if it is packaged in the same way we wan</t>
  </si>
  <si>
    <t>Check if the bars are surrounded by foam</t>
  </si>
  <si>
    <t>Kick the mesh fabric a few times, it should be sturdy</t>
  </si>
  <si>
    <t>Once product is assembled, push and pull all the bars like if you were a child and check if it stays stable</t>
  </si>
  <si>
    <t>Check for scratches and dirtyness on the meal</t>
  </si>
  <si>
    <t>Pull the pullup bars on both sides and check if they don’t break</t>
  </si>
  <si>
    <t>Pul the flaps and see if they don’t break</t>
  </si>
  <si>
    <t>The zipper should not be able to be opened from the inside by the baby (very important)</t>
  </si>
  <si>
    <t xml:space="preserve">Throw the product from height 5 times to ensure no damages happens to the product. The product should have no damage. </t>
  </si>
  <si>
    <t>Check the fabric of the plushie for any tears, holes, or visible defects.</t>
  </si>
  <si>
    <t>The plushie should be soft to the touch with no rough patches or areas that could irritate the skin.</t>
  </si>
  <si>
    <t>Check the stitching on the plushie for evenness and secure threading. There should be no loose threads or frayed edges.</t>
  </si>
  <si>
    <t>Ensure the removable weight is securely enclosed within the plushie and cannot easily be accessed by children.</t>
  </si>
  <si>
    <t>Verify that the removable weight is properly secured with a zipper ensuring it will not slip out during use.</t>
  </si>
  <si>
    <t>Test the weight to ensure it is evenly distributed inside the plushie and does not create an uncomfortable lump or imbalance.</t>
  </si>
  <si>
    <t>Ensure the weight is securely attached inside the plushie and cannot be easily detached or lost during regular use.</t>
  </si>
  <si>
    <t>The plushie should feel balanced when the weight is inserted and should not cause any awkward or uneven pressure.</t>
  </si>
  <si>
    <t>Check for any small parts, such as buttons or decorations, to ensure they are securely fastened and do not present a choking hazard.</t>
  </si>
  <si>
    <t>Ensure the plushie is free of strong chemical odors from the fabric, weight, or other materials used in production.</t>
  </si>
  <si>
    <t>Verify the plushie is machine washable or easy to clean without compromising the integrity of the fabric or removable weight.</t>
  </si>
  <si>
    <t>Check the plushie’s size to ensure it matches the product description and is suitable for its intended use (e.g., comfortable for hugging, carrying, or resting).</t>
  </si>
  <si>
    <t>Check the plushie’s overall appearance to ensure it matches the advertised design and is free from defects like misplaced facial features or damaged components.</t>
  </si>
  <si>
    <t>Check for any sharp edges or hard parts in the weight that could cause discomfort when the plushie is hugged or held.</t>
  </si>
  <si>
    <t>Inspect the weight mechanism (e.g., the bag or pouch containing the weight) to ensure it is durable, leak-proof, and securely sewn into the plushie.</t>
  </si>
  <si>
    <t>Check the plushie for durability: It should withstand regular use and light pulling without tearing, especially around the areas where the weight is inserted.</t>
  </si>
  <si>
    <t>Check that the plushie does not produce any excessive noise when the weight is moved or shifted.</t>
  </si>
  <si>
    <t>Ensure the plushie can be safely used by children without the risk of any small, removable parts being pulled out and swallowed.</t>
  </si>
  <si>
    <t>Verify that the removable weight is safe to handle and does not contain any harmful materials (e.g., lead, heavy metals).</t>
  </si>
  <si>
    <t>Test the plushie’s weight to ensure it is not too heavy for its intended age group (e.g., it should not be overly burdensome for small children).</t>
  </si>
  <si>
    <t>Ensure the plushie has no exposed zippers, snaps, or velcro that could cause discomfort or be a potential safety hazard.</t>
  </si>
  <si>
    <t>Check for any damage during shipping, such as flattened or deformed sections from the weight being improperly packed.</t>
  </si>
  <si>
    <t>The screws should properly align with the holes of the panels</t>
  </si>
  <si>
    <t>All of the panels should have pre-drilled holes</t>
  </si>
  <si>
    <t>The pieces should not arrive bent out of shape</t>
  </si>
  <si>
    <t>The panel edges should not be too sharp</t>
  </si>
  <si>
    <t xml:space="preserve">the finishing should be shiny, clean and metal looking </t>
  </si>
  <si>
    <t xml:space="preserve">edges of the metal structure should have a rubber edging </t>
  </si>
  <si>
    <t xml:space="preserve">There should be a metal pol that supports the metal structures </t>
  </si>
  <si>
    <t xml:space="preserve">it should noy have sharp edges </t>
  </si>
  <si>
    <t xml:space="preserve">it should not be scratched </t>
  </si>
  <si>
    <t xml:space="preserve">it should not break easily </t>
  </si>
  <si>
    <t xml:space="preserve">it should not bend easily </t>
  </si>
  <si>
    <t xml:space="preserve">The metal supports should have holes in it </t>
  </si>
  <si>
    <t>The screwdriver and the wrench should be compatible to the screws</t>
  </si>
  <si>
    <t xml:space="preserve">Make sure the thickness is 5mm
</t>
  </si>
  <si>
    <t>Make sure the product assembles well according to the manual</t>
  </si>
  <si>
    <t xml:space="preserve">The screwdriver and the wrench should be compatible to the screws </t>
  </si>
  <si>
    <t>8721001273287</t>
  </si>
  <si>
    <t>The quality of the wood should be sanded nicely and no splinters sticking out</t>
  </si>
  <si>
    <t>The mat should be able to be rolled up easily</t>
  </si>
  <si>
    <t>Space between blocks need to be exactly the same, now a few were wider than others</t>
  </si>
  <si>
    <t>Stand on the mat and jump 5 times and see if it does not break</t>
  </si>
  <si>
    <t>Try 10 times to pull off the wood from the ropes</t>
  </si>
  <si>
    <t>On the backside of the mat, try to pull off the black stickers</t>
  </si>
  <si>
    <t>(Most important) few blocks were loose, you could pull them from the rope, please check this</t>
  </si>
  <si>
    <t>No purple paint or tape on the tatami mat</t>
  </si>
  <si>
    <t>Carefully check the 'changes required for mass produciton' file from the ready to order e-mail, and check if the changes are made</t>
  </si>
  <si>
    <t>Check the thickness of the mats, should be thick and strong enough, not super easy to be folded</t>
  </si>
  <si>
    <t>Check if there are claws on the hands and feet, and if the hands and feet are seperat efrom the body</t>
  </si>
  <si>
    <t>Check if all the panels align with each other</t>
  </si>
  <si>
    <t>Check if the sequins are flipped when you move with your finger from the top to bottom. The backside should be silver and front rainbow</t>
  </si>
  <si>
    <t>All mats should be cut neatly, especially the border of the green mop fabric</t>
  </si>
  <si>
    <t>Hang the product on the wall using the tape and check if it holds properly</t>
  </si>
  <si>
    <t>Pull the white teeth and check if they don’t break</t>
  </si>
  <si>
    <t>Check if the mop fabric and red fur don’t give off any material</t>
  </si>
  <si>
    <t>The backside of all panels should not be sticky, check this around the border</t>
  </si>
  <si>
    <t>The two front feet should be separate from each other</t>
  </si>
  <si>
    <t>The mop fabric should be thick and long</t>
  </si>
  <si>
    <t>Pull the ear and check if it does not break too easily</t>
  </si>
  <si>
    <t>The fur and mop fabric and sequins hould not shed</t>
  </si>
  <si>
    <t>Check if dino hands are seperate from the head</t>
  </si>
  <si>
    <t>Check if the hands have claws and it is same material as teeth</t>
  </si>
  <si>
    <t>The backside of all panels should not be stick, check this around the border</t>
  </si>
  <si>
    <t>none of the panels, especially the green one, should shed</t>
  </si>
  <si>
    <t>Pull the pompoms, they should not be able to get off when you pull hard</t>
  </si>
  <si>
    <t>8721001273362</t>
  </si>
  <si>
    <t>Check if the washing label, A5 manual, A6 thank you note, certification label are all from SaferBounce brand</t>
  </si>
  <si>
    <t>Double check the EAN bar codes to see if the correct ones have been used by Kevin</t>
  </si>
  <si>
    <t>Repeat the same process, but keep the weight on for few minutes</t>
  </si>
  <si>
    <t>Check if the color match the PI sheets</t>
  </si>
  <si>
    <t>double check if packaging is really tight and no loose plastic</t>
  </si>
  <si>
    <t>Stand and jump on it a few times, check if nothing breaks</t>
  </si>
  <si>
    <t>Rub the product with water, none of the ink or color should come off</t>
  </si>
  <si>
    <t>Check if color matches the PI sheet</t>
  </si>
  <si>
    <t>Check if there is a laminiated, hard to peel off odoxia sticker on the back</t>
  </si>
  <si>
    <t>Check for any dents on the trainer</t>
  </si>
  <si>
    <t>Check if the white part in middle does not come off</t>
  </si>
  <si>
    <t>Check if you don’t tip over if you stand on it, it should be a stable base</t>
  </si>
  <si>
    <t>When inserting the bottom panel in the meditation table, it is OK if it is a little bit tight, but it should not be too much</t>
  </si>
  <si>
    <t>If panel is too tight, check if you can push the hinges gently outward (see manual), and if you can then make it fit</t>
  </si>
  <si>
    <t>Check if product does not break or go completely loose if you gently push the side panels / hinges outward</t>
  </si>
  <si>
    <t>Put the bottom panel 15 times, check if there are no scratches and if it still works</t>
  </si>
  <si>
    <t>Check for any wobbliness of the top panel</t>
  </si>
  <si>
    <t>Gently push the hinges 10 times, check if they go back into position properly and they don’t go loose</t>
  </si>
  <si>
    <t>Open and close the table 10 times, check if hinges don’t go loose</t>
  </si>
  <si>
    <t>Check if there is an odoxia logo on our product</t>
  </si>
  <si>
    <t>Left and right ear should be in a straight line with the outer part of the eye</t>
  </si>
  <si>
    <t>Both hands and feed should have filling in them</t>
  </si>
  <si>
    <t>The paw should be visible and should not be hidden inside the hand of the plush</t>
  </si>
  <si>
    <t>Weight should be 2.3KG</t>
  </si>
  <si>
    <t>Fur should not shed</t>
  </si>
  <si>
    <t>Pull the ears, tail and nose, nothing should come off</t>
  </si>
  <si>
    <t>Try to get the eye out of the face. It hsould not come off</t>
  </si>
  <si>
    <t>Check if weight is evenly dvidied around the plush</t>
  </si>
  <si>
    <t>Make sure the mirror is clear and has no distortion</t>
  </si>
  <si>
    <t>Check if there is a 'Peel off' Sticker on the mirror and make sure it is easy to peel this off</t>
  </si>
  <si>
    <t>Push and pull all sides of the product and make sure it stays sturdy</t>
  </si>
  <si>
    <t>Slightly pull the mirror and make sure it does get off too easily</t>
  </si>
  <si>
    <t>Pull the blue ribbon and make sure it does not get off</t>
  </si>
  <si>
    <t>Check if the mesh does not have any holes in the corners and edges</t>
  </si>
  <si>
    <t>Fold and unfold 5 times and check if it still works</t>
  </si>
  <si>
    <t>Push the foam between two fingers and compare it to the picture in the PI sheet. Check if the foam is same strength</t>
  </si>
  <si>
    <t>Check if thickness of foam is 15 cm</t>
  </si>
  <si>
    <t>Check if there are no dents in the foam</t>
  </si>
  <si>
    <t>Fall on the mat. You should be able to go a bit through the foam and almost hit the ground (see video here https://www.amazon.com/Tumbl-Trak-Home-Practice-Blue/dp/B082BGTY81)</t>
  </si>
  <si>
    <t>Pull the two sides of the mat away from each other and check if they don’t break too easily</t>
  </si>
  <si>
    <t>Check if the bottom is anti slip material, and when you jump on the mat it does not slip away</t>
  </si>
  <si>
    <t>Use zipper 20 times and check if it does not get stuck</t>
  </si>
  <si>
    <t>Verify if the seams of the cover are strong enough</t>
  </si>
  <si>
    <t>Put some water on cover, check if no color stains come</t>
  </si>
  <si>
    <t>Check if all pieces are labeled correctly accordig to 'requried changes for mass production' slide</t>
  </si>
  <si>
    <t>Check if there is 1pc extra screw + washer included</t>
  </si>
  <si>
    <t>Check if there is no velcro layer on the fabric</t>
  </si>
  <si>
    <t>Check if the blanket is excluded</t>
  </si>
  <si>
    <t>Check if colors are correct (green &amp; blue), and NOT white</t>
  </si>
  <si>
    <t>Check if there is enough fluff in the pillow so you can lie comfortably</t>
  </si>
  <si>
    <t>Check if the chair rocks back and forth in a smooth motion, without getting stuck</t>
  </si>
  <si>
    <t>Check if it is not too easy to get the black foam iff</t>
  </si>
  <si>
    <t>Check if all screws are aligned with screw hole and they don’t get stuck</t>
  </si>
  <si>
    <t>Push the textile component a few times and check if it stays place</t>
  </si>
  <si>
    <t>Shake the rocking chair, nothing should come loose</t>
  </si>
  <si>
    <t>Check if there is an odoxia logo on the bottom</t>
  </si>
  <si>
    <t>Check if there is 1pc extra screw included</t>
  </si>
  <si>
    <t>Check if the handle does not come loose too much when yyou push and pull it</t>
  </si>
  <si>
    <t>There should be 2 layer (inner and outer) plastic protection layer, and a peel off stickc</t>
  </si>
  <si>
    <t>Check if plastic protection layer can be removed easily and NO plastic traces exist. The supplier has already peel off a little bit of the outer layers so it is easy for the customer to remove. Please make sure that it does not look too 'cheap' or like it is 'used'. it should be on the inner and outer layer of the acrylic</t>
  </si>
  <si>
    <t>There should be no bad smell</t>
  </si>
  <si>
    <t>There should be foam protection and bubble wrap for shipping with all components</t>
  </si>
  <si>
    <t>(See required changes for mass production slide). The corner of Piece F broke off, thorhoughly check if this wont happen if product is used a lot, or through ship drop test</t>
  </si>
  <si>
    <t>Open door 30 times and check if it still works properly</t>
  </si>
  <si>
    <t>Check if trays fit correctly, there should be almost no free space in the slider hole</t>
  </si>
  <si>
    <t>When trays are inside, push the middle of them slighthly downwards and check if they don’t fall</t>
  </si>
  <si>
    <t>Put some stuff on the tray and move storage case a bit around. You should only hear a little bit of noise from the trays</t>
  </si>
  <si>
    <t>Put a magnet on the tray and check if it stays</t>
  </si>
  <si>
    <t>Put the vest one, adjust the straps, check if it works</t>
  </si>
  <si>
    <t>Pull the material hard and check if it does not make any noise or break</t>
  </si>
  <si>
    <t>Open and close the clasp 20 times</t>
  </si>
  <si>
    <t>Check thoroughly if there is no smell</t>
  </si>
  <si>
    <t>Put the vest on and put your arms in there and check if it holds your pressure of the arms</t>
  </si>
  <si>
    <t>Push and pull the square in the middle, check if it does not break</t>
  </si>
  <si>
    <t>We will send you a PDF with all the inspection points including photos.</t>
  </si>
  <si>
    <t>The packaging should be a gift box, opened from the front</t>
  </si>
  <si>
    <t>The gift box should be very strong and should have COLORED tape, same color of box</t>
  </si>
  <si>
    <t>Box should be clean looking and not look dirty or broken</t>
  </si>
  <si>
    <t>Box should be very strong</t>
  </si>
  <si>
    <t>There should be crepe paper inside the box when you open it. The thank you card should be on top. The manual should be inside the crepe paper</t>
  </si>
  <si>
    <t>There should be a HerComfort sticker on the crepe paper</t>
  </si>
  <si>
    <t>The Sleeve should be sturdy around the box, but should still be able to be taken off properly</t>
  </si>
  <si>
    <t>Saferbounce printing should be very clear</t>
  </si>
  <si>
    <t>Density should be same as picture in PI sheet</t>
  </si>
  <si>
    <t>the white and blue velcro should have no loose corners</t>
  </si>
  <si>
    <t>The foam inside should be stacked onto each other and should have no gaps</t>
  </si>
  <si>
    <t>Jump on it 20 times, check if nothing breaks</t>
  </si>
  <si>
    <t>Check if all stitching corners is tight and not loose</t>
  </si>
  <si>
    <t>Zipper should be on the inside, this is on purpose. However, you should still be able to open it (although a bit hard)</t>
  </si>
  <si>
    <t>Put water on the cover and see if nothing comes off, especially around printing</t>
  </si>
  <si>
    <t>Check if velcro works</t>
  </si>
  <si>
    <t>Throw the mat hard on the ground 10 times, check if nothing breaks</t>
  </si>
  <si>
    <t>Check if there is a zipper on the back, similar like our other plushes</t>
  </si>
  <si>
    <t>Check if fur does not shed</t>
  </si>
  <si>
    <t>Pull all components hard and see if nothing comes off</t>
  </si>
  <si>
    <t>Check changes for mass production and check if they have been implemented correctly</t>
  </si>
  <si>
    <t>Product is vacuum compressed. Thoroughly check after uncompressing it, if nothing has been broken or shedded, and if quality is still good</t>
  </si>
  <si>
    <t>Check if the vacuum compression could be more tight, and if there is no loose plastic</t>
  </si>
  <si>
    <t>Any loose plastic should be taped so that amazon would not measure it as dimensions.</t>
  </si>
  <si>
    <t>Check if the nose cannot be pulled off easily</t>
  </si>
  <si>
    <t>Check if nose is straight</t>
  </si>
  <si>
    <t>Check if sloth has a nose and mouth line</t>
  </si>
  <si>
    <t>Pull all velcro and clips and see if it does not break</t>
  </si>
  <si>
    <t>Pull the mesh fabric</t>
  </si>
  <si>
    <t>Check mesh fabric for holes</t>
  </si>
  <si>
    <t>Test both adjustable belts 10 times to see if they work properly</t>
  </si>
  <si>
    <t>Put the vest on, check if you can tighten and loosen it. Check most tight setting and see how this works for you</t>
  </si>
  <si>
    <t>Put both balls in the vest and test it. Also check if balls fit properly</t>
  </si>
  <si>
    <t>Check if there is no chemical smiell</t>
  </si>
  <si>
    <t>Create video of the sturdyiness of both balls</t>
  </si>
  <si>
    <t>Once pressed, the vibrating device should go on for 2 minutes. You do not need to keep pressing it</t>
  </si>
  <si>
    <t>Check if the device contains no batteries</t>
  </si>
  <si>
    <t>Check if device does not make any weird sound while vibrating</t>
  </si>
  <si>
    <t>Test the device 10 times and check if it still works after that</t>
  </si>
  <si>
    <t>Pull the carry bag few times to see if it does not break</t>
  </si>
  <si>
    <t>Check if you can turn the vibrating device on while it is in pillow and you are hugging it</t>
  </si>
  <si>
    <t>Check if the device fits neatly inside a gap in the pillow</t>
  </si>
  <si>
    <t>Check if device does not move while vibrating or while you are moving vibrating pillow around</t>
  </si>
  <si>
    <t>Check if the zipper of the pillow is hidden</t>
  </si>
  <si>
    <t>Put water on pillow cover, see if it dos not leave any mark</t>
  </si>
  <si>
    <t>Check if there is a velcro on the back to open it</t>
  </si>
  <si>
    <t>Check if there is no big gap behind the neck, this is change we wanted for mass production</t>
  </si>
  <si>
    <t>Check if there is enough filling in the body</t>
  </si>
  <si>
    <t>Compare the face with original sloth, it should be similar</t>
  </si>
  <si>
    <t>Check if there is good working hook and loop system on the back, just like v1, see changes for mass production</t>
  </si>
  <si>
    <t>Lay on the bed. Check if the foam is strong enough to hold. Your butt should NOT touch the bottom, there should be 5-8cm space left between butt and the ground</t>
  </si>
  <si>
    <t>Push into the fabric, it should be strong and you should not able to push far in</t>
  </si>
  <si>
    <t>Check the zipper closure, it should not break when pulled</t>
  </si>
  <si>
    <t>Unzip and zip the product, check if it goes smootly and zipper does not go stuck</t>
  </si>
  <si>
    <t>Check if hole size is 39*35CM. Please make a video of you laying in the BBL bed</t>
  </si>
  <si>
    <t xml:space="preserve">Check if the foam looks clean </t>
  </si>
  <si>
    <t>Try to put water on cover, see if no stains</t>
  </si>
  <si>
    <t>Marketplace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</si>
</sst>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00"/>
  </numFmts>
  <fonts count="9" x14ac:knownFonts="1">
    <font>
      <sz val="11"/>
      <color theme="1"/>
      <name val="Aptos Narrow"/>
      <family val="2"/>
      <scheme val="minor"/>
    </font>
    <font>
      <sz val="8"/>
      <name val="Aptos Narrow"/>
      <family val="2"/>
      <scheme val="minor"/>
    </font>
    <font>
      <sz val="10"/>
      <color theme="1"/>
      <name val="Aptos Narrow"/>
      <family val="2"/>
      <scheme val="minor"/>
    </font>
    <font>
      <b/>
      <sz val="11"/>
      <color theme="1"/>
      <name val="Aptos Narrow"/>
      <family val="2"/>
      <scheme val="minor"/>
    </font>
    <font>
      <sz val="8"/>
      <color theme="2" tint="-0.249977111117893"/>
      <name val="Aptos Narrow"/>
      <family val="2"/>
      <scheme val="minor"/>
    </font>
    <font>
      <b/>
      <sz val="8"/>
      <name val="Aptos Narrow"/>
      <family val="2"/>
      <scheme val="minor"/>
    </font>
    <font>
      <sz val="10"/>
      <color rgb="FF000000"/>
      <name val="Aptos Narrow"/>
      <family val="2"/>
      <scheme val="minor"/>
    </font>
    <font>
      <sz val="11"/>
      <name val="Aptos Narrow"/>
      <family val="2"/>
      <scheme val="minor"/>
    </font>
    <font>
      <sz val="11"/>
      <color theme="1"/>
      <name val="Aptos Narrow"/>
      <family val="2"/>
      <scheme val="minor"/>
    </font>
  </fonts>
  <fills count="17">
    <fill>
      <patternFill patternType="none"/>
    </fill>
    <fill>
      <patternFill patternType="gray125"/>
    </fill>
    <fill>
      <patternFill patternType="solid">
        <fgColor theme="5" tint="0.59999389629810485"/>
        <bgColor indexed="64"/>
      </patternFill>
    </fill>
    <fill>
      <patternFill patternType="solid">
        <fgColor theme="5"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s>
  <borders count="3">
    <border>
      <left/>
      <right/>
      <top/>
      <bottom/>
      <diagonal/>
    </border>
    <border>
      <left/>
      <right/>
      <top/>
      <bottom style="thin">
        <color indexed="64"/>
      </bottom>
      <diagonal/>
    </border>
    <border>
      <left style="thin">
        <color indexed="64"/>
      </left>
      <right/>
      <top/>
      <bottom/>
      <diagonal/>
    </border>
  </borders>
  <cellStyleXfs count="2">
    <xf numFmtId="0" fontId="0" fillId="0" borderId="0"/>
    <xf numFmtId="164" fontId="8" fillId="0" borderId="0" applyFont="0" applyFill="0" applyBorder="0" applyAlignment="0" applyProtection="0"/>
  </cellStyleXfs>
  <cellXfs count="75">
    <xf numFmtId="0" fontId="0" fillId="0" borderId="0" xfId="0"/>
    <xf numFmtId="0" fontId="0" fillId="0" borderId="0" xfId="0" applyAlignment="1">
      <alignment horizontal="left"/>
    </xf>
    <xf numFmtId="49" fontId="0" fillId="0" borderId="0" xfId="0" applyNumberFormat="1" applyAlignment="1">
      <alignment horizontal="left"/>
    </xf>
    <xf numFmtId="1" fontId="0" fillId="0" borderId="0" xfId="0" applyNumberFormat="1" applyAlignment="1">
      <alignment horizontal="left"/>
    </xf>
    <xf numFmtId="2" fontId="0" fillId="0" borderId="0" xfId="0" applyNumberFormat="1" applyAlignment="1">
      <alignment horizontal="left"/>
    </xf>
    <xf numFmtId="165" fontId="0" fillId="0" borderId="0" xfId="0" applyNumberFormat="1" applyAlignment="1">
      <alignment horizontal="left"/>
    </xf>
    <xf numFmtId="49" fontId="0" fillId="0" borderId="0" xfId="0" applyNumberFormat="1"/>
    <xf numFmtId="0" fontId="2" fillId="0" borderId="0" xfId="0" applyFont="1" applyAlignment="1">
      <alignment wrapText="1"/>
    </xf>
    <xf numFmtId="0" fontId="0" fillId="0" borderId="0" xfId="0" applyAlignment="1" applyProtection="1">
      <alignment horizontal="left"/>
      <protection locked="0"/>
    </xf>
    <xf numFmtId="49" fontId="0" fillId="0" borderId="0" xfId="0" applyNumberFormat="1" applyAlignment="1" applyProtection="1">
      <alignment horizontal="left"/>
      <protection locked="0"/>
    </xf>
    <xf numFmtId="1" fontId="0" fillId="0" borderId="0" xfId="0" applyNumberFormat="1" applyAlignment="1" applyProtection="1">
      <alignment horizontal="left"/>
      <protection locked="0"/>
    </xf>
    <xf numFmtId="165" fontId="0" fillId="0" borderId="0" xfId="0" applyNumberFormat="1" applyAlignment="1" applyProtection="1">
      <alignment horizontal="left"/>
      <protection locked="0"/>
    </xf>
    <xf numFmtId="2" fontId="0" fillId="0" borderId="0" xfId="0" applyNumberFormat="1" applyAlignment="1" applyProtection="1">
      <alignment horizontal="left"/>
      <protection locked="0"/>
    </xf>
    <xf numFmtId="49" fontId="0" fillId="0" borderId="0" xfId="0" applyNumberFormat="1" applyProtection="1">
      <protection locked="0"/>
    </xf>
    <xf numFmtId="49" fontId="3" fillId="0" borderId="1" xfId="0" applyNumberFormat="1" applyFont="1" applyBorder="1" applyAlignment="1" applyProtection="1">
      <alignment horizontal="left" vertical="center" wrapText="1"/>
      <protection locked="0"/>
    </xf>
    <xf numFmtId="49" fontId="3" fillId="2" borderId="1" xfId="0" applyNumberFormat="1" applyFont="1" applyFill="1" applyBorder="1" applyAlignment="1" applyProtection="1">
      <alignment horizontal="left" vertical="center" wrapText="1"/>
      <protection locked="0"/>
    </xf>
    <xf numFmtId="49" fontId="3" fillId="3" borderId="1" xfId="0" applyNumberFormat="1" applyFont="1" applyFill="1" applyBorder="1" applyAlignment="1" applyProtection="1">
      <alignment horizontal="left" vertical="center" wrapText="1"/>
      <protection locked="0"/>
    </xf>
    <xf numFmtId="1" fontId="3" fillId="3" borderId="1" xfId="0" applyNumberFormat="1" applyFont="1" applyFill="1" applyBorder="1" applyAlignment="1" applyProtection="1">
      <alignment horizontal="left" vertical="center" wrapText="1"/>
      <protection locked="0"/>
    </xf>
    <xf numFmtId="1" fontId="3" fillId="4" borderId="1" xfId="0" applyNumberFormat="1" applyFont="1" applyFill="1" applyBorder="1" applyAlignment="1" applyProtection="1">
      <alignment horizontal="left" vertical="center" wrapText="1"/>
      <protection locked="0"/>
    </xf>
    <xf numFmtId="165" fontId="3" fillId="4" borderId="1" xfId="0" applyNumberFormat="1" applyFont="1" applyFill="1" applyBorder="1" applyAlignment="1" applyProtection="1">
      <alignment horizontal="left" vertical="center" wrapText="1"/>
      <protection locked="0"/>
    </xf>
    <xf numFmtId="2" fontId="3" fillId="5" borderId="1" xfId="0" applyNumberFormat="1" applyFont="1" applyFill="1" applyBorder="1" applyAlignment="1" applyProtection="1">
      <alignment horizontal="left" vertical="center" wrapText="1"/>
      <protection locked="0"/>
    </xf>
    <xf numFmtId="165" fontId="3" fillId="5" borderId="1" xfId="0" applyNumberFormat="1" applyFont="1" applyFill="1" applyBorder="1" applyAlignment="1" applyProtection="1">
      <alignment horizontal="left" vertical="center" wrapText="1"/>
      <protection locked="0"/>
    </xf>
    <xf numFmtId="165" fontId="3" fillId="6" borderId="1" xfId="0" applyNumberFormat="1" applyFont="1" applyFill="1" applyBorder="1" applyAlignment="1" applyProtection="1">
      <alignment horizontal="left" vertical="center" wrapText="1"/>
      <protection locked="0"/>
    </xf>
    <xf numFmtId="2" fontId="3" fillId="6" borderId="1" xfId="0" applyNumberFormat="1" applyFont="1" applyFill="1" applyBorder="1" applyAlignment="1" applyProtection="1">
      <alignment horizontal="left" vertical="center" wrapText="1"/>
      <protection locked="0"/>
    </xf>
    <xf numFmtId="0" fontId="3" fillId="7" borderId="1" xfId="0" applyFont="1" applyFill="1" applyBorder="1" applyAlignment="1" applyProtection="1">
      <alignment horizontal="left" vertical="center" wrapText="1"/>
      <protection locked="0"/>
    </xf>
    <xf numFmtId="49" fontId="3" fillId="8" borderId="1" xfId="0" applyNumberFormat="1" applyFont="1" applyFill="1" applyBorder="1" applyAlignment="1" applyProtection="1">
      <alignment horizontal="left" vertical="center" wrapText="1"/>
      <protection locked="0"/>
    </xf>
    <xf numFmtId="0" fontId="3" fillId="8" borderId="1" xfId="0" applyFont="1" applyFill="1" applyBorder="1" applyAlignment="1" applyProtection="1">
      <alignment horizontal="left" vertical="center" wrapText="1"/>
      <protection locked="0"/>
    </xf>
    <xf numFmtId="49" fontId="3" fillId="2" borderId="1" xfId="0" applyNumberFormat="1" applyFont="1" applyFill="1" applyBorder="1" applyAlignment="1" applyProtection="1">
      <alignment vertical="center" wrapText="1"/>
      <protection locked="0"/>
    </xf>
    <xf numFmtId="0" fontId="3" fillId="0" borderId="1" xfId="0" applyFont="1" applyBorder="1" applyAlignment="1">
      <alignment horizontal="left" vertical="center" wrapText="1"/>
    </xf>
    <xf numFmtId="49" fontId="3" fillId="9" borderId="1" xfId="0" applyNumberFormat="1" applyFont="1" applyFill="1" applyBorder="1" applyAlignment="1" applyProtection="1">
      <alignment horizontal="left" vertical="center" wrapText="1"/>
      <protection locked="0"/>
    </xf>
    <xf numFmtId="49" fontId="3" fillId="10" borderId="1" xfId="0" applyNumberFormat="1" applyFont="1" applyFill="1" applyBorder="1" applyAlignment="1" applyProtection="1">
      <alignment horizontal="left" vertical="center" wrapText="1"/>
      <protection locked="0"/>
    </xf>
    <xf numFmtId="0" fontId="0" fillId="0" borderId="0" xfId="0" applyAlignment="1">
      <alignment wrapText="1"/>
    </xf>
    <xf numFmtId="0" fontId="3" fillId="11" borderId="0" xfId="0" applyFont="1" applyFill="1"/>
    <xf numFmtId="0" fontId="3" fillId="11" borderId="0" xfId="0" applyFont="1" applyFill="1" applyAlignment="1">
      <alignment wrapText="1"/>
    </xf>
    <xf numFmtId="165" fontId="3" fillId="11" borderId="0" xfId="0" applyNumberFormat="1" applyFont="1" applyFill="1" applyAlignment="1">
      <alignment horizontal="center"/>
    </xf>
    <xf numFmtId="0" fontId="3" fillId="11" borderId="0" xfId="0" applyFont="1" applyFill="1" applyAlignment="1">
      <alignment horizontal="center"/>
    </xf>
    <xf numFmtId="166" fontId="3" fillId="11" borderId="0" xfId="0" applyNumberFormat="1" applyFont="1" applyFill="1" applyAlignment="1">
      <alignment horizontal="center"/>
    </xf>
    <xf numFmtId="165" fontId="3" fillId="12" borderId="0" xfId="0" applyNumberFormat="1" applyFont="1" applyFill="1" applyAlignment="1">
      <alignment horizontal="center"/>
    </xf>
    <xf numFmtId="0" fontId="3" fillId="13" borderId="0" xfId="0" applyFont="1" applyFill="1" applyAlignment="1">
      <alignment horizontal="center"/>
    </xf>
    <xf numFmtId="165" fontId="3" fillId="13" borderId="0" xfId="0" applyNumberFormat="1" applyFont="1" applyFill="1" applyAlignment="1">
      <alignment horizontal="center"/>
    </xf>
    <xf numFmtId="166" fontId="3" fillId="13" borderId="0" xfId="0" applyNumberFormat="1" applyFont="1" applyFill="1" applyAlignment="1">
      <alignment horizontal="center"/>
    </xf>
    <xf numFmtId="165" fontId="3" fillId="14" borderId="0" xfId="0" applyNumberFormat="1" applyFont="1" applyFill="1" applyAlignment="1">
      <alignment horizontal="center"/>
    </xf>
    <xf numFmtId="165" fontId="3" fillId="11" borderId="0" xfId="0" applyNumberFormat="1" applyFont="1" applyFill="1" applyAlignment="1">
      <alignment horizontal="center" wrapText="1"/>
    </xf>
    <xf numFmtId="0" fontId="3" fillId="11" borderId="0" xfId="0" applyFont="1" applyFill="1" applyAlignment="1">
      <alignment horizontal="center" wrapText="1"/>
    </xf>
    <xf numFmtId="166" fontId="3" fillId="11" borderId="0" xfId="0" applyNumberFormat="1" applyFont="1" applyFill="1" applyAlignment="1">
      <alignment horizontal="center" wrapText="1"/>
    </xf>
    <xf numFmtId="165" fontId="3" fillId="12" borderId="0" xfId="0" applyNumberFormat="1" applyFont="1" applyFill="1" applyAlignment="1">
      <alignment horizontal="center" wrapText="1"/>
    </xf>
    <xf numFmtId="0" fontId="3" fillId="13" borderId="0" xfId="0" applyFont="1" applyFill="1" applyAlignment="1">
      <alignment horizontal="center" wrapText="1"/>
    </xf>
    <xf numFmtId="165" fontId="3" fillId="13" borderId="0" xfId="0" applyNumberFormat="1" applyFont="1" applyFill="1" applyAlignment="1">
      <alignment horizontal="center" wrapText="1"/>
    </xf>
    <xf numFmtId="166" fontId="3" fillId="13"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0" fillId="0" borderId="0" xfId="0" applyNumberFormat="1" applyAlignment="1">
      <alignment horizontal="center"/>
    </xf>
    <xf numFmtId="1" fontId="0" fillId="0" borderId="0" xfId="0" applyNumberFormat="1" applyAlignment="1">
      <alignment horizontal="center"/>
    </xf>
    <xf numFmtId="166" fontId="0" fillId="0" borderId="0" xfId="0" applyNumberFormat="1" applyAlignment="1">
      <alignment horizontal="center"/>
    </xf>
    <xf numFmtId="0" fontId="0" fillId="0" borderId="0" xfId="0" applyAlignment="1">
      <alignment horizontal="center"/>
    </xf>
    <xf numFmtId="165" fontId="0" fillId="0" borderId="0" xfId="0" quotePrefix="1" applyNumberFormat="1" applyAlignment="1">
      <alignment horizontal="center"/>
    </xf>
    <xf numFmtId="0" fontId="0" fillId="15" borderId="0" xfId="0" applyFill="1"/>
    <xf numFmtId="0" fontId="2" fillId="15" borderId="0" xfId="0" applyFont="1" applyFill="1" applyAlignment="1">
      <alignment wrapText="1"/>
    </xf>
    <xf numFmtId="0" fontId="5" fillId="2" borderId="1" xfId="0" applyFont="1" applyFill="1" applyBorder="1" applyAlignment="1">
      <alignment horizontal="left" vertical="center" wrapText="1"/>
    </xf>
    <xf numFmtId="0" fontId="4" fillId="0" borderId="0" xfId="0" applyFont="1" applyAlignment="1">
      <alignment horizontal="left"/>
    </xf>
    <xf numFmtId="1" fontId="4" fillId="0" borderId="0" xfId="0" applyNumberFormat="1" applyFont="1" applyAlignment="1">
      <alignment horizontal="left"/>
    </xf>
    <xf numFmtId="0" fontId="6" fillId="0" borderId="0" xfId="0" applyFont="1" applyAlignment="1">
      <alignment wrapText="1"/>
    </xf>
    <xf numFmtId="0" fontId="0" fillId="16" borderId="0" xfId="0" applyFill="1"/>
    <xf numFmtId="0" fontId="3" fillId="16" borderId="0" xfId="0" applyFont="1" applyFill="1" applyAlignment="1">
      <alignment wrapText="1"/>
    </xf>
    <xf numFmtId="0" fontId="3" fillId="2" borderId="0" xfId="0" applyFont="1" applyFill="1"/>
    <xf numFmtId="0" fontId="3" fillId="2" borderId="0" xfId="0" applyFont="1" applyFill="1" applyAlignment="1">
      <alignment wrapText="1"/>
    </xf>
    <xf numFmtId="1" fontId="7" fillId="0" borderId="0" xfId="0" applyNumberFormat="1" applyFont="1" applyAlignment="1">
      <alignment horizontal="left"/>
    </xf>
    <xf numFmtId="1" fontId="0" fillId="15" borderId="0" xfId="0" applyNumberFormat="1" applyFill="1"/>
    <xf numFmtId="1" fontId="0" fillId="0" borderId="0" xfId="0" applyNumberFormat="1"/>
    <xf numFmtId="0" fontId="2" fillId="15" borderId="2" xfId="0" applyFont="1" applyFill="1" applyBorder="1" applyAlignment="1">
      <alignment wrapText="1"/>
    </xf>
    <xf numFmtId="0" fontId="2" fillId="0" borderId="2" xfId="0" applyFont="1" applyBorder="1" applyAlignment="1">
      <alignment wrapText="1"/>
    </xf>
    <xf numFmtId="0" fontId="4" fillId="0" borderId="2" xfId="0" applyFont="1" applyBorder="1" applyAlignment="1">
      <alignment horizontal="left"/>
    </xf>
    <xf numFmtId="0" fontId="6" fillId="0" borderId="2" xfId="0" applyFont="1" applyBorder="1" applyAlignment="1">
      <alignment wrapText="1"/>
    </xf>
    <xf numFmtId="164" fontId="0" fillId="0" borderId="0" xfId="1" applyFont="1" applyAlignment="1" applyProtection="1">
      <alignment horizontal="left"/>
      <protection locked="0"/>
    </xf>
    <xf numFmtId="164" fontId="0" fillId="0" borderId="0" xfId="1" applyFont="1" applyAlignment="1">
      <alignment horizontal="left"/>
    </xf>
    <xf numFmtId="164" fontId="0" fillId="0" borderId="0" xfId="1" applyFont="1" applyAlignment="1" applyProtection="1">
      <alignment horizontal="right"/>
      <protection locked="0"/>
    </xf>
  </cellXfs>
  <cellStyles count="2">
    <cellStyle name="Comma" xfId="1" builtinId="3"/>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2E0EC8-0EB1-4509-B155-087D3F70D7F0}">
  <we:reference id="WA200009404" version="1.0.0.8" store="Omex" storeType="OMEX"/>
  <we:alternateReferences>
    <we:reference id="WA200009404" version="1.0.0.8" store="WA200009404" storeType="OMEX"/>
  </we:alternateReferences>
  <we:properties>
    <we:property name="claude.fileId" value="&quot;cf6645c2-2bf6-4a4b-9f7d-fcdb2f8c393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FFF7-585F-4C17-B64D-58E484F07E86}">
  <sheetPr codeName="Sheet1"/>
  <dimension ref="A1:BC199"/>
  <sheetViews>
    <sheetView tabSelected="1" zoomScaleNormal="100" workbookViewId="0">
      <pane xSplit="3" ySplit="1" topLeftCell="D2" activePane="bottomRight" state="frozen"/>
      <selection pane="topRight" activeCell="D1" sqref="D1"/>
      <selection pane="bottomLeft" activeCell="A2" sqref="A2"/>
      <selection pane="bottomRight" activeCell="C4" sqref="C4"/>
    </sheetView>
  </sheetViews>
  <sheetFormatPr defaultColWidth="9.15234375" defaultRowHeight="14.6" x14ac:dyDescent="0.4"/>
  <cols>
    <col min="1" max="1" width="11.69140625" style="58" bestFit="1" customWidth="1"/>
    <col min="2" max="2" width="6.84375" style="2" bestFit="1" customWidth="1"/>
    <col min="3" max="3" width="54" style="2" bestFit="1" customWidth="1"/>
    <col min="4" max="4" width="18" style="2" customWidth="1"/>
    <col min="5" max="5" width="21.84375" style="3" customWidth="1"/>
    <col min="6" max="6" width="13.53515625" style="2" customWidth="1"/>
    <col min="7" max="7" width="18.3046875" style="2" customWidth="1"/>
    <col min="8" max="8" width="25" style="2" customWidth="1"/>
    <col min="9" max="9" width="15.3046875" style="3" customWidth="1"/>
    <col min="10" max="12" width="14.3046875" style="3" customWidth="1"/>
    <col min="13" max="13" width="9.15234375" style="3" customWidth="1"/>
    <col min="14" max="17" width="9.15234375" style="5" customWidth="1"/>
    <col min="18" max="18" width="9.15234375" style="4" customWidth="1"/>
    <col min="19" max="24" width="9.15234375" style="5" customWidth="1"/>
    <col min="25" max="25" width="9.15234375" style="4" customWidth="1"/>
    <col min="26" max="26" width="17.53515625" style="1" customWidth="1"/>
    <col min="27" max="27" width="20.3046875" style="1" customWidth="1"/>
    <col min="28" max="29" width="16.3046875" style="1" customWidth="1"/>
    <col min="30" max="30" width="13.53515625" style="1" customWidth="1"/>
    <col min="31" max="31" width="9.15234375" style="2" customWidth="1"/>
    <col min="32" max="33" width="9.15234375" style="1" customWidth="1"/>
    <col min="34" max="34" width="11.3046875" style="73" customWidth="1"/>
    <col min="35" max="35" width="19.69140625" style="6" customWidth="1"/>
    <col min="36" max="36" width="31.84375" style="6" customWidth="1"/>
    <col min="37" max="37" width="52.84375" style="6" customWidth="1"/>
    <col min="38" max="38" width="12.15234375" style="6" customWidth="1"/>
    <col min="39" max="39" width="38.84375" style="2" customWidth="1"/>
    <col min="40" max="40" width="20" style="2" customWidth="1"/>
    <col min="41" max="41" width="35.53515625" style="2" customWidth="1"/>
    <col min="42" max="43" width="29" style="2" customWidth="1"/>
    <col min="44" max="54" width="13.53515625" style="2" customWidth="1"/>
    <col min="55" max="16384" width="9.15234375" style="1"/>
  </cols>
  <sheetData>
    <row r="1" spans="1:55" s="28" customFormat="1" ht="75" customHeight="1" x14ac:dyDescent="0.4">
      <c r="A1" s="57" t="s">
        <v>0</v>
      </c>
      <c r="B1" s="16" t="s">
        <v>1</v>
      </c>
      <c r="C1" s="16" t="s">
        <v>2</v>
      </c>
      <c r="D1" s="16" t="s">
        <v>3</v>
      </c>
      <c r="E1" s="16" t="s">
        <v>4</v>
      </c>
      <c r="F1" s="16" t="s">
        <v>5</v>
      </c>
      <c r="G1" s="16" t="s">
        <v>6</v>
      </c>
      <c r="H1" s="16" t="s">
        <v>7</v>
      </c>
      <c r="I1" s="17" t="s">
        <v>8</v>
      </c>
      <c r="J1" s="17" t="s">
        <v>9</v>
      </c>
      <c r="K1" s="17" t="s">
        <v>10</v>
      </c>
      <c r="L1" s="17" t="s">
        <v>11</v>
      </c>
      <c r="M1" s="18" t="s">
        <v>12</v>
      </c>
      <c r="N1" s="19" t="s">
        <v>13</v>
      </c>
      <c r="O1" s="19" t="s">
        <v>14</v>
      </c>
      <c r="P1" s="19" t="s">
        <v>15</v>
      </c>
      <c r="Q1" s="19" t="s">
        <v>16</v>
      </c>
      <c r="R1" s="20" t="s">
        <v>17</v>
      </c>
      <c r="S1" s="21" t="s">
        <v>18</v>
      </c>
      <c r="T1" s="21" t="s">
        <v>19</v>
      </c>
      <c r="U1" s="21" t="s">
        <v>20</v>
      </c>
      <c r="V1" s="22" t="s">
        <v>21</v>
      </c>
      <c r="W1" s="22" t="s">
        <v>22</v>
      </c>
      <c r="X1" s="22" t="s">
        <v>23</v>
      </c>
      <c r="Y1" s="23" t="s">
        <v>24</v>
      </c>
      <c r="Z1" s="24" t="s">
        <v>25</v>
      </c>
      <c r="AA1" s="24" t="s">
        <v>26</v>
      </c>
      <c r="AB1" s="24" t="s">
        <v>27</v>
      </c>
      <c r="AC1" s="24" t="s">
        <v>28</v>
      </c>
      <c r="AD1" s="24" t="s">
        <v>29</v>
      </c>
      <c r="AE1" s="25" t="s">
        <v>30</v>
      </c>
      <c r="AF1" s="26" t="s">
        <v>31</v>
      </c>
      <c r="AG1" s="26" t="s">
        <v>32</v>
      </c>
      <c r="AH1" s="26" t="s">
        <v>33</v>
      </c>
      <c r="AI1" s="27" t="s">
        <v>34</v>
      </c>
      <c r="AJ1" s="27" t="s">
        <v>35</v>
      </c>
      <c r="AK1" s="27" t="s">
        <v>36</v>
      </c>
      <c r="AL1" s="27" t="s">
        <v>37</v>
      </c>
      <c r="AM1" s="15" t="s">
        <v>38</v>
      </c>
      <c r="AN1" s="15" t="s">
        <v>39</v>
      </c>
      <c r="AO1" s="15" t="s">
        <v>40</v>
      </c>
      <c r="AP1" s="15" t="s">
        <v>41</v>
      </c>
      <c r="AQ1" s="15" t="s">
        <v>42</v>
      </c>
      <c r="AR1" s="14" t="s">
        <v>43</v>
      </c>
      <c r="AS1" s="14" t="s">
        <v>44</v>
      </c>
      <c r="AT1" s="14" t="s">
        <v>45</v>
      </c>
      <c r="AU1" s="14" t="s">
        <v>46</v>
      </c>
      <c r="AV1" s="29" t="s">
        <v>47</v>
      </c>
      <c r="AW1" s="29" t="s">
        <v>48</v>
      </c>
      <c r="AX1" s="29" t="s">
        <v>49</v>
      </c>
      <c r="AY1" s="29" t="s">
        <v>50</v>
      </c>
      <c r="AZ1" s="30" t="s">
        <v>51</v>
      </c>
      <c r="BA1" s="30" t="s">
        <v>52</v>
      </c>
      <c r="BB1" s="30" t="s">
        <v>53</v>
      </c>
      <c r="BC1" s="30" t="s">
        <v>54</v>
      </c>
    </row>
    <row r="2" spans="1:55" x14ac:dyDescent="0.4">
      <c r="A2" s="59" t="str">
        <f t="shared" ref="A2:A5" si="0">IF(B2="AMZ",D2,E2)</f>
        <v>B0BNQV7QPR</v>
      </c>
      <c r="B2" s="8" t="s">
        <v>60</v>
      </c>
      <c r="C2" s="8" t="s">
        <v>108</v>
      </c>
      <c r="D2" s="9" t="s">
        <v>109</v>
      </c>
      <c r="E2" s="10">
        <v>8720618229991</v>
      </c>
      <c r="F2" s="9" t="s">
        <v>110</v>
      </c>
      <c r="G2" s="9" t="s">
        <v>111</v>
      </c>
      <c r="H2" s="9"/>
      <c r="I2" s="10"/>
      <c r="J2" s="10" t="s">
        <v>112</v>
      </c>
      <c r="K2" s="10" t="s">
        <v>113</v>
      </c>
      <c r="L2" s="10"/>
      <c r="M2" s="10">
        <v>52</v>
      </c>
      <c r="N2" s="11">
        <v>16.2</v>
      </c>
      <c r="O2" s="11">
        <v>46</v>
      </c>
      <c r="P2" s="11">
        <v>56</v>
      </c>
      <c r="Q2" s="11">
        <v>55</v>
      </c>
      <c r="R2" s="12">
        <v>0.28999999999999998</v>
      </c>
      <c r="S2" s="11">
        <v>22</v>
      </c>
      <c r="T2" s="11">
        <v>27</v>
      </c>
      <c r="U2" s="11">
        <v>3.8</v>
      </c>
      <c r="V2" s="11">
        <v>115</v>
      </c>
      <c r="W2" s="11">
        <v>115</v>
      </c>
      <c r="X2" s="11"/>
      <c r="Y2" s="12">
        <v>0.02</v>
      </c>
      <c r="Z2" s="8">
        <v>6301300020</v>
      </c>
      <c r="AA2" s="8">
        <v>6301301000</v>
      </c>
      <c r="AB2" s="8">
        <v>6301301000</v>
      </c>
      <c r="AC2" s="8"/>
      <c r="AD2" s="8">
        <v>6301300000</v>
      </c>
      <c r="AE2" s="9" t="s">
        <v>101</v>
      </c>
      <c r="AF2" s="8"/>
      <c r="AG2" s="8">
        <v>100</v>
      </c>
      <c r="AH2" s="72">
        <v>4.5</v>
      </c>
      <c r="AI2" s="13" t="s">
        <v>57</v>
      </c>
      <c r="AJ2" s="13" t="s">
        <v>102</v>
      </c>
      <c r="AK2" s="13" t="s">
        <v>103</v>
      </c>
      <c r="AL2" s="13"/>
      <c r="AM2" s="9" t="s">
        <v>93</v>
      </c>
      <c r="AN2" s="9" t="s">
        <v>104</v>
      </c>
      <c r="AO2" s="9"/>
      <c r="AP2" s="9"/>
      <c r="AQ2" s="9"/>
      <c r="AR2" s="9"/>
      <c r="AS2" s="9"/>
      <c r="AT2" s="9"/>
      <c r="AU2" s="9"/>
      <c r="AV2" s="9"/>
      <c r="AW2" s="9"/>
      <c r="AX2" s="9"/>
      <c r="AY2" s="9"/>
      <c r="AZ2" s="9"/>
      <c r="BA2" s="9"/>
      <c r="BB2" s="9"/>
    </row>
    <row r="3" spans="1:55" x14ac:dyDescent="0.4">
      <c r="A3" s="59" t="str">
        <f t="shared" si="0"/>
        <v>B08CKW16F7</v>
      </c>
      <c r="B3" s="8" t="s">
        <v>60</v>
      </c>
      <c r="C3" s="8" t="s">
        <v>114</v>
      </c>
      <c r="D3" s="9" t="s">
        <v>115</v>
      </c>
      <c r="E3" s="10">
        <v>8719992661510</v>
      </c>
      <c r="F3" s="9"/>
      <c r="G3" s="9" t="s">
        <v>116</v>
      </c>
      <c r="H3" s="9"/>
      <c r="I3" s="10"/>
      <c r="J3" s="10"/>
      <c r="K3" s="10" t="s">
        <v>117</v>
      </c>
      <c r="L3" s="10"/>
      <c r="M3" s="10">
        <v>50</v>
      </c>
      <c r="N3" s="11">
        <v>20</v>
      </c>
      <c r="O3" s="11">
        <v>45</v>
      </c>
      <c r="P3" s="11">
        <v>50</v>
      </c>
      <c r="Q3" s="11">
        <v>55</v>
      </c>
      <c r="R3" s="12">
        <v>0.32</v>
      </c>
      <c r="S3" s="11">
        <v>25</v>
      </c>
      <c r="T3" s="11">
        <v>26</v>
      </c>
      <c r="U3" s="11">
        <v>8</v>
      </c>
      <c r="V3" s="11"/>
      <c r="W3" s="11"/>
      <c r="X3" s="11"/>
      <c r="Y3" s="12"/>
      <c r="Z3" s="8">
        <v>6301400010</v>
      </c>
      <c r="AA3" s="8">
        <v>6301401000</v>
      </c>
      <c r="AB3" s="8">
        <v>6301909099</v>
      </c>
      <c r="AC3" s="8"/>
      <c r="AD3" s="8">
        <v>63014000</v>
      </c>
      <c r="AE3" s="9" t="s">
        <v>91</v>
      </c>
      <c r="AF3" s="8"/>
      <c r="AG3" s="8">
        <v>100</v>
      </c>
      <c r="AH3" s="72">
        <v>2.95</v>
      </c>
      <c r="AI3" s="13" t="s">
        <v>57</v>
      </c>
      <c r="AJ3" s="13" t="s">
        <v>92</v>
      </c>
      <c r="AK3" s="13" t="s">
        <v>118</v>
      </c>
      <c r="AL3" s="13"/>
      <c r="AM3" s="9" t="s">
        <v>93</v>
      </c>
      <c r="AN3" s="9" t="s">
        <v>94</v>
      </c>
      <c r="AO3" s="9"/>
      <c r="AP3" s="9"/>
      <c r="AQ3" s="9"/>
      <c r="AR3" s="9"/>
      <c r="AS3" s="9"/>
      <c r="AT3" s="9"/>
      <c r="AU3" s="9"/>
      <c r="AV3" s="9"/>
      <c r="AW3" s="9"/>
      <c r="AX3" s="9"/>
      <c r="AY3" s="9"/>
      <c r="AZ3" s="9"/>
      <c r="BA3" s="9"/>
      <c r="BB3" s="9"/>
    </row>
    <row r="4" spans="1:55" x14ac:dyDescent="0.4">
      <c r="A4" s="59" t="str">
        <f t="shared" si="0"/>
        <v>B07NS8B464</v>
      </c>
      <c r="B4" s="8" t="s">
        <v>60</v>
      </c>
      <c r="C4" s="8" t="s">
        <v>119</v>
      </c>
      <c r="D4" s="9" t="s">
        <v>120</v>
      </c>
      <c r="E4" s="10">
        <v>8719992661992</v>
      </c>
      <c r="F4" s="9"/>
      <c r="G4" s="9" t="s">
        <v>121</v>
      </c>
      <c r="H4" s="9"/>
      <c r="I4" s="10"/>
      <c r="J4" s="10"/>
      <c r="K4" s="10"/>
      <c r="L4" s="10"/>
      <c r="M4" s="10">
        <v>60</v>
      </c>
      <c r="N4" s="11">
        <v>19</v>
      </c>
      <c r="O4" s="11">
        <v>45</v>
      </c>
      <c r="P4" s="11">
        <v>50</v>
      </c>
      <c r="Q4" s="11">
        <v>55</v>
      </c>
      <c r="R4" s="12">
        <v>0.28000000000000003</v>
      </c>
      <c r="S4" s="11">
        <v>25</v>
      </c>
      <c r="T4" s="11">
        <v>26</v>
      </c>
      <c r="U4" s="11">
        <v>6</v>
      </c>
      <c r="V4" s="11"/>
      <c r="W4" s="11"/>
      <c r="X4" s="11"/>
      <c r="Y4" s="12"/>
      <c r="Z4" s="8">
        <v>6301400010</v>
      </c>
      <c r="AA4" s="8">
        <v>6301401000</v>
      </c>
      <c r="AB4" s="8">
        <v>6301909099</v>
      </c>
      <c r="AC4" s="8"/>
      <c r="AD4" s="8">
        <v>63014000</v>
      </c>
      <c r="AE4" s="9" t="s">
        <v>91</v>
      </c>
      <c r="AF4" s="8"/>
      <c r="AG4" s="8">
        <v>100</v>
      </c>
      <c r="AH4" s="72">
        <v>2.95</v>
      </c>
      <c r="AI4" s="13" t="s">
        <v>57</v>
      </c>
      <c r="AJ4" s="13" t="s">
        <v>92</v>
      </c>
      <c r="AK4" s="13" t="s">
        <v>88</v>
      </c>
      <c r="AL4" s="13"/>
      <c r="AM4" s="9" t="s">
        <v>93</v>
      </c>
      <c r="AN4" s="9" t="s">
        <v>122</v>
      </c>
      <c r="AO4" s="9"/>
      <c r="AP4" s="9"/>
      <c r="AQ4" s="9"/>
      <c r="AR4" s="9"/>
      <c r="AS4" s="9"/>
      <c r="AT4" s="9"/>
      <c r="AU4" s="9"/>
      <c r="AV4" s="9"/>
      <c r="AW4" s="9"/>
      <c r="AX4" s="9"/>
      <c r="AY4" s="9"/>
      <c r="AZ4" s="9"/>
      <c r="BA4" s="9"/>
      <c r="BB4" s="9"/>
    </row>
    <row r="5" spans="1:55" x14ac:dyDescent="0.4">
      <c r="A5" s="59" t="str">
        <f t="shared" si="0"/>
        <v>B09NDXFBWY</v>
      </c>
      <c r="B5" s="8" t="s">
        <v>60</v>
      </c>
      <c r="C5" s="8" t="s">
        <v>123</v>
      </c>
      <c r="D5" s="9" t="s">
        <v>124</v>
      </c>
      <c r="E5" s="10">
        <v>8720618229304</v>
      </c>
      <c r="F5" s="9"/>
      <c r="G5" s="9" t="s">
        <v>125</v>
      </c>
      <c r="H5" s="9"/>
      <c r="I5" s="10"/>
      <c r="J5" s="10"/>
      <c r="K5" s="10" t="s">
        <v>126</v>
      </c>
      <c r="L5" s="10"/>
      <c r="M5" s="10">
        <v>52</v>
      </c>
      <c r="N5" s="11">
        <v>19</v>
      </c>
      <c r="O5" s="11">
        <v>46</v>
      </c>
      <c r="P5" s="11">
        <v>56</v>
      </c>
      <c r="Q5" s="11">
        <v>55</v>
      </c>
      <c r="R5" s="12">
        <v>0.28999999999999998</v>
      </c>
      <c r="S5" s="11">
        <v>22</v>
      </c>
      <c r="T5" s="11">
        <v>27</v>
      </c>
      <c r="U5" s="11">
        <v>3.8</v>
      </c>
      <c r="V5" s="11">
        <v>115</v>
      </c>
      <c r="W5" s="11">
        <v>115</v>
      </c>
      <c r="X5" s="11"/>
      <c r="Y5" s="12">
        <v>0.02</v>
      </c>
      <c r="Z5" s="8">
        <v>6301300020</v>
      </c>
      <c r="AA5" s="8">
        <v>6301301000</v>
      </c>
      <c r="AB5" s="8"/>
      <c r="AC5" s="8"/>
      <c r="AD5" s="8">
        <v>6301300000</v>
      </c>
      <c r="AE5" s="9" t="s">
        <v>101</v>
      </c>
      <c r="AF5" s="8"/>
      <c r="AG5" s="8">
        <v>100</v>
      </c>
      <c r="AH5" s="72">
        <v>4.5</v>
      </c>
      <c r="AI5" s="13" t="s">
        <v>57</v>
      </c>
      <c r="AJ5" s="13" t="s">
        <v>102</v>
      </c>
      <c r="AK5" s="13" t="s">
        <v>103</v>
      </c>
      <c r="AL5" s="13" t="s">
        <v>89</v>
      </c>
      <c r="AM5" s="9" t="s">
        <v>93</v>
      </c>
      <c r="AN5" s="9" t="s">
        <v>104</v>
      </c>
      <c r="AO5" s="9" t="s">
        <v>58</v>
      </c>
      <c r="AP5" s="9"/>
      <c r="AQ5" s="9"/>
      <c r="AR5" s="9"/>
      <c r="AS5" s="9"/>
      <c r="AT5" s="9"/>
      <c r="AU5" s="9"/>
      <c r="AV5" s="9"/>
      <c r="AW5" s="9"/>
      <c r="AX5" s="9"/>
      <c r="AY5" s="9"/>
      <c r="AZ5" s="9"/>
      <c r="BA5" s="9"/>
      <c r="BB5" s="9"/>
    </row>
    <row r="6" spans="1:55" x14ac:dyDescent="0.4">
      <c r="A6" s="59" t="str">
        <f t="shared" ref="A6:A11" si="1">IF(B6="AMZ",D6,E6)</f>
        <v>B08BG74Q65</v>
      </c>
      <c r="B6" s="8" t="s">
        <v>60</v>
      </c>
      <c r="C6" s="8" t="s">
        <v>344</v>
      </c>
      <c r="D6" s="9" t="s">
        <v>345</v>
      </c>
      <c r="E6" s="10">
        <v>8719992661619</v>
      </c>
      <c r="F6" s="9"/>
      <c r="G6" s="9" t="s">
        <v>346</v>
      </c>
      <c r="H6" s="9"/>
      <c r="I6" s="10"/>
      <c r="J6" s="10" t="s">
        <v>347</v>
      </c>
      <c r="K6" s="10" t="s">
        <v>348</v>
      </c>
      <c r="L6" s="10"/>
      <c r="M6" s="10">
        <v>6</v>
      </c>
      <c r="N6" s="11">
        <v>5.5</v>
      </c>
      <c r="O6" s="11">
        <v>51.5</v>
      </c>
      <c r="P6" s="11">
        <v>39.700000000000003</v>
      </c>
      <c r="Q6" s="11">
        <v>46.5</v>
      </c>
      <c r="R6" s="12">
        <v>0.84</v>
      </c>
      <c r="S6" s="11">
        <v>28</v>
      </c>
      <c r="T6" s="11">
        <v>24</v>
      </c>
      <c r="U6" s="11">
        <v>18</v>
      </c>
      <c r="V6" s="11"/>
      <c r="W6" s="11"/>
      <c r="X6" s="11"/>
      <c r="Y6" s="12"/>
      <c r="Z6" s="8">
        <v>3926901000</v>
      </c>
      <c r="AA6" s="8">
        <v>3926909790</v>
      </c>
      <c r="AB6" s="8">
        <v>3926909790</v>
      </c>
      <c r="AC6" s="8"/>
      <c r="AD6" s="8">
        <v>3926909090</v>
      </c>
      <c r="AE6" s="9" t="s">
        <v>349</v>
      </c>
      <c r="AF6" s="8"/>
      <c r="AG6" s="8">
        <v>1000</v>
      </c>
      <c r="AH6" s="72">
        <v>4.05</v>
      </c>
      <c r="AI6" s="13" t="s">
        <v>180</v>
      </c>
      <c r="AJ6" s="13" t="s">
        <v>350</v>
      </c>
      <c r="AK6" s="13" t="s">
        <v>181</v>
      </c>
      <c r="AL6" s="13"/>
      <c r="AM6" s="9" t="s">
        <v>351</v>
      </c>
      <c r="AN6" s="9" t="s">
        <v>352</v>
      </c>
      <c r="AO6" s="9" t="s">
        <v>58</v>
      </c>
      <c r="AP6" s="9" t="s">
        <v>59</v>
      </c>
      <c r="AQ6" s="9"/>
      <c r="AR6" s="9"/>
      <c r="AS6" s="9"/>
      <c r="AT6" s="9"/>
      <c r="AU6" s="9"/>
      <c r="AV6" s="9"/>
      <c r="AW6" s="9"/>
      <c r="AX6" s="9"/>
      <c r="AY6" s="9"/>
      <c r="AZ6" s="9"/>
      <c r="BA6" s="9"/>
      <c r="BB6" s="9"/>
    </row>
    <row r="7" spans="1:55" x14ac:dyDescent="0.4">
      <c r="A7" s="59">
        <f t="shared" si="1"/>
        <v>8719992661190</v>
      </c>
      <c r="B7" s="8" t="s">
        <v>55</v>
      </c>
      <c r="C7" s="8" t="s">
        <v>353</v>
      </c>
      <c r="D7" s="9"/>
      <c r="E7" s="10">
        <v>8719992661190</v>
      </c>
      <c r="F7" s="9"/>
      <c r="G7" s="9"/>
      <c r="H7" s="9"/>
      <c r="I7" s="10">
        <v>2950025924547</v>
      </c>
      <c r="J7" s="10"/>
      <c r="K7" s="10"/>
      <c r="L7" s="10"/>
      <c r="M7" s="10">
        <v>6</v>
      </c>
      <c r="N7" s="11">
        <v>9.9</v>
      </c>
      <c r="O7" s="11">
        <v>40</v>
      </c>
      <c r="P7" s="11">
        <v>52</v>
      </c>
      <c r="Q7" s="11">
        <v>59</v>
      </c>
      <c r="R7" s="12">
        <v>1.5</v>
      </c>
      <c r="S7" s="11">
        <v>25</v>
      </c>
      <c r="T7" s="11">
        <v>39</v>
      </c>
      <c r="U7" s="11">
        <v>19</v>
      </c>
      <c r="V7" s="11">
        <v>38</v>
      </c>
      <c r="W7" s="11">
        <v>24</v>
      </c>
      <c r="X7" s="11">
        <v>18</v>
      </c>
      <c r="Y7" s="12">
        <v>13</v>
      </c>
      <c r="Z7" s="8"/>
      <c r="AA7" s="8">
        <v>3926909790</v>
      </c>
      <c r="AB7" s="8"/>
      <c r="AC7" s="8"/>
      <c r="AD7" s="8">
        <v>3926909000</v>
      </c>
      <c r="AE7" s="9" t="s">
        <v>69</v>
      </c>
      <c r="AF7" s="8">
        <v>30</v>
      </c>
      <c r="AG7" s="8">
        <v>100</v>
      </c>
      <c r="AH7" s="74" t="s">
        <v>354</v>
      </c>
      <c r="AI7" s="13" t="s">
        <v>178</v>
      </c>
      <c r="AJ7" s="13" t="s">
        <v>355</v>
      </c>
      <c r="AK7" s="13" t="s">
        <v>181</v>
      </c>
      <c r="AL7" s="13" t="s">
        <v>186</v>
      </c>
      <c r="AM7" s="9"/>
      <c r="AN7" s="9" t="s">
        <v>179</v>
      </c>
      <c r="AO7" s="9" t="s">
        <v>58</v>
      </c>
      <c r="AP7" s="9" t="s">
        <v>59</v>
      </c>
      <c r="AQ7" s="9"/>
      <c r="AR7" s="9"/>
      <c r="AS7" s="9"/>
      <c r="AT7" s="9"/>
      <c r="AU7" s="9"/>
      <c r="AV7" s="9"/>
      <c r="AW7" s="9"/>
      <c r="AX7" s="9"/>
      <c r="AY7" s="9"/>
      <c r="AZ7" s="9"/>
      <c r="BA7" s="9"/>
      <c r="BB7" s="9"/>
    </row>
    <row r="8" spans="1:55" x14ac:dyDescent="0.4">
      <c r="A8" s="59" t="str">
        <f t="shared" si="1"/>
        <v>B08BG695P2</v>
      </c>
      <c r="B8" s="8" t="s">
        <v>60</v>
      </c>
      <c r="C8" s="8" t="s">
        <v>356</v>
      </c>
      <c r="D8" s="9" t="s">
        <v>357</v>
      </c>
      <c r="E8" s="10">
        <v>8719992661190</v>
      </c>
      <c r="F8" s="9"/>
      <c r="G8" s="9" t="s">
        <v>358</v>
      </c>
      <c r="H8" s="9"/>
      <c r="I8" s="10"/>
      <c r="J8" s="10" t="s">
        <v>359</v>
      </c>
      <c r="K8" s="10" t="s">
        <v>360</v>
      </c>
      <c r="L8" s="10"/>
      <c r="M8" s="10">
        <v>6</v>
      </c>
      <c r="N8" s="11">
        <v>9.1999999999999993</v>
      </c>
      <c r="O8" s="11">
        <v>51.5</v>
      </c>
      <c r="P8" s="11">
        <v>39.700000000000003</v>
      </c>
      <c r="Q8" s="11">
        <v>55.5</v>
      </c>
      <c r="R8" s="12">
        <v>1.43</v>
      </c>
      <c r="S8" s="11">
        <v>38</v>
      </c>
      <c r="T8" s="11">
        <v>24</v>
      </c>
      <c r="U8" s="11">
        <v>18</v>
      </c>
      <c r="V8" s="11">
        <v>24</v>
      </c>
      <c r="W8" s="11">
        <v>38</v>
      </c>
      <c r="X8" s="11">
        <v>16</v>
      </c>
      <c r="Y8" s="12"/>
      <c r="Z8" s="8">
        <v>3926901000</v>
      </c>
      <c r="AA8" s="8">
        <v>3926909790</v>
      </c>
      <c r="AB8" s="8">
        <v>3926909790</v>
      </c>
      <c r="AC8" s="8"/>
      <c r="AD8" s="8">
        <v>3926909090</v>
      </c>
      <c r="AE8" s="9" t="s">
        <v>361</v>
      </c>
      <c r="AF8" s="8"/>
      <c r="AG8" s="8">
        <v>1000</v>
      </c>
      <c r="AH8" s="72">
        <v>6.07</v>
      </c>
      <c r="AI8" s="13" t="s">
        <v>180</v>
      </c>
      <c r="AJ8" s="13" t="s">
        <v>362</v>
      </c>
      <c r="AK8" s="13" t="s">
        <v>181</v>
      </c>
      <c r="AL8" s="13"/>
      <c r="AM8" s="9" t="s">
        <v>351</v>
      </c>
      <c r="AN8" s="9" t="s">
        <v>352</v>
      </c>
      <c r="AO8" s="9" t="s">
        <v>58</v>
      </c>
      <c r="AP8" s="9" t="s">
        <v>59</v>
      </c>
      <c r="AQ8" s="9"/>
      <c r="AR8" s="9"/>
      <c r="AS8" s="9"/>
      <c r="AT8" s="9"/>
      <c r="AU8" s="9"/>
      <c r="AV8" s="9"/>
      <c r="AW8" s="9"/>
      <c r="AX8" s="9"/>
      <c r="AY8" s="9"/>
      <c r="AZ8" s="9"/>
      <c r="BA8" s="9"/>
      <c r="BB8" s="9"/>
    </row>
    <row r="9" spans="1:55" x14ac:dyDescent="0.4">
      <c r="A9" s="59" t="str">
        <f t="shared" si="1"/>
        <v>B07Q3FVXS9</v>
      </c>
      <c r="B9" s="8" t="s">
        <v>60</v>
      </c>
      <c r="C9" s="8" t="s">
        <v>363</v>
      </c>
      <c r="D9" s="9" t="s">
        <v>364</v>
      </c>
      <c r="E9" s="10">
        <v>8719992661985</v>
      </c>
      <c r="F9" s="9"/>
      <c r="G9" s="9" t="s">
        <v>365</v>
      </c>
      <c r="H9" s="9"/>
      <c r="I9" s="10" t="s">
        <v>366</v>
      </c>
      <c r="J9" s="10"/>
      <c r="K9" s="10"/>
      <c r="L9" s="10"/>
      <c r="M9" s="10">
        <v>60</v>
      </c>
      <c r="N9" s="11">
        <v>19</v>
      </c>
      <c r="O9" s="11">
        <v>45</v>
      </c>
      <c r="P9" s="11">
        <v>50</v>
      </c>
      <c r="Q9" s="11">
        <v>55</v>
      </c>
      <c r="R9" s="12">
        <v>0.28000000000000003</v>
      </c>
      <c r="S9" s="11">
        <v>25</v>
      </c>
      <c r="T9" s="11">
        <v>26</v>
      </c>
      <c r="U9" s="11">
        <v>6</v>
      </c>
      <c r="V9" s="11"/>
      <c r="W9" s="11"/>
      <c r="X9" s="11"/>
      <c r="Y9" s="12"/>
      <c r="Z9" s="8"/>
      <c r="AA9" s="8"/>
      <c r="AB9" s="8"/>
      <c r="AC9" s="8"/>
      <c r="AD9" s="8">
        <v>63014000</v>
      </c>
      <c r="AE9" s="9" t="s">
        <v>91</v>
      </c>
      <c r="AF9" s="8"/>
      <c r="AG9" s="8">
        <v>100</v>
      </c>
      <c r="AH9" s="72">
        <v>2.95</v>
      </c>
      <c r="AI9" s="13" t="s">
        <v>57</v>
      </c>
      <c r="AJ9" s="13" t="s">
        <v>92</v>
      </c>
      <c r="AK9" s="13" t="s">
        <v>88</v>
      </c>
      <c r="AL9" s="13"/>
      <c r="AM9" s="9" t="s">
        <v>93</v>
      </c>
      <c r="AN9" s="9" t="s">
        <v>122</v>
      </c>
      <c r="AO9" s="9"/>
      <c r="AP9" s="9"/>
      <c r="AQ9" s="9"/>
      <c r="AR9" s="9" t="s">
        <v>366</v>
      </c>
      <c r="AS9" s="9" t="s">
        <v>366</v>
      </c>
      <c r="AT9" s="9" t="s">
        <v>366</v>
      </c>
      <c r="AU9" s="9"/>
      <c r="AV9" s="9" t="s">
        <v>366</v>
      </c>
      <c r="AW9" s="9" t="s">
        <v>366</v>
      </c>
      <c r="AX9" s="9" t="s">
        <v>366</v>
      </c>
      <c r="AY9" s="9"/>
      <c r="AZ9" s="9" t="s">
        <v>366</v>
      </c>
      <c r="BA9" s="9" t="s">
        <v>366</v>
      </c>
      <c r="BB9" s="9" t="s">
        <v>366</v>
      </c>
    </row>
    <row r="10" spans="1:55" x14ac:dyDescent="0.4">
      <c r="A10" s="59">
        <f t="shared" si="1"/>
        <v>8720618229946</v>
      </c>
      <c r="B10" s="8" t="s">
        <v>55</v>
      </c>
      <c r="C10" s="8" t="s">
        <v>367</v>
      </c>
      <c r="D10" s="9"/>
      <c r="E10" s="10">
        <v>8720618229946</v>
      </c>
      <c r="F10" s="9"/>
      <c r="G10" s="9"/>
      <c r="H10" s="9"/>
      <c r="I10" s="10">
        <v>2950027619786</v>
      </c>
      <c r="J10" s="10"/>
      <c r="K10" s="10"/>
      <c r="L10" s="10"/>
      <c r="M10" s="10">
        <v>13</v>
      </c>
      <c r="N10" s="11">
        <v>11.3</v>
      </c>
      <c r="O10" s="11">
        <v>26</v>
      </c>
      <c r="P10" s="11">
        <v>44</v>
      </c>
      <c r="Q10" s="11">
        <v>39.5</v>
      </c>
      <c r="R10" s="12">
        <v>0.8</v>
      </c>
      <c r="S10" s="11">
        <v>24</v>
      </c>
      <c r="T10" s="11">
        <v>36.5</v>
      </c>
      <c r="U10" s="11">
        <v>2.7</v>
      </c>
      <c r="V10" s="11">
        <v>35</v>
      </c>
      <c r="W10" s="11">
        <v>18</v>
      </c>
      <c r="X10" s="11">
        <v>18</v>
      </c>
      <c r="Y10" s="12"/>
      <c r="Z10" s="8"/>
      <c r="AA10" s="8">
        <v>4421999999</v>
      </c>
      <c r="AB10" s="8"/>
      <c r="AC10" s="8"/>
      <c r="AD10" s="8">
        <v>4421999090</v>
      </c>
      <c r="AE10" s="9" t="s">
        <v>182</v>
      </c>
      <c r="AF10" s="8"/>
      <c r="AG10" s="8">
        <v>100</v>
      </c>
      <c r="AH10" s="72">
        <v>5.15</v>
      </c>
      <c r="AI10" s="13" t="s">
        <v>57</v>
      </c>
      <c r="AJ10" s="13" t="s">
        <v>183</v>
      </c>
      <c r="AK10" s="13" t="s">
        <v>184</v>
      </c>
      <c r="AL10" s="13"/>
      <c r="AM10" s="9"/>
      <c r="AN10" s="9" t="s">
        <v>185</v>
      </c>
      <c r="AO10" s="9" t="s">
        <v>58</v>
      </c>
      <c r="AP10" s="9" t="s">
        <v>59</v>
      </c>
      <c r="AQ10" s="9"/>
      <c r="AR10" s="9"/>
      <c r="AS10" s="9"/>
      <c r="AT10" s="9"/>
      <c r="AU10" s="9"/>
      <c r="AV10" s="9"/>
      <c r="AW10" s="9"/>
      <c r="AX10" s="9"/>
      <c r="AY10" s="9"/>
      <c r="AZ10" s="9"/>
      <c r="BA10" s="9"/>
      <c r="BB10" s="9"/>
    </row>
    <row r="11" spans="1:55" x14ac:dyDescent="0.4">
      <c r="A11" s="59">
        <f t="shared" si="1"/>
        <v>8720618229953</v>
      </c>
      <c r="B11" s="8" t="s">
        <v>55</v>
      </c>
      <c r="C11" s="8" t="s">
        <v>368</v>
      </c>
      <c r="D11" s="9"/>
      <c r="E11" s="10">
        <v>8720618229953</v>
      </c>
      <c r="F11" s="9"/>
      <c r="G11" s="9"/>
      <c r="H11" s="9"/>
      <c r="I11" s="10">
        <v>2950027619809</v>
      </c>
      <c r="J11" s="10"/>
      <c r="K11" s="10"/>
      <c r="L11" s="10"/>
      <c r="M11" s="10">
        <v>13</v>
      </c>
      <c r="N11" s="11">
        <v>11.3</v>
      </c>
      <c r="O11" s="11">
        <v>26</v>
      </c>
      <c r="P11" s="11">
        <v>44</v>
      </c>
      <c r="Q11" s="11">
        <v>39.5</v>
      </c>
      <c r="R11" s="12">
        <v>0.8</v>
      </c>
      <c r="S11" s="11">
        <v>24</v>
      </c>
      <c r="T11" s="11">
        <v>36.5</v>
      </c>
      <c r="U11" s="11">
        <v>2.7</v>
      </c>
      <c r="V11" s="11">
        <v>35</v>
      </c>
      <c r="W11" s="11">
        <v>18</v>
      </c>
      <c r="X11" s="11">
        <v>18</v>
      </c>
      <c r="Y11" s="12"/>
      <c r="Z11" s="8"/>
      <c r="AA11" s="8">
        <v>3926909790</v>
      </c>
      <c r="AB11" s="8" t="s">
        <v>56</v>
      </c>
      <c r="AC11" s="8"/>
      <c r="AD11" s="8">
        <v>4421999090</v>
      </c>
      <c r="AE11" s="9" t="s">
        <v>182</v>
      </c>
      <c r="AF11" s="8"/>
      <c r="AG11" s="8">
        <v>100</v>
      </c>
      <c r="AH11" s="72">
        <v>5.15</v>
      </c>
      <c r="AI11" s="13" t="s">
        <v>57</v>
      </c>
      <c r="AJ11" s="13" t="s">
        <v>183</v>
      </c>
      <c r="AK11" s="13" t="s">
        <v>184</v>
      </c>
      <c r="AL11" s="13"/>
      <c r="AM11" s="9"/>
      <c r="AN11" s="9" t="s">
        <v>185</v>
      </c>
      <c r="AO11" s="9" t="s">
        <v>58</v>
      </c>
      <c r="AP11" s="9" t="s">
        <v>59</v>
      </c>
      <c r="AQ11" s="9"/>
      <c r="AR11" s="9"/>
      <c r="AS11" s="9"/>
      <c r="AT11" s="9"/>
      <c r="AU11" s="9"/>
      <c r="AV11" s="9"/>
      <c r="AW11" s="9"/>
      <c r="AX11" s="9"/>
      <c r="AY11" s="9"/>
      <c r="AZ11" s="9"/>
      <c r="BA11" s="9"/>
      <c r="BB11" s="9"/>
    </row>
    <row r="12" spans="1:55" x14ac:dyDescent="0.4">
      <c r="A12" s="59">
        <f t="shared" ref="A12:A27" si="2">IF(B12="AMZ",D12,E12)</f>
        <v>0</v>
      </c>
      <c r="B12" s="9"/>
      <c r="C12" s="9"/>
      <c r="D12" s="9"/>
      <c r="E12" s="10"/>
      <c r="F12" s="9"/>
      <c r="I12" s="10"/>
      <c r="J12" s="10"/>
      <c r="K12" s="10"/>
      <c r="L12" s="10"/>
      <c r="M12" s="10"/>
      <c r="N12" s="11"/>
      <c r="O12" s="11"/>
      <c r="P12" s="11"/>
      <c r="Q12" s="11"/>
      <c r="R12" s="12"/>
      <c r="S12" s="11"/>
      <c r="T12" s="11"/>
      <c r="U12" s="11"/>
      <c r="V12" s="11"/>
      <c r="W12" s="11"/>
      <c r="X12" s="11"/>
      <c r="Y12" s="12"/>
      <c r="Z12" s="8"/>
      <c r="AA12" s="8"/>
      <c r="AB12" s="8"/>
      <c r="AC12" s="8"/>
      <c r="AD12" s="8"/>
      <c r="AE12" s="9"/>
      <c r="AF12" s="8"/>
      <c r="AG12" s="8"/>
      <c r="AH12" s="72"/>
      <c r="AI12" s="13"/>
      <c r="AJ12" s="13"/>
      <c r="AK12" s="13"/>
      <c r="AL12" s="13"/>
      <c r="AM12" s="9"/>
      <c r="AN12" s="9"/>
      <c r="AO12" s="9"/>
      <c r="AP12" s="9"/>
      <c r="AQ12" s="9"/>
      <c r="AR12" s="9"/>
      <c r="AS12" s="9"/>
      <c r="AT12" s="9"/>
      <c r="AU12" s="9"/>
      <c r="AV12" s="9"/>
      <c r="AW12" s="9"/>
      <c r="AX12" s="9"/>
      <c r="AY12" s="9"/>
      <c r="AZ12" s="9"/>
      <c r="BA12" s="9"/>
      <c r="BB12" s="9"/>
    </row>
    <row r="13" spans="1:55" x14ac:dyDescent="0.4">
      <c r="A13" s="59">
        <f t="shared" si="2"/>
        <v>0</v>
      </c>
      <c r="B13" s="9"/>
      <c r="C13" s="9"/>
      <c r="D13" s="9"/>
      <c r="E13" s="10"/>
      <c r="F13" s="9"/>
      <c r="I13" s="10"/>
      <c r="J13" s="10"/>
      <c r="K13" s="10"/>
      <c r="L13" s="10"/>
      <c r="M13" s="10"/>
      <c r="N13" s="11"/>
      <c r="O13" s="11"/>
      <c r="P13" s="11"/>
      <c r="Q13" s="11"/>
      <c r="R13" s="12"/>
      <c r="S13" s="11"/>
      <c r="T13" s="11"/>
      <c r="U13" s="11"/>
      <c r="V13" s="11"/>
      <c r="W13" s="11"/>
      <c r="X13" s="11"/>
      <c r="Y13" s="12"/>
      <c r="Z13" s="8"/>
      <c r="AA13" s="8"/>
      <c r="AB13" s="8"/>
      <c r="AC13" s="8"/>
      <c r="AD13" s="8"/>
      <c r="AE13" s="9"/>
      <c r="AF13" s="8"/>
      <c r="AG13" s="8"/>
      <c r="AH13" s="72"/>
      <c r="AI13" s="13"/>
      <c r="AJ13" s="13"/>
      <c r="AK13" s="13"/>
      <c r="AL13" s="13"/>
      <c r="AM13" s="9"/>
      <c r="AN13" s="9"/>
      <c r="AO13" s="9"/>
      <c r="AP13" s="9"/>
      <c r="AQ13" s="9"/>
      <c r="AR13" s="9"/>
      <c r="AS13" s="9"/>
      <c r="AT13" s="9"/>
      <c r="AU13" s="9"/>
      <c r="AV13" s="9"/>
      <c r="AW13" s="9"/>
      <c r="AX13" s="9"/>
      <c r="AY13" s="9"/>
      <c r="AZ13" s="9"/>
      <c r="BA13" s="9"/>
      <c r="BB13" s="9"/>
    </row>
    <row r="14" spans="1:55" x14ac:dyDescent="0.4">
      <c r="A14" s="59">
        <f t="shared" si="2"/>
        <v>0</v>
      </c>
      <c r="B14" s="9"/>
      <c r="C14" s="9"/>
      <c r="D14" s="9"/>
      <c r="E14" s="10"/>
      <c r="F14" s="9"/>
      <c r="I14" s="10"/>
      <c r="J14" s="10"/>
      <c r="K14" s="10"/>
      <c r="L14" s="10"/>
      <c r="M14" s="10"/>
      <c r="N14" s="11"/>
      <c r="O14" s="11"/>
      <c r="P14" s="11"/>
      <c r="Q14" s="11"/>
      <c r="R14" s="12"/>
      <c r="S14" s="11"/>
      <c r="T14" s="11"/>
      <c r="U14" s="11"/>
      <c r="V14" s="11"/>
      <c r="W14" s="11"/>
      <c r="X14" s="11"/>
      <c r="Y14" s="12"/>
      <c r="Z14" s="8"/>
      <c r="AA14" s="8"/>
      <c r="AB14" s="8"/>
      <c r="AC14" s="8"/>
      <c r="AD14" s="8"/>
      <c r="AE14" s="9"/>
      <c r="AF14" s="8"/>
      <c r="AG14" s="8"/>
      <c r="AH14" s="72"/>
      <c r="AI14" s="13"/>
      <c r="AJ14" s="13"/>
      <c r="AK14" s="13"/>
      <c r="AL14" s="13"/>
      <c r="AM14" s="9"/>
      <c r="AN14" s="9"/>
      <c r="AO14" s="9"/>
      <c r="AP14" s="9"/>
      <c r="AQ14" s="9"/>
      <c r="AR14" s="9"/>
      <c r="AS14" s="9"/>
      <c r="AT14" s="9"/>
      <c r="AU14" s="9"/>
      <c r="AV14" s="9"/>
      <c r="AW14" s="9"/>
      <c r="AX14" s="9"/>
      <c r="AY14" s="9"/>
      <c r="AZ14" s="9"/>
      <c r="BA14" s="9"/>
      <c r="BB14" s="9"/>
    </row>
    <row r="15" spans="1:55" x14ac:dyDescent="0.4">
      <c r="A15" s="59">
        <f t="shared" si="2"/>
        <v>0</v>
      </c>
      <c r="B15" s="9"/>
      <c r="C15" s="9"/>
      <c r="D15" s="9"/>
      <c r="E15" s="10"/>
      <c r="F15" s="9"/>
      <c r="I15" s="10"/>
      <c r="J15" s="10"/>
      <c r="K15" s="10"/>
      <c r="L15" s="10"/>
      <c r="M15" s="10"/>
      <c r="N15" s="11"/>
      <c r="O15" s="11"/>
      <c r="P15" s="11"/>
      <c r="Q15" s="11"/>
      <c r="R15" s="12"/>
      <c r="S15" s="11"/>
      <c r="T15" s="11"/>
      <c r="U15" s="11"/>
      <c r="V15" s="11"/>
      <c r="W15" s="11"/>
      <c r="X15" s="11"/>
      <c r="Y15" s="12"/>
      <c r="Z15" s="8"/>
      <c r="AA15" s="8"/>
      <c r="AB15" s="8"/>
      <c r="AC15" s="8"/>
      <c r="AD15" s="8"/>
      <c r="AE15" s="9"/>
      <c r="AF15" s="8"/>
      <c r="AG15" s="8"/>
      <c r="AH15" s="72"/>
      <c r="AI15" s="13"/>
      <c r="AJ15" s="13"/>
      <c r="AK15" s="13"/>
      <c r="AL15" s="13"/>
      <c r="AM15" s="9"/>
      <c r="AN15" s="9"/>
      <c r="AO15" s="9"/>
      <c r="AP15" s="9"/>
      <c r="AQ15" s="9"/>
      <c r="AR15" s="9"/>
      <c r="AS15" s="9"/>
      <c r="AT15" s="9"/>
      <c r="AU15" s="9"/>
      <c r="AV15" s="9"/>
      <c r="AW15" s="9"/>
      <c r="AX15" s="9"/>
      <c r="AY15" s="9"/>
      <c r="AZ15" s="9"/>
      <c r="BA15" s="9"/>
      <c r="BB15" s="9"/>
    </row>
    <row r="16" spans="1:55" x14ac:dyDescent="0.4">
      <c r="A16" s="59">
        <f t="shared" si="2"/>
        <v>0</v>
      </c>
      <c r="B16" s="9"/>
      <c r="C16" s="9"/>
      <c r="D16" s="9"/>
      <c r="E16" s="10"/>
      <c r="F16" s="9"/>
      <c r="I16" s="10"/>
      <c r="J16" s="10"/>
      <c r="K16" s="10"/>
      <c r="L16" s="10"/>
      <c r="M16" s="10"/>
      <c r="N16" s="11"/>
      <c r="O16" s="11"/>
      <c r="P16" s="11"/>
      <c r="Q16" s="11"/>
      <c r="R16" s="12"/>
      <c r="S16" s="11"/>
      <c r="T16" s="11"/>
      <c r="U16" s="11"/>
      <c r="V16" s="11"/>
      <c r="W16" s="11"/>
      <c r="X16" s="11"/>
      <c r="Y16" s="12"/>
      <c r="Z16" s="8"/>
      <c r="AA16" s="8"/>
      <c r="AB16" s="8"/>
      <c r="AC16" s="8"/>
      <c r="AD16" s="8"/>
      <c r="AE16" s="9"/>
      <c r="AF16" s="8"/>
      <c r="AG16" s="8"/>
      <c r="AH16" s="72"/>
      <c r="AI16" s="13"/>
      <c r="AJ16" s="13"/>
      <c r="AK16" s="13"/>
      <c r="AL16" s="13"/>
      <c r="AM16" s="9"/>
      <c r="AN16" s="9"/>
      <c r="AO16" s="9"/>
      <c r="AP16" s="9"/>
      <c r="AQ16" s="9"/>
      <c r="AR16" s="9"/>
      <c r="AS16" s="9"/>
      <c r="AT16" s="9"/>
      <c r="AU16" s="9"/>
      <c r="AV16" s="9"/>
      <c r="AW16" s="9"/>
      <c r="AX16" s="9"/>
      <c r="AY16" s="9"/>
      <c r="AZ16" s="9"/>
      <c r="BA16" s="9"/>
      <c r="BB16" s="9"/>
    </row>
    <row r="17" spans="1:54" x14ac:dyDescent="0.4">
      <c r="A17" s="59">
        <f t="shared" si="2"/>
        <v>0</v>
      </c>
      <c r="B17" s="9"/>
      <c r="C17" s="9"/>
      <c r="D17" s="9"/>
      <c r="E17" s="10"/>
      <c r="F17" s="9"/>
      <c r="I17" s="10"/>
      <c r="J17" s="10"/>
      <c r="K17" s="10"/>
      <c r="L17" s="10"/>
      <c r="M17" s="10"/>
      <c r="N17" s="11"/>
      <c r="O17" s="11"/>
      <c r="P17" s="11"/>
      <c r="Q17" s="11"/>
      <c r="R17" s="12"/>
      <c r="S17" s="11"/>
      <c r="T17" s="11"/>
      <c r="U17" s="11"/>
      <c r="V17" s="11"/>
      <c r="W17" s="11"/>
      <c r="X17" s="11"/>
      <c r="Y17" s="12"/>
      <c r="Z17" s="8"/>
      <c r="AA17" s="8"/>
      <c r="AB17" s="8"/>
      <c r="AC17" s="8"/>
      <c r="AD17" s="8"/>
      <c r="AE17" s="9"/>
      <c r="AF17" s="8"/>
      <c r="AG17" s="8"/>
      <c r="AH17" s="72"/>
      <c r="AI17" s="13"/>
      <c r="AJ17" s="13"/>
      <c r="AK17" s="13"/>
      <c r="AL17" s="13"/>
      <c r="AM17" s="9"/>
      <c r="AN17" s="9"/>
      <c r="AO17" s="9"/>
      <c r="AP17" s="9"/>
      <c r="AQ17" s="9"/>
      <c r="AR17" s="9"/>
      <c r="AS17" s="9"/>
      <c r="AT17" s="9"/>
      <c r="AU17" s="9"/>
      <c r="AV17" s="9"/>
      <c r="AW17" s="9"/>
      <c r="AX17" s="9"/>
      <c r="AY17" s="9"/>
      <c r="AZ17" s="9"/>
      <c r="BA17" s="9"/>
      <c r="BB17" s="9"/>
    </row>
    <row r="18" spans="1:54" x14ac:dyDescent="0.4">
      <c r="A18" s="59">
        <f t="shared" si="2"/>
        <v>0</v>
      </c>
      <c r="B18" s="9"/>
      <c r="C18" s="9"/>
      <c r="D18" s="9"/>
      <c r="E18" s="10"/>
      <c r="F18" s="9"/>
      <c r="I18" s="10"/>
      <c r="J18" s="10"/>
      <c r="K18" s="10"/>
      <c r="L18" s="10"/>
      <c r="M18" s="10"/>
      <c r="N18" s="11"/>
      <c r="O18" s="11"/>
      <c r="P18" s="11"/>
      <c r="Q18" s="11"/>
      <c r="R18" s="12"/>
      <c r="S18" s="11"/>
      <c r="T18" s="11"/>
      <c r="U18" s="11"/>
      <c r="V18" s="11"/>
      <c r="W18" s="11"/>
      <c r="X18" s="11"/>
      <c r="Y18" s="12"/>
      <c r="Z18" s="8"/>
      <c r="AA18" s="8"/>
      <c r="AB18" s="8"/>
      <c r="AC18" s="8"/>
      <c r="AD18" s="8"/>
      <c r="AE18" s="9"/>
      <c r="AF18" s="8"/>
      <c r="AG18" s="8"/>
      <c r="AH18" s="72"/>
      <c r="AI18" s="13"/>
      <c r="AJ18" s="13"/>
      <c r="AK18" s="13"/>
      <c r="AL18" s="13"/>
      <c r="AM18" s="9"/>
      <c r="AN18" s="9"/>
      <c r="AO18" s="9"/>
      <c r="AP18" s="9"/>
      <c r="AQ18" s="9"/>
      <c r="AR18" s="9"/>
      <c r="AS18" s="9"/>
      <c r="AT18" s="9"/>
      <c r="AU18" s="9"/>
      <c r="AV18" s="9"/>
      <c r="AW18" s="9"/>
      <c r="AX18" s="9"/>
      <c r="AY18" s="9"/>
      <c r="AZ18" s="9"/>
      <c r="BA18" s="9"/>
      <c r="BB18" s="9"/>
    </row>
    <row r="19" spans="1:54" x14ac:dyDescent="0.4">
      <c r="A19" s="59">
        <f t="shared" si="2"/>
        <v>0</v>
      </c>
      <c r="B19" s="9"/>
      <c r="C19" s="9"/>
      <c r="D19" s="9"/>
      <c r="E19" s="10"/>
      <c r="F19" s="9"/>
      <c r="I19" s="10"/>
      <c r="J19" s="10"/>
      <c r="K19" s="10"/>
      <c r="L19" s="10"/>
      <c r="M19" s="10"/>
      <c r="N19" s="11"/>
      <c r="O19" s="11"/>
      <c r="P19" s="11"/>
      <c r="Q19" s="11"/>
      <c r="R19" s="12"/>
      <c r="S19" s="11"/>
      <c r="T19" s="11"/>
      <c r="U19" s="11"/>
      <c r="V19" s="11"/>
      <c r="W19" s="11"/>
      <c r="X19" s="11"/>
      <c r="Y19" s="12"/>
      <c r="Z19" s="8"/>
      <c r="AA19" s="8"/>
      <c r="AB19" s="8"/>
      <c r="AC19" s="8"/>
      <c r="AD19" s="8"/>
      <c r="AE19" s="9"/>
      <c r="AF19" s="8"/>
      <c r="AG19" s="8"/>
      <c r="AH19" s="72"/>
      <c r="AI19" s="13"/>
      <c r="AJ19" s="13"/>
      <c r="AK19" s="13"/>
      <c r="AL19" s="13"/>
      <c r="AM19" s="9"/>
      <c r="AN19" s="9"/>
      <c r="AO19" s="9"/>
      <c r="AP19" s="9"/>
      <c r="AQ19" s="9"/>
      <c r="AR19" s="9"/>
      <c r="AS19" s="9"/>
      <c r="AT19" s="9"/>
      <c r="AU19" s="9"/>
      <c r="AV19" s="9"/>
      <c r="AW19" s="9"/>
      <c r="AX19" s="9"/>
      <c r="AY19" s="9"/>
      <c r="AZ19" s="9"/>
      <c r="BA19" s="9"/>
      <c r="BB19" s="9"/>
    </row>
    <row r="20" spans="1:54" x14ac:dyDescent="0.4">
      <c r="A20" s="59">
        <f t="shared" si="2"/>
        <v>0</v>
      </c>
      <c r="B20" s="9"/>
      <c r="C20" s="9"/>
      <c r="D20" s="9"/>
      <c r="E20" s="10"/>
      <c r="F20" s="9"/>
      <c r="I20" s="10"/>
      <c r="J20" s="10"/>
      <c r="K20" s="10"/>
      <c r="L20" s="10"/>
      <c r="M20" s="10"/>
      <c r="N20" s="11"/>
      <c r="O20" s="11"/>
      <c r="P20" s="11"/>
      <c r="Q20" s="11"/>
      <c r="R20" s="12"/>
      <c r="S20" s="11"/>
      <c r="T20" s="11"/>
      <c r="U20" s="11"/>
      <c r="V20" s="11"/>
      <c r="W20" s="11"/>
      <c r="X20" s="11"/>
      <c r="Y20" s="12"/>
      <c r="Z20" s="8"/>
      <c r="AA20" s="8"/>
      <c r="AB20" s="8"/>
      <c r="AC20" s="8"/>
      <c r="AD20" s="8"/>
      <c r="AE20" s="9"/>
      <c r="AF20" s="8"/>
      <c r="AG20" s="8"/>
      <c r="AH20" s="72"/>
      <c r="AI20" s="13"/>
      <c r="AJ20" s="13"/>
      <c r="AK20" s="13"/>
      <c r="AL20" s="13"/>
      <c r="AM20" s="9"/>
      <c r="AN20" s="9"/>
      <c r="AO20" s="9"/>
      <c r="AP20" s="9"/>
      <c r="AQ20" s="9"/>
      <c r="AR20" s="9"/>
      <c r="AS20" s="9"/>
      <c r="AT20" s="9"/>
      <c r="AU20" s="9"/>
      <c r="AV20" s="9"/>
      <c r="AW20" s="9"/>
      <c r="AX20" s="9"/>
      <c r="AY20" s="9"/>
      <c r="AZ20" s="9"/>
      <c r="BA20" s="9"/>
      <c r="BB20" s="9"/>
    </row>
    <row r="21" spans="1:54" x14ac:dyDescent="0.4">
      <c r="A21" s="59">
        <f t="shared" si="2"/>
        <v>0</v>
      </c>
      <c r="B21" s="9"/>
      <c r="C21" s="9"/>
      <c r="D21" s="9"/>
      <c r="E21" s="10"/>
      <c r="F21" s="9"/>
      <c r="I21" s="10"/>
      <c r="J21" s="10"/>
      <c r="K21" s="10"/>
      <c r="L21" s="10"/>
      <c r="M21" s="10"/>
      <c r="N21" s="11"/>
      <c r="O21" s="11"/>
      <c r="P21" s="11"/>
      <c r="Q21" s="11"/>
      <c r="R21" s="12"/>
      <c r="S21" s="11"/>
      <c r="T21" s="11"/>
      <c r="U21" s="11"/>
      <c r="V21" s="11"/>
      <c r="W21" s="11"/>
      <c r="X21" s="11"/>
      <c r="Y21" s="12"/>
      <c r="Z21" s="8"/>
      <c r="AA21" s="8"/>
      <c r="AB21" s="8"/>
      <c r="AC21" s="8"/>
      <c r="AD21" s="8"/>
      <c r="AE21" s="9"/>
      <c r="AF21" s="8"/>
      <c r="AG21" s="8"/>
      <c r="AH21" s="72"/>
      <c r="AI21" s="13"/>
      <c r="AJ21" s="13"/>
      <c r="AK21" s="13"/>
      <c r="AL21" s="13"/>
      <c r="AM21" s="9"/>
      <c r="AN21" s="9"/>
      <c r="AO21" s="9"/>
      <c r="AP21" s="9"/>
      <c r="AQ21" s="9"/>
      <c r="AR21" s="9"/>
      <c r="AS21" s="9"/>
      <c r="AT21" s="9"/>
      <c r="AU21" s="9"/>
      <c r="AV21" s="9"/>
      <c r="AW21" s="9"/>
      <c r="AX21" s="9"/>
      <c r="AY21" s="9"/>
      <c r="AZ21" s="9"/>
      <c r="BA21" s="9"/>
      <c r="BB21" s="9"/>
    </row>
    <row r="22" spans="1:54" x14ac:dyDescent="0.4">
      <c r="A22" s="59">
        <f t="shared" si="2"/>
        <v>0</v>
      </c>
      <c r="B22" s="9"/>
      <c r="C22" s="9"/>
      <c r="D22" s="9"/>
      <c r="E22" s="10"/>
      <c r="F22" s="9"/>
      <c r="I22" s="10"/>
      <c r="J22" s="10"/>
      <c r="K22" s="10"/>
      <c r="L22" s="10"/>
      <c r="M22" s="10"/>
      <c r="N22" s="11"/>
      <c r="O22" s="11"/>
      <c r="P22" s="11"/>
      <c r="Q22" s="11"/>
      <c r="R22" s="12"/>
      <c r="S22" s="11"/>
      <c r="T22" s="11"/>
      <c r="U22" s="11"/>
      <c r="V22" s="11"/>
      <c r="W22" s="11"/>
      <c r="X22" s="11"/>
      <c r="Y22" s="12"/>
      <c r="Z22" s="8"/>
      <c r="AA22" s="8"/>
      <c r="AB22" s="8"/>
      <c r="AC22" s="8"/>
      <c r="AD22" s="8"/>
      <c r="AE22" s="9"/>
      <c r="AF22" s="8"/>
      <c r="AG22" s="8"/>
      <c r="AH22" s="72"/>
      <c r="AI22" s="13"/>
      <c r="AJ22" s="13"/>
      <c r="AK22" s="13"/>
      <c r="AL22" s="13"/>
      <c r="AM22" s="9"/>
      <c r="AN22" s="9"/>
      <c r="AO22" s="9"/>
      <c r="AP22" s="9"/>
      <c r="AQ22" s="9"/>
      <c r="AR22" s="9"/>
      <c r="AS22" s="9"/>
      <c r="AT22" s="9"/>
      <c r="AU22" s="9"/>
      <c r="AV22" s="9"/>
      <c r="AW22" s="9"/>
      <c r="AX22" s="9"/>
      <c r="AY22" s="9"/>
      <c r="AZ22" s="9"/>
      <c r="BA22" s="9"/>
      <c r="BB22" s="9"/>
    </row>
    <row r="23" spans="1:54" x14ac:dyDescent="0.4">
      <c r="A23" s="59">
        <f t="shared" si="2"/>
        <v>0</v>
      </c>
      <c r="B23" s="9"/>
      <c r="C23" s="9"/>
      <c r="D23" s="9"/>
      <c r="E23" s="10"/>
      <c r="F23" s="9"/>
      <c r="I23" s="10"/>
      <c r="J23" s="10"/>
      <c r="K23" s="10"/>
      <c r="L23" s="10"/>
      <c r="M23" s="10"/>
      <c r="N23" s="11"/>
      <c r="O23" s="11"/>
      <c r="P23" s="11"/>
      <c r="Q23" s="11"/>
      <c r="R23" s="12"/>
      <c r="S23" s="11"/>
      <c r="T23" s="11"/>
      <c r="U23" s="11"/>
      <c r="V23" s="11"/>
      <c r="W23" s="11"/>
      <c r="X23" s="11"/>
      <c r="Y23" s="12"/>
      <c r="Z23" s="8"/>
      <c r="AA23" s="8"/>
      <c r="AB23" s="8"/>
      <c r="AC23" s="8"/>
      <c r="AD23" s="8"/>
      <c r="AE23" s="9"/>
      <c r="AF23" s="8"/>
      <c r="AG23" s="8"/>
      <c r="AH23" s="72"/>
      <c r="AI23" s="13"/>
      <c r="AJ23" s="13"/>
      <c r="AK23" s="13"/>
      <c r="AL23" s="13"/>
      <c r="AM23" s="9"/>
      <c r="AN23" s="9"/>
      <c r="AO23" s="9"/>
      <c r="AP23" s="9"/>
      <c r="AQ23" s="9"/>
      <c r="AR23" s="9"/>
      <c r="AS23" s="9"/>
      <c r="AT23" s="9"/>
      <c r="AU23" s="9"/>
      <c r="AV23" s="9"/>
      <c r="AW23" s="9"/>
      <c r="AX23" s="9"/>
      <c r="AY23" s="9"/>
      <c r="AZ23" s="9"/>
      <c r="BA23" s="9"/>
      <c r="BB23" s="9"/>
    </row>
    <row r="24" spans="1:54" x14ac:dyDescent="0.4">
      <c r="A24" s="59">
        <f t="shared" si="2"/>
        <v>0</v>
      </c>
      <c r="B24" s="9"/>
      <c r="C24" s="9"/>
      <c r="D24" s="9"/>
      <c r="E24" s="10"/>
      <c r="F24" s="9"/>
      <c r="I24" s="10"/>
      <c r="J24" s="10"/>
      <c r="K24" s="10"/>
      <c r="L24" s="10"/>
      <c r="M24" s="10"/>
      <c r="N24" s="11"/>
      <c r="O24" s="11"/>
      <c r="P24" s="11"/>
      <c r="Q24" s="11"/>
      <c r="R24" s="12"/>
      <c r="S24" s="11"/>
      <c r="T24" s="11"/>
      <c r="U24" s="11"/>
      <c r="V24" s="11"/>
      <c r="W24" s="11"/>
      <c r="X24" s="11"/>
      <c r="Y24" s="12"/>
      <c r="Z24" s="8"/>
      <c r="AA24" s="8"/>
      <c r="AB24" s="8"/>
      <c r="AC24" s="8"/>
      <c r="AD24" s="8"/>
      <c r="AE24" s="9"/>
      <c r="AF24" s="8"/>
      <c r="AG24" s="8"/>
      <c r="AH24" s="72"/>
      <c r="AI24" s="13"/>
      <c r="AJ24" s="13"/>
      <c r="AK24" s="13"/>
      <c r="AL24" s="13"/>
      <c r="AM24" s="9"/>
      <c r="AN24" s="9"/>
      <c r="AO24" s="9"/>
      <c r="AP24" s="9"/>
      <c r="AQ24" s="9"/>
      <c r="AR24" s="9"/>
      <c r="AS24" s="9"/>
      <c r="AT24" s="9"/>
      <c r="AU24" s="9"/>
      <c r="AV24" s="9"/>
      <c r="AW24" s="9"/>
      <c r="AX24" s="9"/>
      <c r="AY24" s="9"/>
      <c r="AZ24" s="9"/>
      <c r="BA24" s="9"/>
      <c r="BB24" s="9"/>
    </row>
    <row r="25" spans="1:54" x14ac:dyDescent="0.4">
      <c r="A25" s="59">
        <f t="shared" si="2"/>
        <v>0</v>
      </c>
      <c r="B25" s="9"/>
      <c r="C25" s="9"/>
      <c r="D25" s="9"/>
      <c r="E25" s="10"/>
      <c r="F25" s="9"/>
      <c r="I25" s="10"/>
      <c r="J25" s="10"/>
      <c r="K25" s="10"/>
      <c r="L25" s="10"/>
      <c r="M25" s="10"/>
      <c r="N25" s="11"/>
      <c r="O25" s="11"/>
      <c r="P25" s="11"/>
      <c r="Q25" s="11"/>
      <c r="R25" s="12"/>
      <c r="S25" s="11"/>
      <c r="T25" s="11"/>
      <c r="U25" s="11"/>
      <c r="V25" s="11"/>
      <c r="W25" s="11"/>
      <c r="X25" s="11"/>
      <c r="Y25" s="12"/>
      <c r="Z25" s="8"/>
      <c r="AA25" s="8"/>
      <c r="AB25" s="8"/>
      <c r="AC25" s="8"/>
      <c r="AD25" s="8"/>
      <c r="AE25" s="9"/>
      <c r="AF25" s="8"/>
      <c r="AG25" s="8"/>
      <c r="AH25" s="72"/>
      <c r="AI25" s="13"/>
      <c r="AJ25" s="13"/>
      <c r="AK25" s="13"/>
      <c r="AL25" s="13"/>
      <c r="AM25" s="9"/>
      <c r="AN25" s="9"/>
      <c r="AO25" s="9"/>
      <c r="AP25" s="9"/>
      <c r="AQ25" s="9"/>
      <c r="AR25" s="9"/>
      <c r="AS25" s="9"/>
      <c r="AT25" s="9"/>
      <c r="AU25" s="9"/>
      <c r="AV25" s="9"/>
      <c r="AW25" s="9"/>
      <c r="AX25" s="9"/>
      <c r="AY25" s="9"/>
      <c r="AZ25" s="9"/>
      <c r="BA25" s="9"/>
      <c r="BB25" s="9"/>
    </row>
    <row r="26" spans="1:54" x14ac:dyDescent="0.4">
      <c r="A26" s="59">
        <f t="shared" si="2"/>
        <v>0</v>
      </c>
      <c r="B26" s="9"/>
      <c r="C26" s="9"/>
      <c r="D26" s="9"/>
      <c r="E26" s="10"/>
      <c r="F26" s="9"/>
      <c r="I26" s="10"/>
      <c r="J26" s="10"/>
      <c r="K26" s="10"/>
      <c r="L26" s="10"/>
      <c r="M26" s="10"/>
      <c r="N26" s="11"/>
      <c r="O26" s="11"/>
      <c r="P26" s="11"/>
      <c r="Q26" s="11"/>
      <c r="R26" s="12"/>
      <c r="S26" s="11"/>
      <c r="T26" s="11"/>
      <c r="U26" s="11"/>
      <c r="V26" s="11"/>
      <c r="W26" s="11"/>
      <c r="X26" s="11"/>
      <c r="Y26" s="12"/>
      <c r="Z26" s="8"/>
      <c r="AA26" s="8"/>
      <c r="AB26" s="8"/>
      <c r="AC26" s="8"/>
      <c r="AD26" s="8"/>
      <c r="AE26" s="9"/>
      <c r="AF26" s="8"/>
      <c r="AG26" s="8"/>
      <c r="AH26" s="72"/>
      <c r="AI26" s="13"/>
      <c r="AJ26" s="13"/>
      <c r="AK26" s="13"/>
      <c r="AL26" s="13"/>
      <c r="AM26" s="9"/>
      <c r="AN26" s="9"/>
      <c r="AO26" s="9"/>
      <c r="AP26" s="9"/>
      <c r="AQ26" s="9"/>
      <c r="AR26" s="9"/>
      <c r="AS26" s="9"/>
      <c r="AT26" s="9"/>
      <c r="AU26" s="9"/>
      <c r="AV26" s="9"/>
      <c r="AW26" s="9"/>
      <c r="AX26" s="9"/>
      <c r="AY26" s="9"/>
      <c r="AZ26" s="9"/>
      <c r="BA26" s="9"/>
      <c r="BB26" s="9"/>
    </row>
    <row r="27" spans="1:54" x14ac:dyDescent="0.4">
      <c r="A27" s="59">
        <f t="shared" si="2"/>
        <v>0</v>
      </c>
      <c r="B27" s="9"/>
      <c r="C27" s="9"/>
      <c r="D27" s="9"/>
      <c r="E27" s="10"/>
      <c r="F27" s="9"/>
      <c r="I27" s="10"/>
      <c r="J27" s="10"/>
      <c r="K27" s="10"/>
      <c r="L27" s="10"/>
      <c r="M27" s="10"/>
      <c r="N27" s="11"/>
      <c r="O27" s="11"/>
      <c r="P27" s="11"/>
      <c r="Q27" s="11"/>
      <c r="R27" s="12"/>
      <c r="S27" s="11"/>
      <c r="T27" s="11"/>
      <c r="U27" s="11"/>
      <c r="V27" s="11"/>
      <c r="W27" s="11"/>
      <c r="X27" s="11"/>
      <c r="Y27" s="12"/>
      <c r="Z27" s="8"/>
      <c r="AA27" s="8"/>
      <c r="AB27" s="8"/>
      <c r="AC27" s="8"/>
      <c r="AD27" s="8"/>
      <c r="AE27" s="9"/>
      <c r="AF27" s="8"/>
      <c r="AG27" s="8"/>
      <c r="AH27" s="72"/>
      <c r="AI27" s="13"/>
      <c r="AJ27" s="13"/>
      <c r="AK27" s="13"/>
      <c r="AL27" s="13"/>
      <c r="AM27" s="9"/>
      <c r="AN27" s="9"/>
      <c r="AO27" s="9"/>
      <c r="AP27" s="9"/>
      <c r="AQ27" s="9"/>
      <c r="AR27" s="9"/>
      <c r="AS27" s="9"/>
      <c r="AT27" s="9"/>
      <c r="AU27" s="9"/>
      <c r="AV27" s="9"/>
      <c r="AW27" s="9"/>
      <c r="AX27" s="9"/>
      <c r="AY27" s="9"/>
      <c r="AZ27" s="9"/>
      <c r="BA27" s="9"/>
      <c r="BB27" s="9"/>
    </row>
    <row r="28" spans="1:54" x14ac:dyDescent="0.4">
      <c r="A28" s="59">
        <f t="shared" ref="A28:A91" si="3">IF(B28="AMZ",D28,E28)</f>
        <v>0</v>
      </c>
      <c r="B28" s="9"/>
      <c r="C28" s="9"/>
      <c r="D28" s="9"/>
      <c r="E28" s="10"/>
      <c r="F28" s="9"/>
      <c r="I28" s="10"/>
      <c r="J28" s="10"/>
      <c r="K28" s="10"/>
      <c r="L28" s="10"/>
      <c r="M28" s="10"/>
      <c r="N28" s="11"/>
      <c r="O28" s="11"/>
      <c r="P28" s="11"/>
      <c r="Q28" s="11"/>
      <c r="R28" s="12"/>
      <c r="S28" s="11"/>
      <c r="T28" s="11"/>
      <c r="U28" s="11"/>
      <c r="V28" s="11"/>
      <c r="W28" s="11"/>
      <c r="X28" s="11"/>
      <c r="Y28" s="12"/>
      <c r="Z28" s="8"/>
      <c r="AA28" s="8"/>
      <c r="AB28" s="8"/>
      <c r="AC28" s="8"/>
      <c r="AD28" s="8"/>
      <c r="AE28" s="9"/>
      <c r="AF28" s="8"/>
      <c r="AG28" s="8"/>
      <c r="AH28" s="72"/>
      <c r="AI28" s="13"/>
      <c r="AJ28" s="13"/>
      <c r="AK28" s="13"/>
      <c r="AL28" s="13"/>
      <c r="AM28" s="9"/>
      <c r="AN28" s="9"/>
      <c r="AO28" s="9"/>
      <c r="AP28" s="9"/>
      <c r="AQ28" s="9"/>
      <c r="AR28" s="9"/>
      <c r="AS28" s="9"/>
      <c r="AT28" s="9"/>
      <c r="AU28" s="9"/>
      <c r="AV28" s="9"/>
      <c r="AW28" s="9"/>
      <c r="AX28" s="9"/>
      <c r="AY28" s="9"/>
      <c r="AZ28" s="9"/>
      <c r="BA28" s="9"/>
      <c r="BB28" s="9"/>
    </row>
    <row r="29" spans="1:54" x14ac:dyDescent="0.4">
      <c r="A29" s="59">
        <f t="shared" si="3"/>
        <v>0</v>
      </c>
      <c r="B29" s="9"/>
      <c r="C29" s="9"/>
      <c r="D29" s="9"/>
      <c r="E29" s="10"/>
      <c r="F29" s="9"/>
      <c r="I29" s="10"/>
      <c r="J29" s="10"/>
      <c r="K29" s="10"/>
      <c r="L29" s="10"/>
      <c r="M29" s="10"/>
      <c r="N29" s="11"/>
      <c r="O29" s="11"/>
      <c r="P29" s="11"/>
      <c r="Q29" s="11"/>
      <c r="R29" s="12"/>
      <c r="S29" s="11"/>
      <c r="T29" s="11"/>
      <c r="U29" s="11"/>
      <c r="V29" s="11"/>
      <c r="W29" s="11"/>
      <c r="X29" s="11"/>
      <c r="Y29" s="12"/>
      <c r="Z29" s="8"/>
      <c r="AA29" s="8"/>
      <c r="AB29" s="8"/>
      <c r="AC29" s="8"/>
      <c r="AD29" s="8"/>
      <c r="AE29" s="9"/>
      <c r="AF29" s="8"/>
      <c r="AG29" s="8"/>
      <c r="AH29" s="72"/>
      <c r="AI29" s="13"/>
      <c r="AJ29" s="13"/>
      <c r="AK29" s="13"/>
      <c r="AL29" s="13"/>
      <c r="AM29" s="9"/>
      <c r="AN29" s="9"/>
      <c r="AO29" s="9"/>
      <c r="AP29" s="9"/>
      <c r="AQ29" s="9"/>
      <c r="AR29" s="9"/>
      <c r="AS29" s="9"/>
      <c r="AT29" s="9"/>
      <c r="AU29" s="9"/>
      <c r="AV29" s="9"/>
      <c r="AW29" s="9"/>
      <c r="AX29" s="9"/>
      <c r="AY29" s="9"/>
      <c r="AZ29" s="9"/>
      <c r="BA29" s="9"/>
      <c r="BB29" s="9"/>
    </row>
    <row r="30" spans="1:54" x14ac:dyDescent="0.4">
      <c r="A30" s="59">
        <f t="shared" si="3"/>
        <v>0</v>
      </c>
      <c r="B30" s="9"/>
      <c r="C30" s="9"/>
      <c r="D30" s="9"/>
      <c r="E30" s="10"/>
      <c r="F30" s="9"/>
      <c r="I30" s="10"/>
      <c r="J30" s="10"/>
      <c r="K30" s="10"/>
      <c r="L30" s="10"/>
      <c r="M30" s="10"/>
      <c r="N30" s="11"/>
      <c r="O30" s="11"/>
      <c r="P30" s="11"/>
      <c r="Q30" s="11"/>
      <c r="R30" s="12"/>
      <c r="S30" s="11"/>
      <c r="T30" s="11"/>
      <c r="U30" s="11"/>
      <c r="V30" s="11"/>
      <c r="W30" s="11"/>
      <c r="X30" s="11"/>
      <c r="Y30" s="12"/>
      <c r="Z30" s="8"/>
      <c r="AA30" s="8"/>
      <c r="AB30" s="8"/>
      <c r="AC30" s="8"/>
      <c r="AD30" s="8"/>
      <c r="AE30" s="9"/>
      <c r="AF30" s="8"/>
      <c r="AG30" s="8"/>
      <c r="AH30" s="72"/>
      <c r="AI30" s="13"/>
      <c r="AJ30" s="13"/>
      <c r="AK30" s="13"/>
      <c r="AL30" s="13"/>
      <c r="AM30" s="9"/>
      <c r="AN30" s="9"/>
      <c r="AO30" s="9"/>
      <c r="AP30" s="9"/>
      <c r="AQ30" s="9"/>
      <c r="AR30" s="9"/>
      <c r="AS30" s="9"/>
      <c r="AT30" s="9"/>
      <c r="AU30" s="9"/>
      <c r="AV30" s="9"/>
      <c r="AW30" s="9"/>
      <c r="AX30" s="9"/>
      <c r="AY30" s="9"/>
      <c r="AZ30" s="9"/>
      <c r="BA30" s="9"/>
      <c r="BB30" s="9"/>
    </row>
    <row r="31" spans="1:54" x14ac:dyDescent="0.4">
      <c r="A31" s="59">
        <f t="shared" si="3"/>
        <v>0</v>
      </c>
      <c r="B31" s="9"/>
      <c r="C31" s="9"/>
      <c r="D31" s="9"/>
      <c r="E31" s="10"/>
      <c r="F31" s="9"/>
      <c r="I31" s="10"/>
      <c r="J31" s="10"/>
      <c r="K31" s="10"/>
      <c r="L31" s="10"/>
      <c r="M31" s="10"/>
      <c r="N31" s="11"/>
      <c r="O31" s="11"/>
      <c r="P31" s="11"/>
      <c r="Q31" s="11"/>
      <c r="R31" s="12"/>
      <c r="S31" s="11"/>
      <c r="T31" s="11"/>
      <c r="U31" s="11"/>
      <c r="V31" s="11"/>
      <c r="W31" s="11"/>
      <c r="X31" s="11"/>
      <c r="Y31" s="12"/>
      <c r="Z31" s="8"/>
      <c r="AA31" s="8"/>
      <c r="AB31" s="8"/>
      <c r="AC31" s="8"/>
      <c r="AD31" s="8"/>
      <c r="AE31" s="9"/>
      <c r="AF31" s="8"/>
      <c r="AG31" s="8"/>
      <c r="AH31" s="72"/>
      <c r="AI31" s="13"/>
      <c r="AJ31" s="13"/>
      <c r="AK31" s="13"/>
      <c r="AL31" s="13"/>
      <c r="AM31" s="9"/>
      <c r="AN31" s="9"/>
      <c r="AO31" s="9"/>
      <c r="AP31" s="9"/>
      <c r="AQ31" s="9"/>
      <c r="AR31" s="9"/>
      <c r="AS31" s="9"/>
      <c r="AT31" s="9"/>
      <c r="AU31" s="9"/>
      <c r="AV31" s="9"/>
      <c r="AW31" s="9"/>
      <c r="AX31" s="9"/>
      <c r="AY31" s="9"/>
      <c r="AZ31" s="9"/>
      <c r="BA31" s="9"/>
      <c r="BB31" s="9"/>
    </row>
    <row r="32" spans="1:54" x14ac:dyDescent="0.4">
      <c r="A32" s="59">
        <f t="shared" si="3"/>
        <v>0</v>
      </c>
      <c r="B32" s="9"/>
      <c r="C32" s="9"/>
      <c r="D32" s="9"/>
      <c r="E32" s="10"/>
      <c r="F32" s="9"/>
      <c r="I32" s="10"/>
      <c r="J32" s="10"/>
      <c r="K32" s="10"/>
      <c r="L32" s="10"/>
      <c r="M32" s="10"/>
      <c r="N32" s="11"/>
      <c r="O32" s="11"/>
      <c r="P32" s="11"/>
      <c r="Q32" s="11"/>
      <c r="R32" s="12"/>
      <c r="S32" s="11"/>
      <c r="T32" s="11"/>
      <c r="U32" s="11"/>
      <c r="V32" s="11"/>
      <c r="W32" s="11"/>
      <c r="X32" s="11"/>
      <c r="Y32" s="12"/>
      <c r="Z32" s="8"/>
      <c r="AA32" s="8"/>
      <c r="AB32" s="8"/>
      <c r="AC32" s="8"/>
      <c r="AD32" s="8"/>
      <c r="AE32" s="9"/>
      <c r="AF32" s="8"/>
      <c r="AG32" s="8"/>
      <c r="AH32" s="72"/>
      <c r="AI32" s="13"/>
      <c r="AJ32" s="13"/>
      <c r="AK32" s="13"/>
      <c r="AL32" s="13"/>
      <c r="AM32" s="9"/>
      <c r="AN32" s="9"/>
      <c r="AO32" s="9"/>
      <c r="AP32" s="9"/>
      <c r="AQ32" s="9"/>
      <c r="AR32" s="9"/>
      <c r="AS32" s="9"/>
      <c r="AT32" s="9"/>
      <c r="AU32" s="9"/>
      <c r="AV32" s="9"/>
      <c r="AW32" s="9"/>
      <c r="AX32" s="9"/>
      <c r="AY32" s="9"/>
      <c r="AZ32" s="9"/>
      <c r="BA32" s="9"/>
      <c r="BB32" s="9"/>
    </row>
    <row r="33" spans="1:54" x14ac:dyDescent="0.4">
      <c r="A33" s="59">
        <f t="shared" si="3"/>
        <v>0</v>
      </c>
      <c r="B33" s="9"/>
      <c r="C33" s="9"/>
      <c r="D33" s="9"/>
      <c r="E33" s="10"/>
      <c r="F33" s="9"/>
      <c r="I33" s="10"/>
      <c r="J33" s="10"/>
      <c r="K33" s="10"/>
      <c r="L33" s="10"/>
      <c r="M33" s="10"/>
      <c r="N33" s="11"/>
      <c r="O33" s="11"/>
      <c r="P33" s="11"/>
      <c r="Q33" s="11"/>
      <c r="R33" s="12"/>
      <c r="S33" s="11"/>
      <c r="T33" s="11"/>
      <c r="U33" s="11"/>
      <c r="V33" s="11"/>
      <c r="W33" s="11"/>
      <c r="X33" s="11"/>
      <c r="Y33" s="12"/>
      <c r="Z33" s="8"/>
      <c r="AA33" s="8"/>
      <c r="AB33" s="8"/>
      <c r="AC33" s="8"/>
      <c r="AD33" s="8"/>
      <c r="AE33" s="9"/>
      <c r="AF33" s="8"/>
      <c r="AG33" s="8"/>
      <c r="AH33" s="72"/>
      <c r="AI33" s="13"/>
      <c r="AJ33" s="13"/>
      <c r="AK33" s="13"/>
      <c r="AL33" s="13"/>
      <c r="AM33" s="9"/>
      <c r="AN33" s="9"/>
      <c r="AO33" s="9"/>
      <c r="AP33" s="9"/>
      <c r="AQ33" s="9"/>
      <c r="AR33" s="9"/>
      <c r="AS33" s="9"/>
      <c r="AT33" s="9"/>
      <c r="AU33" s="9"/>
      <c r="AV33" s="9"/>
      <c r="AW33" s="9"/>
      <c r="AX33" s="9"/>
      <c r="AY33" s="9"/>
      <c r="AZ33" s="9"/>
      <c r="BA33" s="9"/>
      <c r="BB33" s="9"/>
    </row>
    <row r="34" spans="1:54" x14ac:dyDescent="0.4">
      <c r="A34" s="59">
        <f t="shared" si="3"/>
        <v>0</v>
      </c>
      <c r="B34" s="9"/>
      <c r="C34" s="9"/>
      <c r="D34" s="9"/>
      <c r="E34" s="10"/>
      <c r="F34" s="9"/>
      <c r="I34" s="10"/>
      <c r="J34" s="10"/>
      <c r="K34" s="10"/>
      <c r="L34" s="10"/>
      <c r="M34" s="10"/>
      <c r="N34" s="11"/>
      <c r="O34" s="11"/>
      <c r="P34" s="11"/>
      <c r="Q34" s="11"/>
      <c r="R34" s="12"/>
      <c r="S34" s="11"/>
      <c r="T34" s="11"/>
      <c r="U34" s="11"/>
      <c r="V34" s="11"/>
      <c r="W34" s="11"/>
      <c r="X34" s="11"/>
      <c r="Y34" s="12"/>
      <c r="Z34" s="8"/>
      <c r="AA34" s="8"/>
      <c r="AB34" s="8"/>
      <c r="AC34" s="8"/>
      <c r="AD34" s="8"/>
      <c r="AE34" s="9"/>
      <c r="AF34" s="8"/>
      <c r="AG34" s="8"/>
      <c r="AH34" s="72"/>
      <c r="AI34" s="13"/>
      <c r="AJ34" s="13"/>
      <c r="AK34" s="13"/>
      <c r="AL34" s="13"/>
      <c r="AM34" s="9"/>
      <c r="AN34" s="9"/>
      <c r="AO34" s="9"/>
      <c r="AP34" s="9"/>
      <c r="AQ34" s="9"/>
      <c r="AR34" s="9"/>
      <c r="AS34" s="9"/>
      <c r="AT34" s="9"/>
      <c r="AU34" s="9"/>
      <c r="AV34" s="9"/>
      <c r="AW34" s="9"/>
      <c r="AX34" s="9"/>
      <c r="AY34" s="9"/>
      <c r="AZ34" s="9"/>
      <c r="BA34" s="9"/>
      <c r="BB34" s="9"/>
    </row>
    <row r="35" spans="1:54" x14ac:dyDescent="0.4">
      <c r="A35" s="59">
        <f t="shared" si="3"/>
        <v>0</v>
      </c>
      <c r="B35" s="9"/>
      <c r="C35" s="9"/>
      <c r="D35" s="9"/>
      <c r="E35" s="10"/>
      <c r="F35" s="9"/>
      <c r="I35" s="10"/>
      <c r="J35" s="10"/>
      <c r="K35" s="10"/>
      <c r="L35" s="10"/>
      <c r="M35" s="10"/>
      <c r="N35" s="11"/>
      <c r="O35" s="11"/>
      <c r="P35" s="11"/>
      <c r="Q35" s="11"/>
      <c r="R35" s="12"/>
      <c r="S35" s="11"/>
      <c r="T35" s="11"/>
      <c r="U35" s="11"/>
      <c r="V35" s="11"/>
      <c r="W35" s="11"/>
      <c r="X35" s="11"/>
      <c r="Y35" s="12"/>
      <c r="Z35" s="8"/>
      <c r="AA35" s="8"/>
      <c r="AB35" s="8"/>
      <c r="AC35" s="8"/>
      <c r="AD35" s="8"/>
      <c r="AE35" s="9"/>
      <c r="AF35" s="8"/>
      <c r="AG35" s="8"/>
      <c r="AH35" s="72"/>
      <c r="AI35" s="13"/>
      <c r="AJ35" s="13"/>
      <c r="AK35" s="13"/>
      <c r="AL35" s="13"/>
      <c r="AM35" s="9"/>
      <c r="AN35" s="9"/>
      <c r="AO35" s="9"/>
      <c r="AP35" s="9"/>
      <c r="AQ35" s="9"/>
      <c r="AR35" s="9"/>
      <c r="AS35" s="9"/>
      <c r="AT35" s="9"/>
      <c r="AU35" s="9"/>
      <c r="AV35" s="9"/>
      <c r="AW35" s="9"/>
      <c r="AX35" s="9"/>
      <c r="AY35" s="9"/>
      <c r="AZ35" s="9"/>
      <c r="BA35" s="9"/>
      <c r="BB35" s="9"/>
    </row>
    <row r="36" spans="1:54" x14ac:dyDescent="0.4">
      <c r="A36" s="59">
        <f t="shared" si="3"/>
        <v>0</v>
      </c>
      <c r="B36" s="9"/>
      <c r="C36" s="9"/>
      <c r="D36" s="9"/>
      <c r="E36" s="10"/>
      <c r="F36" s="9"/>
      <c r="I36" s="10"/>
      <c r="J36" s="10"/>
      <c r="K36" s="10"/>
      <c r="L36" s="10"/>
      <c r="M36" s="10"/>
      <c r="N36" s="11"/>
      <c r="O36" s="11"/>
      <c r="P36" s="11"/>
      <c r="Q36" s="11"/>
      <c r="R36" s="12"/>
      <c r="S36" s="11"/>
      <c r="T36" s="11"/>
      <c r="U36" s="11"/>
      <c r="V36" s="11"/>
      <c r="W36" s="11"/>
      <c r="X36" s="11"/>
      <c r="Y36" s="12"/>
      <c r="Z36" s="8"/>
      <c r="AA36" s="8"/>
      <c r="AB36" s="8"/>
      <c r="AC36" s="8"/>
      <c r="AD36" s="8"/>
      <c r="AE36" s="9"/>
      <c r="AF36" s="8"/>
      <c r="AG36" s="8"/>
      <c r="AH36" s="72"/>
      <c r="AI36" s="13"/>
      <c r="AJ36" s="13"/>
      <c r="AK36" s="13"/>
      <c r="AL36" s="13"/>
      <c r="AM36" s="9"/>
      <c r="AN36" s="9"/>
      <c r="AO36" s="9"/>
      <c r="AP36" s="9"/>
      <c r="AQ36" s="9"/>
      <c r="AR36" s="9"/>
      <c r="AS36" s="9"/>
      <c r="AT36" s="9"/>
      <c r="AU36" s="9"/>
      <c r="AV36" s="9"/>
      <c r="AW36" s="9"/>
      <c r="AX36" s="9"/>
      <c r="AY36" s="9"/>
      <c r="AZ36" s="9"/>
      <c r="BA36" s="9"/>
      <c r="BB36" s="9"/>
    </row>
    <row r="37" spans="1:54" x14ac:dyDescent="0.4">
      <c r="A37" s="59">
        <f t="shared" si="3"/>
        <v>0</v>
      </c>
      <c r="B37" s="9"/>
      <c r="C37" s="9"/>
      <c r="D37" s="9"/>
      <c r="E37" s="10"/>
      <c r="F37" s="9"/>
      <c r="I37" s="10"/>
      <c r="J37" s="10"/>
      <c r="K37" s="10"/>
      <c r="L37" s="10"/>
      <c r="M37" s="10"/>
      <c r="N37" s="11"/>
      <c r="O37" s="11"/>
      <c r="P37" s="11"/>
      <c r="Q37" s="11"/>
      <c r="R37" s="12"/>
      <c r="S37" s="11"/>
      <c r="T37" s="11"/>
      <c r="U37" s="11"/>
      <c r="V37" s="11"/>
      <c r="W37" s="11"/>
      <c r="X37" s="11"/>
      <c r="Y37" s="12"/>
      <c r="Z37" s="8"/>
      <c r="AA37" s="8"/>
      <c r="AB37" s="8"/>
      <c r="AC37" s="8"/>
      <c r="AD37" s="8"/>
      <c r="AE37" s="9"/>
      <c r="AF37" s="8"/>
      <c r="AG37" s="8"/>
      <c r="AH37" s="72"/>
      <c r="AI37" s="13"/>
      <c r="AJ37" s="13"/>
      <c r="AK37" s="13"/>
      <c r="AL37" s="13"/>
      <c r="AM37" s="9"/>
      <c r="AN37" s="9"/>
      <c r="AO37" s="9"/>
      <c r="AP37" s="9"/>
      <c r="AQ37" s="9"/>
      <c r="AR37" s="9"/>
      <c r="AS37" s="9"/>
      <c r="AT37" s="9"/>
      <c r="AU37" s="9"/>
      <c r="AV37" s="9"/>
      <c r="AW37" s="9"/>
      <c r="AX37" s="9"/>
      <c r="AY37" s="9"/>
      <c r="AZ37" s="9"/>
      <c r="BA37" s="9"/>
      <c r="BB37" s="9"/>
    </row>
    <row r="38" spans="1:54" x14ac:dyDescent="0.4">
      <c r="A38" s="59">
        <f t="shared" si="3"/>
        <v>0</v>
      </c>
      <c r="B38" s="9"/>
      <c r="C38" s="9"/>
      <c r="D38" s="9"/>
      <c r="E38" s="10"/>
      <c r="F38" s="9"/>
      <c r="I38" s="10"/>
      <c r="J38" s="10"/>
      <c r="K38" s="10"/>
      <c r="L38" s="10"/>
      <c r="M38" s="10"/>
      <c r="N38" s="11"/>
      <c r="O38" s="11"/>
      <c r="P38" s="11"/>
      <c r="Q38" s="11"/>
      <c r="R38" s="12"/>
      <c r="S38" s="11"/>
      <c r="T38" s="11"/>
      <c r="U38" s="11"/>
      <c r="V38" s="11"/>
      <c r="W38" s="11"/>
      <c r="X38" s="11"/>
      <c r="Y38" s="12"/>
      <c r="Z38" s="8"/>
      <c r="AA38" s="8"/>
      <c r="AB38" s="8"/>
      <c r="AC38" s="8"/>
      <c r="AD38" s="8"/>
      <c r="AE38" s="9"/>
      <c r="AF38" s="8"/>
      <c r="AG38" s="8"/>
      <c r="AH38" s="72"/>
      <c r="AI38" s="13"/>
      <c r="AJ38" s="13"/>
      <c r="AK38" s="13"/>
      <c r="AL38" s="13"/>
      <c r="AM38" s="9"/>
      <c r="AN38" s="9"/>
      <c r="AO38" s="9"/>
      <c r="AP38" s="9"/>
      <c r="AQ38" s="9"/>
      <c r="AR38" s="9"/>
      <c r="AS38" s="9"/>
      <c r="AT38" s="9"/>
      <c r="AU38" s="9"/>
      <c r="AV38" s="9"/>
      <c r="AW38" s="9"/>
      <c r="AX38" s="9"/>
      <c r="AY38" s="9"/>
      <c r="AZ38" s="9"/>
      <c r="BA38" s="9"/>
      <c r="BB38" s="9"/>
    </row>
    <row r="39" spans="1:54" x14ac:dyDescent="0.4">
      <c r="A39" s="59">
        <f t="shared" si="3"/>
        <v>0</v>
      </c>
      <c r="B39" s="9"/>
      <c r="C39" s="9"/>
      <c r="D39" s="9"/>
      <c r="E39" s="10"/>
      <c r="F39" s="9"/>
      <c r="I39" s="10"/>
      <c r="J39" s="10"/>
      <c r="K39" s="10"/>
      <c r="L39" s="10"/>
      <c r="M39" s="10"/>
      <c r="N39" s="11"/>
      <c r="O39" s="11"/>
      <c r="P39" s="11"/>
      <c r="Q39" s="11"/>
      <c r="R39" s="12"/>
      <c r="S39" s="11"/>
      <c r="T39" s="11"/>
      <c r="U39" s="11"/>
      <c r="V39" s="11"/>
      <c r="W39" s="11"/>
      <c r="X39" s="11"/>
      <c r="Y39" s="12"/>
      <c r="Z39" s="8"/>
      <c r="AA39" s="8"/>
      <c r="AB39" s="8"/>
      <c r="AC39" s="8"/>
      <c r="AD39" s="8"/>
      <c r="AE39" s="9"/>
      <c r="AF39" s="8"/>
      <c r="AG39" s="8"/>
      <c r="AH39" s="72"/>
      <c r="AI39" s="13"/>
      <c r="AJ39" s="13"/>
      <c r="AK39" s="13"/>
      <c r="AL39" s="13"/>
      <c r="AM39" s="9"/>
      <c r="AN39" s="9"/>
      <c r="AO39" s="9"/>
      <c r="AP39" s="9"/>
      <c r="AQ39" s="9"/>
      <c r="AR39" s="9"/>
      <c r="AS39" s="9"/>
      <c r="AT39" s="9"/>
      <c r="AU39" s="9"/>
      <c r="AV39" s="9"/>
      <c r="AW39" s="9"/>
      <c r="AX39" s="9"/>
      <c r="AY39" s="9"/>
      <c r="AZ39" s="9"/>
      <c r="BA39" s="9"/>
      <c r="BB39" s="9"/>
    </row>
    <row r="40" spans="1:54" x14ac:dyDescent="0.4">
      <c r="A40" s="59">
        <f t="shared" si="3"/>
        <v>0</v>
      </c>
      <c r="B40" s="9"/>
      <c r="C40" s="9"/>
      <c r="D40" s="9"/>
      <c r="E40" s="10"/>
      <c r="F40" s="9"/>
      <c r="I40" s="10"/>
      <c r="J40" s="10"/>
      <c r="K40" s="10"/>
      <c r="L40" s="10"/>
      <c r="M40" s="10"/>
      <c r="N40" s="11"/>
      <c r="O40" s="11"/>
      <c r="P40" s="11"/>
      <c r="Q40" s="11"/>
      <c r="R40" s="12"/>
      <c r="S40" s="11"/>
      <c r="T40" s="11"/>
      <c r="U40" s="11"/>
      <c r="V40" s="11"/>
      <c r="W40" s="11"/>
      <c r="X40" s="11"/>
      <c r="Y40" s="12"/>
      <c r="Z40" s="8"/>
      <c r="AA40" s="8"/>
      <c r="AB40" s="8"/>
      <c r="AC40" s="8"/>
      <c r="AD40" s="8"/>
      <c r="AE40" s="9"/>
      <c r="AF40" s="8"/>
      <c r="AG40" s="8"/>
      <c r="AH40" s="72"/>
      <c r="AI40" s="13"/>
      <c r="AJ40" s="13"/>
      <c r="AK40" s="13"/>
      <c r="AL40" s="13"/>
      <c r="AM40" s="9"/>
      <c r="AN40" s="9"/>
      <c r="AO40" s="9"/>
      <c r="AP40" s="9"/>
      <c r="AQ40" s="9"/>
      <c r="AR40" s="9"/>
      <c r="AS40" s="9"/>
      <c r="AT40" s="9"/>
      <c r="AU40" s="9"/>
      <c r="AV40" s="9"/>
      <c r="AW40" s="9"/>
      <c r="AX40" s="9"/>
      <c r="AY40" s="9"/>
      <c r="AZ40" s="9"/>
      <c r="BA40" s="9"/>
      <c r="BB40" s="9"/>
    </row>
    <row r="41" spans="1:54" x14ac:dyDescent="0.4">
      <c r="A41" s="59">
        <f t="shared" si="3"/>
        <v>0</v>
      </c>
      <c r="B41" s="9"/>
      <c r="C41" s="9"/>
      <c r="D41" s="9"/>
      <c r="E41" s="10"/>
      <c r="F41" s="9"/>
      <c r="I41" s="10"/>
      <c r="J41" s="10"/>
      <c r="K41" s="10"/>
      <c r="L41" s="10"/>
      <c r="M41" s="10"/>
      <c r="N41" s="11"/>
      <c r="O41" s="11"/>
      <c r="P41" s="11"/>
      <c r="Q41" s="11"/>
      <c r="R41" s="12"/>
      <c r="S41" s="11"/>
      <c r="T41" s="11"/>
      <c r="U41" s="11"/>
      <c r="V41" s="11"/>
      <c r="W41" s="11"/>
      <c r="X41" s="11"/>
      <c r="Y41" s="12"/>
      <c r="Z41" s="8"/>
      <c r="AA41" s="8"/>
      <c r="AB41" s="8"/>
      <c r="AC41" s="8"/>
      <c r="AD41" s="8"/>
      <c r="AE41" s="9"/>
      <c r="AF41" s="8"/>
      <c r="AG41" s="8"/>
      <c r="AH41" s="72"/>
      <c r="AI41" s="13"/>
      <c r="AJ41" s="13"/>
      <c r="AK41" s="13"/>
      <c r="AL41" s="13"/>
      <c r="AM41" s="9"/>
      <c r="AN41" s="9"/>
      <c r="AO41" s="9"/>
      <c r="AP41" s="9"/>
      <c r="AQ41" s="9"/>
      <c r="AR41" s="9"/>
      <c r="AS41" s="9"/>
      <c r="AT41" s="9"/>
      <c r="AU41" s="9"/>
      <c r="AV41" s="9"/>
      <c r="AW41" s="9"/>
      <c r="AX41" s="9"/>
      <c r="AY41" s="9"/>
      <c r="AZ41" s="9"/>
      <c r="BA41" s="9"/>
      <c r="BB41" s="9"/>
    </row>
    <row r="42" spans="1:54" x14ac:dyDescent="0.4">
      <c r="A42" s="59">
        <f t="shared" si="3"/>
        <v>0</v>
      </c>
      <c r="B42" s="9"/>
      <c r="C42" s="9"/>
      <c r="D42" s="9"/>
      <c r="E42" s="10"/>
      <c r="F42" s="9"/>
      <c r="I42" s="10"/>
      <c r="J42" s="10"/>
      <c r="K42" s="10"/>
      <c r="L42" s="10"/>
      <c r="M42" s="10"/>
      <c r="N42" s="11"/>
      <c r="O42" s="11"/>
      <c r="P42" s="11"/>
      <c r="Q42" s="11"/>
      <c r="R42" s="12"/>
      <c r="S42" s="11"/>
      <c r="T42" s="11"/>
      <c r="U42" s="11"/>
      <c r="V42" s="11"/>
      <c r="W42" s="11"/>
      <c r="X42" s="11"/>
      <c r="Y42" s="12"/>
      <c r="Z42" s="8"/>
      <c r="AA42" s="8"/>
      <c r="AB42" s="8"/>
      <c r="AC42" s="8"/>
      <c r="AD42" s="8"/>
      <c r="AE42" s="9"/>
      <c r="AF42" s="8"/>
      <c r="AG42" s="8"/>
      <c r="AH42" s="72"/>
      <c r="AI42" s="13"/>
      <c r="AJ42" s="13"/>
      <c r="AK42" s="13"/>
      <c r="AL42" s="13"/>
      <c r="AM42" s="9"/>
      <c r="AN42" s="9"/>
      <c r="AO42" s="9"/>
      <c r="AP42" s="9"/>
      <c r="AQ42" s="9"/>
      <c r="AR42" s="9"/>
      <c r="AS42" s="9"/>
      <c r="AT42" s="9"/>
      <c r="AU42" s="9"/>
      <c r="AV42" s="9"/>
      <c r="AW42" s="9"/>
      <c r="AX42" s="9"/>
      <c r="AY42" s="9"/>
      <c r="AZ42" s="9"/>
      <c r="BA42" s="9"/>
      <c r="BB42" s="9"/>
    </row>
    <row r="43" spans="1:54" x14ac:dyDescent="0.4">
      <c r="A43" s="59">
        <f t="shared" si="3"/>
        <v>0</v>
      </c>
      <c r="B43" s="9"/>
      <c r="C43" s="9"/>
      <c r="D43" s="9"/>
      <c r="E43" s="10"/>
      <c r="F43" s="9"/>
      <c r="I43" s="10"/>
      <c r="J43" s="10"/>
      <c r="K43" s="10"/>
      <c r="L43" s="10"/>
      <c r="M43" s="10"/>
      <c r="N43" s="11"/>
      <c r="O43" s="11"/>
      <c r="P43" s="11"/>
      <c r="Q43" s="11"/>
      <c r="R43" s="12"/>
      <c r="S43" s="11"/>
      <c r="T43" s="11"/>
      <c r="U43" s="11"/>
      <c r="V43" s="11"/>
      <c r="W43" s="11"/>
      <c r="X43" s="11"/>
      <c r="Y43" s="12"/>
      <c r="Z43" s="8"/>
      <c r="AA43" s="8"/>
      <c r="AB43" s="8"/>
      <c r="AC43" s="8"/>
      <c r="AD43" s="8"/>
      <c r="AE43" s="9"/>
      <c r="AF43" s="8"/>
      <c r="AG43" s="8"/>
      <c r="AH43" s="72"/>
      <c r="AI43" s="13"/>
      <c r="AJ43" s="13"/>
      <c r="AK43" s="13"/>
      <c r="AL43" s="13"/>
      <c r="AM43" s="9"/>
      <c r="AN43" s="9"/>
      <c r="AO43" s="9"/>
      <c r="AP43" s="9"/>
      <c r="AQ43" s="9"/>
      <c r="AR43" s="9"/>
      <c r="AS43" s="9"/>
      <c r="AT43" s="9"/>
      <c r="AU43" s="9"/>
      <c r="AV43" s="9"/>
      <c r="AW43" s="9"/>
      <c r="AX43" s="9"/>
      <c r="AY43" s="9"/>
      <c r="AZ43" s="9"/>
      <c r="BA43" s="9"/>
      <c r="BB43" s="9"/>
    </row>
    <row r="44" spans="1:54" x14ac:dyDescent="0.4">
      <c r="A44" s="59">
        <f t="shared" si="3"/>
        <v>0</v>
      </c>
      <c r="B44" s="9"/>
      <c r="C44" s="9"/>
      <c r="D44" s="9"/>
      <c r="E44" s="10"/>
      <c r="F44" s="9"/>
      <c r="I44" s="10"/>
      <c r="J44" s="10"/>
      <c r="K44" s="10"/>
      <c r="L44" s="10"/>
      <c r="M44" s="10"/>
      <c r="N44" s="11"/>
      <c r="O44" s="11"/>
      <c r="P44" s="11"/>
      <c r="Q44" s="11"/>
      <c r="R44" s="12"/>
      <c r="S44" s="11"/>
      <c r="T44" s="11"/>
      <c r="U44" s="11"/>
      <c r="V44" s="11"/>
      <c r="W44" s="11"/>
      <c r="X44" s="11"/>
      <c r="Y44" s="12"/>
      <c r="Z44" s="8"/>
      <c r="AA44" s="8"/>
      <c r="AB44" s="8"/>
      <c r="AC44" s="8"/>
      <c r="AD44" s="8"/>
      <c r="AE44" s="9"/>
      <c r="AF44" s="8"/>
      <c r="AG44" s="8"/>
      <c r="AH44" s="72"/>
      <c r="AI44" s="13"/>
      <c r="AJ44" s="13"/>
      <c r="AK44" s="13"/>
      <c r="AL44" s="13"/>
      <c r="AM44" s="9"/>
      <c r="AN44" s="9"/>
      <c r="AO44" s="9"/>
      <c r="AP44" s="9"/>
      <c r="AQ44" s="9"/>
      <c r="AR44" s="9"/>
      <c r="AS44" s="9"/>
      <c r="AT44" s="9"/>
      <c r="AU44" s="9"/>
      <c r="AV44" s="9"/>
      <c r="AW44" s="9"/>
      <c r="AX44" s="9"/>
      <c r="AY44" s="9"/>
      <c r="AZ44" s="9"/>
      <c r="BA44" s="9"/>
      <c r="BB44" s="9"/>
    </row>
    <row r="45" spans="1:54" x14ac:dyDescent="0.4">
      <c r="A45" s="59">
        <f t="shared" si="3"/>
        <v>0</v>
      </c>
      <c r="B45" s="9"/>
      <c r="C45" s="9"/>
      <c r="D45" s="9"/>
      <c r="E45" s="10"/>
      <c r="F45" s="9"/>
      <c r="I45" s="10"/>
      <c r="J45" s="10"/>
      <c r="K45" s="10"/>
      <c r="L45" s="10"/>
      <c r="M45" s="10"/>
      <c r="N45" s="11"/>
      <c r="O45" s="11"/>
      <c r="P45" s="11"/>
      <c r="Q45" s="11"/>
      <c r="R45" s="12"/>
      <c r="S45" s="11"/>
      <c r="T45" s="11"/>
      <c r="U45" s="11"/>
      <c r="V45" s="11"/>
      <c r="W45" s="11"/>
      <c r="X45" s="11"/>
      <c r="Y45" s="12"/>
      <c r="Z45" s="8"/>
      <c r="AA45" s="8"/>
      <c r="AB45" s="8"/>
      <c r="AC45" s="8"/>
      <c r="AD45" s="8"/>
      <c r="AE45" s="9"/>
      <c r="AF45" s="8"/>
      <c r="AG45" s="8"/>
      <c r="AH45" s="72"/>
      <c r="AI45" s="13"/>
      <c r="AJ45" s="13"/>
      <c r="AK45" s="13"/>
      <c r="AL45" s="13"/>
      <c r="AM45" s="9"/>
      <c r="AN45" s="9"/>
      <c r="AO45" s="9"/>
      <c r="AP45" s="9"/>
      <c r="AQ45" s="9"/>
      <c r="AR45" s="9"/>
      <c r="AS45" s="9"/>
      <c r="AT45" s="9"/>
      <c r="AU45" s="9"/>
      <c r="AV45" s="9"/>
      <c r="AW45" s="9"/>
      <c r="AX45" s="9"/>
      <c r="AY45" s="9"/>
      <c r="AZ45" s="9"/>
      <c r="BA45" s="9"/>
      <c r="BB45" s="9"/>
    </row>
    <row r="46" spans="1:54" x14ac:dyDescent="0.4">
      <c r="A46" s="59">
        <f t="shared" si="3"/>
        <v>0</v>
      </c>
      <c r="B46" s="9"/>
      <c r="C46" s="9"/>
      <c r="D46" s="9"/>
      <c r="E46" s="10"/>
      <c r="F46" s="9"/>
      <c r="I46" s="10"/>
      <c r="J46" s="10"/>
      <c r="K46" s="10"/>
      <c r="L46" s="10"/>
      <c r="M46" s="10"/>
      <c r="N46" s="11"/>
      <c r="O46" s="11"/>
      <c r="P46" s="11"/>
      <c r="Q46" s="11"/>
      <c r="R46" s="12"/>
      <c r="S46" s="11"/>
      <c r="T46" s="11"/>
      <c r="U46" s="11"/>
      <c r="V46" s="11"/>
      <c r="W46" s="11"/>
      <c r="X46" s="11"/>
      <c r="Y46" s="12"/>
      <c r="Z46" s="8"/>
      <c r="AA46" s="8"/>
      <c r="AB46" s="8"/>
      <c r="AC46" s="8"/>
      <c r="AD46" s="8"/>
      <c r="AE46" s="9"/>
      <c r="AF46" s="8"/>
      <c r="AG46" s="8"/>
      <c r="AH46" s="72"/>
      <c r="AI46" s="13"/>
      <c r="AJ46" s="13"/>
      <c r="AK46" s="13"/>
      <c r="AL46" s="13"/>
      <c r="AM46" s="9"/>
      <c r="AN46" s="9"/>
      <c r="AO46" s="9"/>
      <c r="AP46" s="9"/>
      <c r="AQ46" s="9"/>
      <c r="AR46" s="9"/>
      <c r="AS46" s="9"/>
      <c r="AT46" s="9"/>
      <c r="AU46" s="9"/>
      <c r="AV46" s="9"/>
      <c r="AW46" s="9"/>
      <c r="AX46" s="9"/>
      <c r="AY46" s="9"/>
      <c r="AZ46" s="9"/>
      <c r="BA46" s="9"/>
      <c r="BB46" s="9"/>
    </row>
    <row r="47" spans="1:54" x14ac:dyDescent="0.4">
      <c r="A47" s="59">
        <f t="shared" si="3"/>
        <v>0</v>
      </c>
      <c r="B47" s="9"/>
      <c r="C47" s="9"/>
      <c r="D47" s="9"/>
      <c r="E47" s="10"/>
      <c r="F47" s="9"/>
      <c r="I47" s="10"/>
      <c r="J47" s="10"/>
      <c r="K47" s="10"/>
      <c r="L47" s="10"/>
      <c r="M47" s="10"/>
      <c r="N47" s="11"/>
      <c r="O47" s="11"/>
      <c r="P47" s="11"/>
      <c r="Q47" s="11"/>
      <c r="R47" s="12"/>
      <c r="S47" s="11"/>
      <c r="T47" s="11"/>
      <c r="U47" s="11"/>
      <c r="V47" s="11"/>
      <c r="W47" s="11"/>
      <c r="X47" s="11"/>
      <c r="Y47" s="12"/>
      <c r="Z47" s="8"/>
      <c r="AA47" s="8"/>
      <c r="AB47" s="8"/>
      <c r="AC47" s="8"/>
      <c r="AD47" s="8"/>
      <c r="AE47" s="9"/>
      <c r="AF47" s="8"/>
      <c r="AG47" s="8"/>
      <c r="AH47" s="72"/>
      <c r="AI47" s="13"/>
      <c r="AJ47" s="13"/>
      <c r="AK47" s="13"/>
      <c r="AL47" s="13"/>
      <c r="AM47" s="9"/>
      <c r="AN47" s="9"/>
      <c r="AO47" s="9"/>
      <c r="AP47" s="9"/>
      <c r="AQ47" s="9"/>
      <c r="AR47" s="9"/>
      <c r="AS47" s="9"/>
      <c r="AT47" s="9"/>
      <c r="AU47" s="9"/>
      <c r="AV47" s="9"/>
      <c r="AW47" s="9"/>
      <c r="AX47" s="9"/>
      <c r="AY47" s="9"/>
      <c r="AZ47" s="9"/>
      <c r="BA47" s="9"/>
      <c r="BB47" s="9"/>
    </row>
    <row r="48" spans="1:54" x14ac:dyDescent="0.4">
      <c r="A48" s="59">
        <f t="shared" si="3"/>
        <v>0</v>
      </c>
      <c r="B48" s="9"/>
      <c r="C48" s="9"/>
      <c r="D48" s="9"/>
      <c r="E48" s="10"/>
      <c r="F48" s="9"/>
      <c r="I48" s="10"/>
      <c r="J48" s="10"/>
      <c r="K48" s="10"/>
      <c r="L48" s="10"/>
      <c r="M48" s="10"/>
      <c r="N48" s="11"/>
      <c r="O48" s="11"/>
      <c r="P48" s="11"/>
      <c r="Q48" s="11"/>
      <c r="R48" s="12"/>
      <c r="S48" s="11"/>
      <c r="T48" s="11"/>
      <c r="U48" s="11"/>
      <c r="V48" s="11"/>
      <c r="W48" s="11"/>
      <c r="X48" s="11"/>
      <c r="Y48" s="12"/>
      <c r="Z48" s="8"/>
      <c r="AA48" s="8"/>
      <c r="AB48" s="8"/>
      <c r="AC48" s="8"/>
      <c r="AD48" s="8"/>
      <c r="AE48" s="9"/>
      <c r="AF48" s="8"/>
      <c r="AG48" s="8"/>
      <c r="AH48" s="72"/>
      <c r="AI48" s="13"/>
      <c r="AJ48" s="13"/>
      <c r="AK48" s="13"/>
      <c r="AL48" s="13"/>
      <c r="AM48" s="9"/>
      <c r="AN48" s="9"/>
      <c r="AO48" s="9"/>
      <c r="AP48" s="9"/>
      <c r="AQ48" s="9"/>
      <c r="AR48" s="9"/>
      <c r="AS48" s="9"/>
      <c r="AT48" s="9"/>
      <c r="AU48" s="9"/>
      <c r="AV48" s="9"/>
      <c r="AW48" s="9"/>
      <c r="AX48" s="9"/>
      <c r="AY48" s="9"/>
      <c r="AZ48" s="9"/>
      <c r="BA48" s="9"/>
      <c r="BB48" s="9"/>
    </row>
    <row r="49" spans="1:54" x14ac:dyDescent="0.4">
      <c r="A49" s="59">
        <f t="shared" si="3"/>
        <v>0</v>
      </c>
      <c r="B49" s="9"/>
      <c r="C49" s="9"/>
      <c r="D49" s="9"/>
      <c r="E49" s="10"/>
      <c r="F49" s="9"/>
      <c r="I49" s="10"/>
      <c r="J49" s="10"/>
      <c r="K49" s="10"/>
      <c r="L49" s="10"/>
      <c r="M49" s="10"/>
      <c r="N49" s="11"/>
      <c r="O49" s="11"/>
      <c r="P49" s="11"/>
      <c r="Q49" s="11"/>
      <c r="R49" s="12"/>
      <c r="S49" s="11"/>
      <c r="T49" s="11"/>
      <c r="U49" s="11"/>
      <c r="V49" s="11"/>
      <c r="W49" s="11"/>
      <c r="X49" s="11"/>
      <c r="Y49" s="12"/>
      <c r="Z49" s="8"/>
      <c r="AA49" s="8"/>
      <c r="AB49" s="8"/>
      <c r="AC49" s="8"/>
      <c r="AD49" s="8"/>
      <c r="AE49" s="9"/>
      <c r="AF49" s="8"/>
      <c r="AG49" s="8"/>
      <c r="AH49" s="72"/>
      <c r="AI49" s="13"/>
      <c r="AJ49" s="13"/>
      <c r="AK49" s="13"/>
      <c r="AL49" s="13"/>
      <c r="AM49" s="9"/>
      <c r="AN49" s="9"/>
      <c r="AO49" s="9"/>
      <c r="AP49" s="9"/>
      <c r="AQ49" s="9"/>
      <c r="AR49" s="9"/>
      <c r="AS49" s="9"/>
      <c r="AT49" s="9"/>
      <c r="AU49" s="9"/>
      <c r="AV49" s="9"/>
      <c r="AW49" s="9"/>
      <c r="AX49" s="9"/>
      <c r="AY49" s="9"/>
      <c r="AZ49" s="9"/>
      <c r="BA49" s="9"/>
      <c r="BB49" s="9"/>
    </row>
    <row r="50" spans="1:54" x14ac:dyDescent="0.4">
      <c r="A50" s="59">
        <f t="shared" si="3"/>
        <v>0</v>
      </c>
      <c r="B50" s="9"/>
      <c r="C50" s="9"/>
      <c r="D50" s="9"/>
      <c r="E50" s="10"/>
      <c r="F50" s="9"/>
      <c r="I50" s="10"/>
      <c r="J50" s="10"/>
      <c r="K50" s="10"/>
      <c r="L50" s="10"/>
      <c r="M50" s="10"/>
      <c r="N50" s="11"/>
      <c r="O50" s="11"/>
      <c r="P50" s="11"/>
      <c r="Q50" s="11"/>
      <c r="R50" s="12"/>
      <c r="S50" s="11"/>
      <c r="T50" s="11"/>
      <c r="U50" s="11"/>
      <c r="V50" s="11"/>
      <c r="W50" s="11"/>
      <c r="X50" s="11"/>
      <c r="Y50" s="12"/>
      <c r="Z50" s="8"/>
      <c r="AA50" s="8"/>
      <c r="AB50" s="8"/>
      <c r="AC50" s="8"/>
      <c r="AD50" s="8"/>
      <c r="AE50" s="9"/>
      <c r="AF50" s="8"/>
      <c r="AG50" s="8"/>
      <c r="AH50" s="72"/>
      <c r="AI50" s="13"/>
      <c r="AJ50" s="13"/>
      <c r="AK50" s="13"/>
      <c r="AL50" s="13"/>
      <c r="AM50" s="9"/>
      <c r="AN50" s="9"/>
      <c r="AO50" s="9"/>
      <c r="AP50" s="9"/>
      <c r="AQ50" s="9"/>
      <c r="AR50" s="9"/>
      <c r="AS50" s="9"/>
      <c r="AT50" s="9"/>
      <c r="AU50" s="9"/>
      <c r="AV50" s="9"/>
      <c r="AW50" s="9"/>
      <c r="AX50" s="9"/>
      <c r="AY50" s="9"/>
      <c r="AZ50" s="9"/>
      <c r="BA50" s="9"/>
      <c r="BB50" s="9"/>
    </row>
    <row r="51" spans="1:54" x14ac:dyDescent="0.4">
      <c r="A51" s="59">
        <f t="shared" si="3"/>
        <v>0</v>
      </c>
      <c r="B51" s="9"/>
      <c r="C51" s="9"/>
      <c r="D51" s="9"/>
      <c r="E51" s="10"/>
      <c r="F51" s="9"/>
      <c r="I51" s="10"/>
      <c r="J51" s="10"/>
      <c r="K51" s="10"/>
      <c r="L51" s="10"/>
      <c r="M51" s="10"/>
      <c r="N51" s="11"/>
      <c r="O51" s="11"/>
      <c r="P51" s="11"/>
      <c r="Q51" s="11"/>
      <c r="R51" s="12"/>
      <c r="S51" s="11"/>
      <c r="T51" s="11"/>
      <c r="U51" s="11"/>
      <c r="V51" s="11"/>
      <c r="W51" s="11"/>
      <c r="X51" s="11"/>
      <c r="Y51" s="12"/>
      <c r="Z51" s="8"/>
      <c r="AA51" s="8"/>
      <c r="AB51" s="8"/>
      <c r="AC51" s="8"/>
      <c r="AD51" s="8"/>
      <c r="AE51" s="9"/>
      <c r="AF51" s="8"/>
      <c r="AG51" s="8"/>
      <c r="AH51" s="72"/>
      <c r="AI51" s="13"/>
      <c r="AJ51" s="13"/>
      <c r="AK51" s="13"/>
      <c r="AL51" s="13"/>
      <c r="AM51" s="9"/>
      <c r="AN51" s="9"/>
      <c r="AO51" s="9"/>
      <c r="AP51" s="9"/>
      <c r="AQ51" s="9"/>
      <c r="AR51" s="9"/>
      <c r="AS51" s="9"/>
      <c r="AT51" s="9"/>
      <c r="AU51" s="9"/>
      <c r="AV51" s="9"/>
      <c r="AW51" s="9"/>
      <c r="AX51" s="9"/>
      <c r="AY51" s="9"/>
      <c r="AZ51" s="9"/>
      <c r="BA51" s="9"/>
      <c r="BB51" s="9"/>
    </row>
    <row r="52" spans="1:54" x14ac:dyDescent="0.4">
      <c r="A52" s="59">
        <f t="shared" si="3"/>
        <v>0</v>
      </c>
      <c r="B52" s="9"/>
      <c r="C52" s="9"/>
      <c r="D52" s="9"/>
      <c r="E52" s="10"/>
      <c r="F52" s="9"/>
      <c r="I52" s="10"/>
      <c r="J52" s="10"/>
      <c r="K52" s="10"/>
      <c r="L52" s="10"/>
      <c r="M52" s="10"/>
      <c r="N52" s="11"/>
      <c r="O52" s="11"/>
      <c r="P52" s="11"/>
      <c r="Q52" s="11"/>
      <c r="R52" s="12"/>
      <c r="S52" s="11"/>
      <c r="T52" s="11"/>
      <c r="U52" s="11"/>
      <c r="V52" s="11"/>
      <c r="W52" s="11"/>
      <c r="X52" s="11"/>
      <c r="Y52" s="12"/>
      <c r="Z52" s="8"/>
      <c r="AA52" s="8"/>
      <c r="AB52" s="8"/>
      <c r="AC52" s="8"/>
      <c r="AD52" s="8"/>
      <c r="AE52" s="9"/>
      <c r="AF52" s="8"/>
      <c r="AG52" s="8"/>
      <c r="AH52" s="72"/>
      <c r="AI52" s="13"/>
      <c r="AJ52" s="13"/>
      <c r="AK52" s="13"/>
      <c r="AL52" s="13"/>
      <c r="AM52" s="9"/>
      <c r="AN52" s="9"/>
      <c r="AO52" s="9"/>
      <c r="AP52" s="9"/>
      <c r="AQ52" s="9"/>
      <c r="AR52" s="9"/>
      <c r="AS52" s="9"/>
      <c r="AT52" s="9"/>
      <c r="AU52" s="9"/>
      <c r="AV52" s="9"/>
      <c r="AW52" s="9"/>
      <c r="AX52" s="9"/>
      <c r="AY52" s="9"/>
      <c r="AZ52" s="9"/>
      <c r="BA52" s="9"/>
      <c r="BB52" s="9"/>
    </row>
    <row r="53" spans="1:54" x14ac:dyDescent="0.4">
      <c r="A53" s="59">
        <f t="shared" si="3"/>
        <v>0</v>
      </c>
      <c r="B53" s="9"/>
      <c r="C53" s="9"/>
      <c r="D53" s="9"/>
      <c r="E53" s="10"/>
      <c r="F53" s="9"/>
      <c r="I53" s="10"/>
      <c r="J53" s="10"/>
      <c r="K53" s="10"/>
      <c r="L53" s="10"/>
      <c r="M53" s="10"/>
      <c r="N53" s="11"/>
      <c r="O53" s="11"/>
      <c r="P53" s="11"/>
      <c r="Q53" s="11"/>
      <c r="R53" s="12"/>
      <c r="S53" s="11"/>
      <c r="T53" s="11"/>
      <c r="U53" s="11"/>
      <c r="V53" s="11"/>
      <c r="W53" s="11"/>
      <c r="X53" s="11"/>
      <c r="Y53" s="12"/>
      <c r="Z53" s="8"/>
      <c r="AA53" s="8"/>
      <c r="AB53" s="8"/>
      <c r="AC53" s="8"/>
      <c r="AD53" s="8"/>
      <c r="AE53" s="9"/>
      <c r="AF53" s="8"/>
      <c r="AG53" s="8"/>
      <c r="AH53" s="72"/>
      <c r="AI53" s="13"/>
      <c r="AJ53" s="13"/>
      <c r="AK53" s="13"/>
      <c r="AL53" s="13"/>
      <c r="AM53" s="9"/>
      <c r="AN53" s="9"/>
      <c r="AO53" s="9"/>
      <c r="AP53" s="9"/>
      <c r="AQ53" s="9"/>
      <c r="AR53" s="9"/>
      <c r="AS53" s="9"/>
      <c r="AT53" s="9"/>
      <c r="AU53" s="9"/>
      <c r="AV53" s="9"/>
      <c r="AW53" s="9"/>
      <c r="AX53" s="9"/>
      <c r="AY53" s="9"/>
      <c r="AZ53" s="9"/>
      <c r="BA53" s="9"/>
      <c r="BB53" s="9"/>
    </row>
    <row r="54" spans="1:54" x14ac:dyDescent="0.4">
      <c r="A54" s="59">
        <f t="shared" si="3"/>
        <v>0</v>
      </c>
      <c r="B54" s="9"/>
      <c r="C54" s="9"/>
      <c r="D54" s="9"/>
      <c r="E54" s="10"/>
      <c r="F54" s="9"/>
      <c r="I54" s="10"/>
      <c r="J54" s="10"/>
      <c r="K54" s="10"/>
      <c r="L54" s="10"/>
      <c r="M54" s="10"/>
      <c r="N54" s="11"/>
      <c r="O54" s="11"/>
      <c r="P54" s="11"/>
      <c r="Q54" s="11"/>
      <c r="R54" s="12"/>
      <c r="S54" s="11"/>
      <c r="T54" s="11"/>
      <c r="U54" s="11"/>
      <c r="V54" s="11"/>
      <c r="W54" s="11"/>
      <c r="X54" s="11"/>
      <c r="Y54" s="12"/>
      <c r="Z54" s="8"/>
      <c r="AA54" s="8"/>
      <c r="AB54" s="8"/>
      <c r="AC54" s="8"/>
      <c r="AD54" s="8"/>
      <c r="AE54" s="9"/>
      <c r="AF54" s="8"/>
      <c r="AG54" s="8"/>
      <c r="AH54" s="72"/>
      <c r="AI54" s="13"/>
      <c r="AJ54" s="13"/>
      <c r="AK54" s="13"/>
      <c r="AL54" s="13"/>
      <c r="AM54" s="9"/>
      <c r="AN54" s="9"/>
      <c r="AO54" s="9"/>
      <c r="AP54" s="9"/>
      <c r="AQ54" s="9"/>
      <c r="AR54" s="9"/>
      <c r="AS54" s="9"/>
      <c r="AT54" s="9"/>
      <c r="AU54" s="9"/>
      <c r="AV54" s="9"/>
      <c r="AW54" s="9"/>
      <c r="AX54" s="9"/>
      <c r="AY54" s="9"/>
      <c r="AZ54" s="9"/>
      <c r="BA54" s="9"/>
      <c r="BB54" s="9"/>
    </row>
    <row r="55" spans="1:54" x14ac:dyDescent="0.4">
      <c r="A55" s="59">
        <f t="shared" si="3"/>
        <v>0</v>
      </c>
      <c r="B55" s="9"/>
      <c r="C55" s="9"/>
      <c r="D55" s="9"/>
      <c r="E55" s="10"/>
      <c r="F55" s="9"/>
      <c r="I55" s="10"/>
      <c r="J55" s="10"/>
      <c r="K55" s="10"/>
      <c r="L55" s="10"/>
      <c r="M55" s="10"/>
      <c r="N55" s="11"/>
      <c r="O55" s="11"/>
      <c r="P55" s="11"/>
      <c r="Q55" s="11"/>
      <c r="R55" s="12"/>
      <c r="S55" s="11"/>
      <c r="T55" s="11"/>
      <c r="U55" s="11"/>
      <c r="V55" s="11"/>
      <c r="W55" s="11"/>
      <c r="X55" s="11"/>
      <c r="Y55" s="12"/>
      <c r="Z55" s="8"/>
      <c r="AA55" s="8"/>
      <c r="AB55" s="8"/>
      <c r="AC55" s="8"/>
      <c r="AD55" s="8"/>
      <c r="AE55" s="9"/>
      <c r="AF55" s="8"/>
      <c r="AG55" s="8"/>
      <c r="AH55" s="72"/>
      <c r="AI55" s="13"/>
      <c r="AJ55" s="13"/>
      <c r="AK55" s="13"/>
      <c r="AL55" s="13"/>
      <c r="AM55" s="9"/>
      <c r="AN55" s="9"/>
      <c r="AO55" s="9"/>
      <c r="AP55" s="9"/>
      <c r="AQ55" s="9"/>
      <c r="AR55" s="9"/>
      <c r="AS55" s="9"/>
      <c r="AT55" s="9"/>
      <c r="AU55" s="9"/>
      <c r="AV55" s="9"/>
      <c r="AW55" s="9"/>
      <c r="AX55" s="9"/>
      <c r="AY55" s="9"/>
      <c r="AZ55" s="9"/>
      <c r="BA55" s="9"/>
      <c r="BB55" s="9"/>
    </row>
    <row r="56" spans="1:54" x14ac:dyDescent="0.4">
      <c r="A56" s="59">
        <f t="shared" si="3"/>
        <v>0</v>
      </c>
      <c r="B56" s="9"/>
      <c r="C56" s="9"/>
      <c r="D56" s="9"/>
      <c r="E56" s="10"/>
      <c r="F56" s="9"/>
      <c r="I56" s="10"/>
      <c r="J56" s="10"/>
      <c r="K56" s="10"/>
      <c r="L56" s="10"/>
      <c r="M56" s="10"/>
      <c r="N56" s="11"/>
      <c r="O56" s="11"/>
      <c r="P56" s="11"/>
      <c r="Q56" s="11"/>
      <c r="R56" s="12"/>
      <c r="S56" s="11"/>
      <c r="T56" s="11"/>
      <c r="U56" s="11"/>
      <c r="V56" s="11"/>
      <c r="W56" s="11"/>
      <c r="X56" s="11"/>
      <c r="Y56" s="12"/>
      <c r="Z56" s="8"/>
      <c r="AA56" s="8"/>
      <c r="AB56" s="8"/>
      <c r="AC56" s="8"/>
      <c r="AD56" s="8"/>
      <c r="AE56" s="9"/>
      <c r="AF56" s="8"/>
      <c r="AG56" s="8"/>
      <c r="AH56" s="72"/>
      <c r="AI56" s="13"/>
      <c r="AJ56" s="13"/>
      <c r="AK56" s="13"/>
      <c r="AL56" s="13"/>
      <c r="AM56" s="9"/>
      <c r="AN56" s="9"/>
      <c r="AO56" s="9"/>
      <c r="AP56" s="9"/>
      <c r="AQ56" s="9"/>
      <c r="AR56" s="9"/>
      <c r="AS56" s="9"/>
      <c r="AT56" s="9"/>
      <c r="AU56" s="9"/>
      <c r="AV56" s="9"/>
      <c r="AW56" s="9"/>
      <c r="AX56" s="9"/>
      <c r="AY56" s="9"/>
      <c r="AZ56" s="9"/>
      <c r="BA56" s="9"/>
      <c r="BB56" s="9"/>
    </row>
    <row r="57" spans="1:54" x14ac:dyDescent="0.4">
      <c r="A57" s="59">
        <f t="shared" si="3"/>
        <v>0</v>
      </c>
      <c r="B57" s="9"/>
      <c r="C57" s="9"/>
      <c r="D57" s="9"/>
      <c r="E57" s="10"/>
      <c r="F57" s="9"/>
      <c r="I57" s="10"/>
      <c r="J57" s="10"/>
      <c r="K57" s="10"/>
      <c r="L57" s="10"/>
      <c r="M57" s="10"/>
      <c r="N57" s="11"/>
      <c r="O57" s="11"/>
      <c r="P57" s="11"/>
      <c r="Q57" s="11"/>
      <c r="R57" s="12"/>
      <c r="S57" s="11"/>
      <c r="T57" s="11"/>
      <c r="U57" s="11"/>
      <c r="V57" s="11"/>
      <c r="W57" s="11"/>
      <c r="X57" s="11"/>
      <c r="Y57" s="12"/>
      <c r="Z57" s="8"/>
      <c r="AA57" s="8"/>
      <c r="AB57" s="8"/>
      <c r="AC57" s="8"/>
      <c r="AD57" s="8"/>
      <c r="AE57" s="9"/>
      <c r="AF57" s="8"/>
      <c r="AG57" s="8"/>
      <c r="AH57" s="72"/>
      <c r="AI57" s="13"/>
      <c r="AJ57" s="13"/>
      <c r="AK57" s="13"/>
      <c r="AL57" s="13"/>
      <c r="AM57" s="9"/>
      <c r="AN57" s="9"/>
      <c r="AO57" s="9"/>
      <c r="AP57" s="9"/>
      <c r="AQ57" s="9"/>
      <c r="AR57" s="9"/>
      <c r="AS57" s="9"/>
      <c r="AT57" s="9"/>
      <c r="AU57" s="9"/>
      <c r="AV57" s="9"/>
      <c r="AW57" s="9"/>
      <c r="AX57" s="9"/>
      <c r="AY57" s="9"/>
      <c r="AZ57" s="9"/>
      <c r="BA57" s="9"/>
      <c r="BB57" s="9"/>
    </row>
    <row r="58" spans="1:54" x14ac:dyDescent="0.4">
      <c r="A58" s="59">
        <f t="shared" si="3"/>
        <v>0</v>
      </c>
      <c r="B58" s="9"/>
      <c r="C58" s="9"/>
      <c r="D58" s="9"/>
      <c r="E58" s="10"/>
      <c r="F58" s="9"/>
      <c r="I58" s="10"/>
      <c r="J58" s="10"/>
      <c r="K58" s="10"/>
      <c r="L58" s="10"/>
      <c r="M58" s="10"/>
      <c r="N58" s="11"/>
      <c r="O58" s="11"/>
      <c r="P58" s="11"/>
      <c r="Q58" s="11"/>
      <c r="R58" s="12"/>
      <c r="S58" s="11"/>
      <c r="T58" s="11"/>
      <c r="U58" s="11"/>
      <c r="V58" s="11"/>
      <c r="W58" s="11"/>
      <c r="X58" s="11"/>
      <c r="Y58" s="12"/>
      <c r="Z58" s="8"/>
      <c r="AA58" s="8"/>
      <c r="AB58" s="8"/>
      <c r="AC58" s="8"/>
      <c r="AD58" s="8"/>
      <c r="AE58" s="9"/>
      <c r="AF58" s="8"/>
      <c r="AG58" s="8"/>
      <c r="AH58" s="72"/>
      <c r="AI58" s="13"/>
      <c r="AJ58" s="13"/>
      <c r="AK58" s="13"/>
      <c r="AL58" s="13"/>
      <c r="AM58" s="9"/>
      <c r="AN58" s="9"/>
      <c r="AO58" s="9"/>
      <c r="AP58" s="9"/>
      <c r="AQ58" s="9"/>
      <c r="AR58" s="9"/>
      <c r="AS58" s="9"/>
      <c r="AT58" s="9"/>
      <c r="AU58" s="9"/>
      <c r="AV58" s="9"/>
      <c r="AW58" s="9"/>
      <c r="AX58" s="9"/>
      <c r="AY58" s="9"/>
      <c r="AZ58" s="9"/>
      <c r="BA58" s="9"/>
      <c r="BB58" s="9"/>
    </row>
    <row r="59" spans="1:54" x14ac:dyDescent="0.4">
      <c r="A59" s="59">
        <f t="shared" si="3"/>
        <v>0</v>
      </c>
      <c r="B59" s="9"/>
      <c r="C59" s="9"/>
      <c r="D59" s="9"/>
      <c r="E59" s="10"/>
      <c r="F59" s="9"/>
      <c r="I59" s="10"/>
      <c r="J59" s="10"/>
      <c r="K59" s="10"/>
      <c r="L59" s="10"/>
      <c r="M59" s="10"/>
      <c r="N59" s="11"/>
      <c r="O59" s="11"/>
      <c r="P59" s="11"/>
      <c r="Q59" s="11"/>
      <c r="R59" s="12"/>
      <c r="S59" s="11"/>
      <c r="T59" s="11"/>
      <c r="U59" s="11"/>
      <c r="V59" s="11"/>
      <c r="W59" s="11"/>
      <c r="X59" s="11"/>
      <c r="Y59" s="12"/>
      <c r="Z59" s="8"/>
      <c r="AA59" s="8"/>
      <c r="AB59" s="8"/>
      <c r="AC59" s="8"/>
      <c r="AD59" s="8"/>
      <c r="AE59" s="9"/>
      <c r="AF59" s="8"/>
      <c r="AG59" s="8"/>
      <c r="AH59" s="72"/>
      <c r="AI59" s="13"/>
      <c r="AJ59" s="13"/>
      <c r="AK59" s="13"/>
      <c r="AL59" s="13"/>
      <c r="AM59" s="9"/>
      <c r="AN59" s="9"/>
      <c r="AO59" s="9"/>
      <c r="AP59" s="9"/>
      <c r="AQ59" s="9"/>
      <c r="AR59" s="9"/>
      <c r="AS59" s="9"/>
      <c r="AT59" s="9"/>
      <c r="AU59" s="9"/>
      <c r="AV59" s="9"/>
      <c r="AW59" s="9"/>
      <c r="AX59" s="9"/>
      <c r="AY59" s="9"/>
      <c r="AZ59" s="9"/>
      <c r="BA59" s="9"/>
      <c r="BB59" s="9"/>
    </row>
    <row r="60" spans="1:54" x14ac:dyDescent="0.4">
      <c r="A60" s="59">
        <f t="shared" si="3"/>
        <v>0</v>
      </c>
      <c r="B60" s="9"/>
      <c r="C60" s="9"/>
      <c r="D60" s="9"/>
      <c r="E60" s="10"/>
      <c r="F60" s="9"/>
      <c r="I60" s="10"/>
      <c r="J60" s="10"/>
      <c r="K60" s="10"/>
      <c r="L60" s="10"/>
      <c r="M60" s="10"/>
      <c r="N60" s="11"/>
      <c r="O60" s="11"/>
      <c r="P60" s="11"/>
      <c r="Q60" s="11"/>
      <c r="R60" s="12"/>
      <c r="S60" s="11"/>
      <c r="T60" s="11"/>
      <c r="U60" s="11"/>
      <c r="V60" s="11"/>
      <c r="W60" s="11"/>
      <c r="X60" s="11"/>
      <c r="Y60" s="12"/>
      <c r="Z60" s="8"/>
      <c r="AA60" s="8"/>
      <c r="AB60" s="8"/>
      <c r="AC60" s="8"/>
      <c r="AD60" s="8"/>
      <c r="AE60" s="9"/>
      <c r="AF60" s="8"/>
      <c r="AG60" s="8"/>
      <c r="AH60" s="72"/>
      <c r="AI60" s="13"/>
      <c r="AJ60" s="13"/>
      <c r="AK60" s="13"/>
      <c r="AL60" s="13"/>
      <c r="AM60" s="9"/>
      <c r="AN60" s="9"/>
      <c r="AO60" s="9"/>
      <c r="AP60" s="9"/>
      <c r="AQ60" s="9"/>
      <c r="AR60" s="9"/>
      <c r="AS60" s="9"/>
      <c r="AT60" s="9"/>
      <c r="AU60" s="9"/>
      <c r="AV60" s="9"/>
      <c r="AW60" s="9"/>
      <c r="AX60" s="9"/>
      <c r="AY60" s="9"/>
      <c r="AZ60" s="9"/>
      <c r="BA60" s="9"/>
      <c r="BB60" s="9"/>
    </row>
    <row r="61" spans="1:54" x14ac:dyDescent="0.4">
      <c r="A61" s="59">
        <f t="shared" si="3"/>
        <v>0</v>
      </c>
      <c r="B61" s="9"/>
      <c r="C61" s="9"/>
      <c r="D61" s="9"/>
      <c r="E61" s="10"/>
      <c r="F61" s="9"/>
      <c r="I61" s="10"/>
      <c r="J61" s="10"/>
      <c r="K61" s="10"/>
      <c r="L61" s="10"/>
      <c r="M61" s="10"/>
      <c r="N61" s="11"/>
      <c r="O61" s="11"/>
      <c r="P61" s="11"/>
      <c r="Q61" s="11"/>
      <c r="R61" s="12"/>
      <c r="S61" s="11"/>
      <c r="T61" s="11"/>
      <c r="U61" s="11"/>
      <c r="V61" s="11"/>
      <c r="W61" s="11"/>
      <c r="X61" s="11"/>
      <c r="Y61" s="12"/>
      <c r="Z61" s="8"/>
      <c r="AA61" s="8"/>
      <c r="AB61" s="8"/>
      <c r="AC61" s="8"/>
      <c r="AD61" s="8"/>
      <c r="AE61" s="9"/>
      <c r="AF61" s="8"/>
      <c r="AG61" s="8"/>
      <c r="AH61" s="72"/>
      <c r="AI61" s="13"/>
      <c r="AJ61" s="13"/>
      <c r="AK61" s="13"/>
      <c r="AL61" s="13"/>
      <c r="AM61" s="9"/>
      <c r="AN61" s="9"/>
      <c r="AO61" s="9"/>
      <c r="AP61" s="9"/>
      <c r="AQ61" s="9"/>
      <c r="AR61" s="9"/>
      <c r="AS61" s="9"/>
      <c r="AT61" s="9"/>
      <c r="AU61" s="9"/>
      <c r="AV61" s="9"/>
      <c r="AW61" s="9"/>
      <c r="AX61" s="9"/>
      <c r="AY61" s="9"/>
      <c r="AZ61" s="9"/>
      <c r="BA61" s="9"/>
      <c r="BB61" s="9"/>
    </row>
    <row r="62" spans="1:54" x14ac:dyDescent="0.4">
      <c r="A62" s="59">
        <f t="shared" si="3"/>
        <v>0</v>
      </c>
      <c r="B62" s="9"/>
      <c r="C62" s="9"/>
      <c r="D62" s="9"/>
      <c r="E62" s="10"/>
      <c r="F62" s="9"/>
      <c r="I62" s="10"/>
      <c r="J62" s="10"/>
      <c r="K62" s="10"/>
      <c r="L62" s="10"/>
      <c r="M62" s="10"/>
      <c r="N62" s="11"/>
      <c r="O62" s="11"/>
      <c r="P62" s="11"/>
      <c r="Q62" s="11"/>
      <c r="R62" s="12"/>
      <c r="S62" s="11"/>
      <c r="T62" s="11"/>
      <c r="U62" s="11"/>
      <c r="V62" s="11"/>
      <c r="W62" s="11"/>
      <c r="X62" s="11"/>
      <c r="Y62" s="12"/>
      <c r="Z62" s="8"/>
      <c r="AA62" s="8"/>
      <c r="AB62" s="8"/>
      <c r="AC62" s="8"/>
      <c r="AD62" s="8"/>
      <c r="AE62" s="9"/>
      <c r="AF62" s="8"/>
      <c r="AG62" s="8"/>
      <c r="AH62" s="72"/>
      <c r="AI62" s="13"/>
      <c r="AJ62" s="13"/>
      <c r="AK62" s="13"/>
      <c r="AL62" s="13"/>
      <c r="AM62" s="9"/>
      <c r="AN62" s="9"/>
      <c r="AO62" s="9"/>
      <c r="AP62" s="9"/>
      <c r="AQ62" s="9"/>
      <c r="AR62" s="9"/>
      <c r="AS62" s="9"/>
      <c r="AT62" s="9"/>
      <c r="AU62" s="9"/>
      <c r="AV62" s="9"/>
      <c r="AW62" s="9"/>
      <c r="AX62" s="9"/>
      <c r="AY62" s="9"/>
      <c r="AZ62" s="9"/>
      <c r="BA62" s="9"/>
      <c r="BB62" s="9"/>
    </row>
    <row r="63" spans="1:54" x14ac:dyDescent="0.4">
      <c r="A63" s="59">
        <f t="shared" si="3"/>
        <v>0</v>
      </c>
      <c r="B63" s="9"/>
      <c r="C63" s="9"/>
      <c r="D63" s="9"/>
      <c r="E63" s="10"/>
      <c r="F63" s="9"/>
      <c r="I63" s="10"/>
      <c r="J63" s="10"/>
      <c r="K63" s="10"/>
      <c r="L63" s="10"/>
      <c r="M63" s="10"/>
      <c r="N63" s="11"/>
      <c r="O63" s="11"/>
      <c r="P63" s="11"/>
      <c r="Q63" s="11"/>
      <c r="R63" s="12"/>
      <c r="S63" s="11"/>
      <c r="T63" s="11"/>
      <c r="U63" s="11"/>
      <c r="V63" s="11"/>
      <c r="W63" s="11"/>
      <c r="X63" s="11"/>
      <c r="Y63" s="12"/>
      <c r="Z63" s="8"/>
      <c r="AA63" s="8"/>
      <c r="AB63" s="8"/>
      <c r="AC63" s="8"/>
      <c r="AD63" s="8"/>
      <c r="AE63" s="9"/>
      <c r="AF63" s="8"/>
      <c r="AG63" s="8"/>
      <c r="AH63" s="72"/>
      <c r="AI63" s="13"/>
      <c r="AJ63" s="13"/>
      <c r="AK63" s="13"/>
      <c r="AL63" s="13"/>
      <c r="AM63" s="9"/>
      <c r="AN63" s="9"/>
      <c r="AO63" s="9"/>
      <c r="AP63" s="9"/>
      <c r="AQ63" s="9"/>
      <c r="AR63" s="9"/>
      <c r="AS63" s="9"/>
      <c r="AT63" s="9"/>
      <c r="AU63" s="9"/>
      <c r="AV63" s="9"/>
      <c r="AW63" s="9"/>
      <c r="AX63" s="9"/>
      <c r="AY63" s="9"/>
      <c r="AZ63" s="9"/>
      <c r="BA63" s="9"/>
      <c r="BB63" s="9"/>
    </row>
    <row r="64" spans="1:54" x14ac:dyDescent="0.4">
      <c r="A64" s="59">
        <f t="shared" si="3"/>
        <v>0</v>
      </c>
      <c r="B64" s="9"/>
      <c r="C64" s="9"/>
      <c r="D64" s="9"/>
      <c r="E64" s="10"/>
      <c r="F64" s="9"/>
      <c r="I64" s="10"/>
      <c r="J64" s="10"/>
      <c r="K64" s="10"/>
      <c r="L64" s="10"/>
      <c r="M64" s="10"/>
      <c r="N64" s="11"/>
      <c r="O64" s="11"/>
      <c r="P64" s="11"/>
      <c r="Q64" s="11"/>
      <c r="R64" s="12"/>
      <c r="S64" s="11"/>
      <c r="T64" s="11"/>
      <c r="U64" s="11"/>
      <c r="V64" s="11"/>
      <c r="W64" s="11"/>
      <c r="X64" s="11"/>
      <c r="Y64" s="12"/>
      <c r="Z64" s="8"/>
      <c r="AA64" s="8"/>
      <c r="AB64" s="8"/>
      <c r="AC64" s="8"/>
      <c r="AD64" s="8"/>
      <c r="AE64" s="9"/>
      <c r="AF64" s="8"/>
      <c r="AG64" s="8"/>
      <c r="AH64" s="72"/>
      <c r="AI64" s="13"/>
      <c r="AJ64" s="13"/>
      <c r="AK64" s="13"/>
      <c r="AL64" s="13"/>
      <c r="AM64" s="9"/>
      <c r="AN64" s="9"/>
      <c r="AO64" s="9"/>
      <c r="AP64" s="9"/>
      <c r="AQ64" s="9"/>
      <c r="AR64" s="9"/>
      <c r="AS64" s="9"/>
      <c r="AT64" s="9"/>
      <c r="AU64" s="9"/>
      <c r="AV64" s="9"/>
      <c r="AW64" s="9"/>
      <c r="AX64" s="9"/>
      <c r="AY64" s="9"/>
      <c r="AZ64" s="9"/>
      <c r="BA64" s="9"/>
      <c r="BB64" s="9"/>
    </row>
    <row r="65" spans="1:54" x14ac:dyDescent="0.4">
      <c r="A65" s="59">
        <f t="shared" si="3"/>
        <v>0</v>
      </c>
      <c r="B65" s="9"/>
      <c r="C65" s="9"/>
      <c r="D65" s="9"/>
      <c r="E65" s="10"/>
      <c r="F65" s="9"/>
      <c r="I65" s="10"/>
      <c r="J65" s="10"/>
      <c r="K65" s="10"/>
      <c r="L65" s="10"/>
      <c r="M65" s="10"/>
      <c r="N65" s="11"/>
      <c r="O65" s="11"/>
      <c r="P65" s="11"/>
      <c r="Q65" s="11"/>
      <c r="R65" s="12"/>
      <c r="S65" s="11"/>
      <c r="T65" s="11"/>
      <c r="U65" s="11"/>
      <c r="V65" s="11"/>
      <c r="W65" s="11"/>
      <c r="X65" s="11"/>
      <c r="Y65" s="12"/>
      <c r="Z65" s="8"/>
      <c r="AA65" s="8"/>
      <c r="AB65" s="8"/>
      <c r="AC65" s="8"/>
      <c r="AD65" s="8"/>
      <c r="AE65" s="9"/>
      <c r="AF65" s="8"/>
      <c r="AG65" s="8"/>
      <c r="AH65" s="72"/>
      <c r="AI65" s="13"/>
      <c r="AJ65" s="13"/>
      <c r="AK65" s="13"/>
      <c r="AL65" s="13"/>
      <c r="AM65" s="9"/>
      <c r="AN65" s="9"/>
      <c r="AO65" s="9"/>
      <c r="AP65" s="9"/>
      <c r="AQ65" s="9"/>
      <c r="AR65" s="9"/>
      <c r="AS65" s="9"/>
      <c r="AT65" s="9"/>
      <c r="AU65" s="9"/>
      <c r="AV65" s="9"/>
      <c r="AW65" s="9"/>
      <c r="AX65" s="9"/>
      <c r="AY65" s="9"/>
      <c r="AZ65" s="9"/>
      <c r="BA65" s="9"/>
      <c r="BB65" s="9"/>
    </row>
    <row r="66" spans="1:54" x14ac:dyDescent="0.4">
      <c r="A66" s="59">
        <f t="shared" si="3"/>
        <v>0</v>
      </c>
      <c r="B66" s="9"/>
      <c r="C66" s="9"/>
      <c r="D66" s="9"/>
      <c r="E66" s="10"/>
      <c r="F66" s="9"/>
      <c r="I66" s="10"/>
      <c r="J66" s="10"/>
      <c r="K66" s="10"/>
      <c r="L66" s="10"/>
      <c r="M66" s="10"/>
      <c r="N66" s="11"/>
      <c r="O66" s="11"/>
      <c r="P66" s="11"/>
      <c r="Q66" s="11"/>
      <c r="R66" s="12"/>
      <c r="S66" s="11"/>
      <c r="T66" s="11"/>
      <c r="U66" s="11"/>
      <c r="V66" s="11"/>
      <c r="W66" s="11"/>
      <c r="X66" s="11"/>
      <c r="Y66" s="12"/>
      <c r="Z66" s="8"/>
      <c r="AA66" s="8"/>
      <c r="AB66" s="8"/>
      <c r="AC66" s="8"/>
      <c r="AD66" s="8"/>
      <c r="AE66" s="9"/>
      <c r="AF66" s="8"/>
      <c r="AG66" s="8"/>
      <c r="AH66" s="72"/>
      <c r="AI66" s="13"/>
      <c r="AJ66" s="13"/>
      <c r="AK66" s="13"/>
      <c r="AL66" s="13"/>
      <c r="AM66" s="9"/>
      <c r="AN66" s="9"/>
      <c r="AO66" s="9"/>
      <c r="AP66" s="9"/>
      <c r="AQ66" s="9"/>
      <c r="AR66" s="9"/>
      <c r="AS66" s="9"/>
      <c r="AT66" s="9"/>
      <c r="AU66" s="9"/>
      <c r="AV66" s="9"/>
      <c r="AW66" s="9"/>
      <c r="AX66" s="9"/>
      <c r="AY66" s="9"/>
      <c r="AZ66" s="9"/>
      <c r="BA66" s="9"/>
      <c r="BB66" s="9"/>
    </row>
    <row r="67" spans="1:54" x14ac:dyDescent="0.4">
      <c r="A67" s="59">
        <f t="shared" si="3"/>
        <v>0</v>
      </c>
      <c r="B67" s="9"/>
      <c r="C67" s="9"/>
      <c r="D67" s="9"/>
      <c r="E67" s="10"/>
      <c r="F67" s="9"/>
      <c r="I67" s="10"/>
      <c r="J67" s="10"/>
      <c r="K67" s="10"/>
      <c r="L67" s="10"/>
      <c r="M67" s="10"/>
      <c r="N67" s="11"/>
      <c r="O67" s="11"/>
      <c r="P67" s="11"/>
      <c r="Q67" s="11"/>
      <c r="R67" s="12"/>
      <c r="S67" s="11"/>
      <c r="T67" s="11"/>
      <c r="U67" s="11"/>
      <c r="V67" s="11"/>
      <c r="W67" s="11"/>
      <c r="X67" s="11"/>
      <c r="Y67" s="12"/>
      <c r="Z67" s="8"/>
      <c r="AA67" s="8"/>
      <c r="AB67" s="8"/>
      <c r="AC67" s="8"/>
      <c r="AD67" s="8"/>
      <c r="AE67" s="9"/>
      <c r="AF67" s="8"/>
      <c r="AG67" s="8"/>
      <c r="AH67" s="72"/>
      <c r="AI67" s="13"/>
      <c r="AJ67" s="13"/>
      <c r="AK67" s="13"/>
      <c r="AL67" s="13"/>
      <c r="AM67" s="9"/>
      <c r="AN67" s="9"/>
      <c r="AO67" s="9"/>
      <c r="AP67" s="9"/>
      <c r="AQ67" s="9"/>
      <c r="AR67" s="9"/>
      <c r="AS67" s="9"/>
      <c r="AT67" s="9"/>
      <c r="AU67" s="9"/>
      <c r="AV67" s="9"/>
      <c r="AW67" s="9"/>
      <c r="AX67" s="9"/>
      <c r="AY67" s="9"/>
      <c r="AZ67" s="9"/>
      <c r="BA67" s="9"/>
      <c r="BB67" s="9"/>
    </row>
    <row r="68" spans="1:54" x14ac:dyDescent="0.4">
      <c r="A68" s="59">
        <f t="shared" si="3"/>
        <v>0</v>
      </c>
      <c r="B68" s="9"/>
      <c r="C68" s="9"/>
      <c r="D68" s="9"/>
      <c r="E68" s="10"/>
      <c r="F68" s="9"/>
      <c r="I68" s="10"/>
      <c r="J68" s="10"/>
      <c r="K68" s="10"/>
      <c r="L68" s="10"/>
      <c r="M68" s="10"/>
      <c r="N68" s="11"/>
      <c r="O68" s="11"/>
      <c r="P68" s="11"/>
      <c r="Q68" s="11"/>
      <c r="R68" s="12"/>
      <c r="S68" s="11"/>
      <c r="T68" s="11"/>
      <c r="U68" s="11"/>
      <c r="V68" s="11"/>
      <c r="W68" s="11"/>
      <c r="X68" s="11"/>
      <c r="Y68" s="12"/>
      <c r="Z68" s="8"/>
      <c r="AA68" s="8"/>
      <c r="AB68" s="8"/>
      <c r="AC68" s="8"/>
      <c r="AD68" s="8"/>
      <c r="AE68" s="9"/>
      <c r="AF68" s="8"/>
      <c r="AG68" s="8"/>
      <c r="AH68" s="72"/>
      <c r="AI68" s="13"/>
      <c r="AJ68" s="13"/>
      <c r="AK68" s="13"/>
      <c r="AL68" s="13"/>
      <c r="AM68" s="9"/>
      <c r="AN68" s="9"/>
      <c r="AO68" s="9"/>
      <c r="AP68" s="9"/>
      <c r="AQ68" s="9"/>
      <c r="AR68" s="9"/>
      <c r="AS68" s="9"/>
      <c r="AT68" s="9"/>
      <c r="AU68" s="9"/>
      <c r="AV68" s="9"/>
      <c r="AW68" s="9"/>
      <c r="AX68" s="9"/>
      <c r="AY68" s="9"/>
      <c r="AZ68" s="9"/>
      <c r="BA68" s="9"/>
      <c r="BB68" s="9"/>
    </row>
    <row r="69" spans="1:54" x14ac:dyDescent="0.4">
      <c r="A69" s="59">
        <f t="shared" si="3"/>
        <v>0</v>
      </c>
      <c r="B69" s="9"/>
      <c r="C69" s="9"/>
      <c r="D69" s="9"/>
      <c r="E69" s="10"/>
      <c r="F69" s="9"/>
      <c r="I69" s="10"/>
      <c r="J69" s="10"/>
      <c r="K69" s="10"/>
      <c r="L69" s="10"/>
      <c r="M69" s="10"/>
      <c r="N69" s="11"/>
      <c r="O69" s="11"/>
      <c r="P69" s="11"/>
      <c r="Q69" s="11"/>
      <c r="R69" s="12"/>
      <c r="S69" s="11"/>
      <c r="T69" s="11"/>
      <c r="U69" s="11"/>
      <c r="V69" s="11"/>
      <c r="W69" s="11"/>
      <c r="X69" s="11"/>
      <c r="Y69" s="12"/>
      <c r="Z69" s="8"/>
      <c r="AA69" s="8"/>
      <c r="AB69" s="8"/>
      <c r="AC69" s="8"/>
      <c r="AD69" s="8"/>
      <c r="AE69" s="9"/>
      <c r="AF69" s="8"/>
      <c r="AG69" s="8"/>
      <c r="AH69" s="72"/>
      <c r="AI69" s="13"/>
      <c r="AJ69" s="13"/>
      <c r="AK69" s="13"/>
      <c r="AL69" s="13"/>
      <c r="AM69" s="9"/>
      <c r="AN69" s="9"/>
      <c r="AO69" s="9"/>
      <c r="AP69" s="9"/>
      <c r="AQ69" s="9"/>
      <c r="AR69" s="9"/>
      <c r="AS69" s="9"/>
      <c r="AT69" s="9"/>
      <c r="AU69" s="9"/>
      <c r="AV69" s="9"/>
      <c r="AW69" s="9"/>
      <c r="AX69" s="9"/>
      <c r="AY69" s="9"/>
      <c r="AZ69" s="9"/>
      <c r="BA69" s="9"/>
      <c r="BB69" s="9"/>
    </row>
    <row r="70" spans="1:54" x14ac:dyDescent="0.4">
      <c r="A70" s="59">
        <f t="shared" si="3"/>
        <v>0</v>
      </c>
      <c r="B70" s="9"/>
      <c r="C70" s="9"/>
      <c r="D70" s="9"/>
      <c r="E70" s="10"/>
      <c r="F70" s="9"/>
      <c r="I70" s="10"/>
      <c r="J70" s="10"/>
      <c r="K70" s="10"/>
      <c r="L70" s="10"/>
      <c r="M70" s="10"/>
      <c r="N70" s="11"/>
      <c r="O70" s="11"/>
      <c r="P70" s="11"/>
      <c r="Q70" s="11"/>
      <c r="R70" s="12"/>
      <c r="S70" s="11"/>
      <c r="T70" s="11"/>
      <c r="U70" s="11"/>
      <c r="V70" s="11"/>
      <c r="W70" s="11"/>
      <c r="X70" s="11"/>
      <c r="Y70" s="12"/>
      <c r="Z70" s="8"/>
      <c r="AA70" s="8"/>
      <c r="AB70" s="8"/>
      <c r="AC70" s="8"/>
      <c r="AD70" s="8"/>
      <c r="AE70" s="9"/>
      <c r="AF70" s="8"/>
      <c r="AG70" s="8"/>
      <c r="AH70" s="72"/>
      <c r="AI70" s="13"/>
      <c r="AJ70" s="13"/>
      <c r="AK70" s="13"/>
      <c r="AL70" s="13"/>
      <c r="AM70" s="9"/>
      <c r="AN70" s="9"/>
      <c r="AO70" s="9"/>
      <c r="AP70" s="9"/>
      <c r="AQ70" s="9"/>
      <c r="AR70" s="9"/>
      <c r="AS70" s="9"/>
      <c r="AT70" s="9"/>
      <c r="AU70" s="9"/>
      <c r="AV70" s="9"/>
      <c r="AW70" s="9"/>
      <c r="AX70" s="9"/>
      <c r="AY70" s="9"/>
      <c r="AZ70" s="9"/>
      <c r="BA70" s="9"/>
      <c r="BB70" s="9"/>
    </row>
    <row r="71" spans="1:54" x14ac:dyDescent="0.4">
      <c r="A71" s="59">
        <f t="shared" si="3"/>
        <v>0</v>
      </c>
      <c r="B71" s="9"/>
      <c r="C71" s="9"/>
      <c r="D71" s="9"/>
      <c r="E71" s="10"/>
      <c r="F71" s="9"/>
      <c r="I71" s="10"/>
      <c r="J71" s="10"/>
      <c r="K71" s="10"/>
      <c r="L71" s="10"/>
      <c r="M71" s="10"/>
      <c r="N71" s="11"/>
      <c r="O71" s="11"/>
      <c r="P71" s="11"/>
      <c r="Q71" s="11"/>
      <c r="R71" s="12"/>
      <c r="S71" s="11"/>
      <c r="T71" s="11"/>
      <c r="U71" s="11"/>
      <c r="V71" s="11"/>
      <c r="W71" s="11"/>
      <c r="X71" s="11"/>
      <c r="Y71" s="12"/>
      <c r="Z71" s="8"/>
      <c r="AA71" s="8"/>
      <c r="AB71" s="8"/>
      <c r="AC71" s="8"/>
      <c r="AD71" s="8"/>
      <c r="AE71" s="9"/>
      <c r="AF71" s="8"/>
      <c r="AG71" s="8"/>
      <c r="AH71" s="72"/>
      <c r="AI71" s="13"/>
      <c r="AJ71" s="13"/>
      <c r="AK71" s="13"/>
      <c r="AL71" s="13"/>
      <c r="AM71" s="9"/>
      <c r="AN71" s="9"/>
      <c r="AO71" s="9"/>
      <c r="AP71" s="9"/>
      <c r="AQ71" s="9"/>
      <c r="AR71" s="9"/>
      <c r="AS71" s="9"/>
      <c r="AT71" s="9"/>
      <c r="AU71" s="9"/>
      <c r="AV71" s="9"/>
      <c r="AW71" s="9"/>
      <c r="AX71" s="9"/>
      <c r="AY71" s="9"/>
      <c r="AZ71" s="9"/>
      <c r="BA71" s="9"/>
      <c r="BB71" s="9"/>
    </row>
    <row r="72" spans="1:54" x14ac:dyDescent="0.4">
      <c r="A72" s="59">
        <f t="shared" si="3"/>
        <v>0</v>
      </c>
      <c r="B72" s="9"/>
      <c r="C72" s="9"/>
      <c r="D72" s="9"/>
      <c r="E72" s="10"/>
      <c r="F72" s="9"/>
      <c r="I72" s="10"/>
      <c r="J72" s="10"/>
      <c r="K72" s="10"/>
      <c r="L72" s="10"/>
      <c r="M72" s="10"/>
      <c r="N72" s="11"/>
      <c r="O72" s="11"/>
      <c r="P72" s="11"/>
      <c r="Q72" s="11"/>
      <c r="R72" s="12"/>
      <c r="S72" s="11"/>
      <c r="T72" s="11"/>
      <c r="U72" s="11"/>
      <c r="V72" s="11"/>
      <c r="W72" s="11"/>
      <c r="X72" s="11"/>
      <c r="Y72" s="12"/>
      <c r="Z72" s="8"/>
      <c r="AA72" s="8"/>
      <c r="AB72" s="8"/>
      <c r="AC72" s="8"/>
      <c r="AD72" s="8"/>
      <c r="AE72" s="9"/>
      <c r="AF72" s="8"/>
      <c r="AG72" s="8"/>
      <c r="AH72" s="72"/>
      <c r="AI72" s="13"/>
      <c r="AJ72" s="13"/>
      <c r="AK72" s="13"/>
      <c r="AL72" s="13"/>
      <c r="AM72" s="9"/>
      <c r="AN72" s="9"/>
      <c r="AO72" s="9"/>
      <c r="AP72" s="9"/>
      <c r="AQ72" s="9"/>
      <c r="AR72" s="9"/>
      <c r="AS72" s="9"/>
      <c r="AT72" s="9"/>
      <c r="AU72" s="9"/>
      <c r="AV72" s="9"/>
      <c r="AW72" s="9"/>
      <c r="AX72" s="9"/>
      <c r="AY72" s="9"/>
      <c r="AZ72" s="9"/>
      <c r="BA72" s="9"/>
      <c r="BB72" s="9"/>
    </row>
    <row r="73" spans="1:54" x14ac:dyDescent="0.4">
      <c r="A73" s="59">
        <f t="shared" si="3"/>
        <v>0</v>
      </c>
      <c r="B73" s="9"/>
      <c r="C73" s="9"/>
      <c r="D73" s="9"/>
      <c r="E73" s="10"/>
      <c r="F73" s="9"/>
      <c r="I73" s="10"/>
      <c r="J73" s="10"/>
      <c r="K73" s="10"/>
      <c r="L73" s="10"/>
      <c r="M73" s="10"/>
      <c r="N73" s="11"/>
      <c r="O73" s="11"/>
      <c r="P73" s="11"/>
      <c r="Q73" s="11"/>
      <c r="R73" s="12"/>
      <c r="S73" s="11"/>
      <c r="T73" s="11"/>
      <c r="U73" s="11"/>
      <c r="V73" s="11"/>
      <c r="W73" s="11"/>
      <c r="X73" s="11"/>
      <c r="Y73" s="12"/>
      <c r="Z73" s="8"/>
      <c r="AA73" s="8"/>
      <c r="AB73" s="8"/>
      <c r="AC73" s="8"/>
      <c r="AD73" s="8"/>
      <c r="AE73" s="9"/>
      <c r="AF73" s="8"/>
      <c r="AG73" s="8"/>
      <c r="AH73" s="72"/>
      <c r="AI73" s="13"/>
      <c r="AJ73" s="13"/>
      <c r="AK73" s="13"/>
      <c r="AL73" s="13"/>
      <c r="AM73" s="9"/>
      <c r="AN73" s="9"/>
      <c r="AO73" s="9"/>
      <c r="AP73" s="9"/>
      <c r="AQ73" s="9"/>
      <c r="AR73" s="9"/>
      <c r="AS73" s="9"/>
      <c r="AT73" s="9"/>
      <c r="AU73" s="9"/>
      <c r="AV73" s="9"/>
      <c r="AW73" s="9"/>
      <c r="AX73" s="9"/>
      <c r="AY73" s="9"/>
      <c r="AZ73" s="9"/>
      <c r="BA73" s="9"/>
      <c r="BB73" s="9"/>
    </row>
    <row r="74" spans="1:54" x14ac:dyDescent="0.4">
      <c r="A74" s="59">
        <f t="shared" si="3"/>
        <v>0</v>
      </c>
      <c r="B74" s="9"/>
      <c r="C74" s="9"/>
      <c r="D74" s="9"/>
      <c r="E74" s="10"/>
      <c r="F74" s="9"/>
      <c r="I74" s="10"/>
      <c r="J74" s="10"/>
      <c r="K74" s="10"/>
      <c r="L74" s="10"/>
      <c r="M74" s="10"/>
      <c r="N74" s="11"/>
      <c r="O74" s="11"/>
      <c r="P74" s="11"/>
      <c r="Q74" s="11"/>
      <c r="R74" s="12"/>
      <c r="S74" s="11"/>
      <c r="T74" s="11"/>
      <c r="U74" s="11"/>
      <c r="V74" s="11"/>
      <c r="W74" s="11"/>
      <c r="X74" s="11"/>
      <c r="Y74" s="12"/>
      <c r="Z74" s="8"/>
      <c r="AA74" s="8"/>
      <c r="AB74" s="8"/>
      <c r="AC74" s="8"/>
      <c r="AD74" s="8"/>
      <c r="AE74" s="9"/>
      <c r="AF74" s="8"/>
      <c r="AG74" s="8"/>
      <c r="AH74" s="72"/>
      <c r="AI74" s="13"/>
      <c r="AJ74" s="13"/>
      <c r="AK74" s="13"/>
      <c r="AL74" s="13"/>
      <c r="AM74" s="9"/>
      <c r="AN74" s="9"/>
      <c r="AO74" s="9"/>
      <c r="AP74" s="9"/>
      <c r="AQ74" s="9"/>
      <c r="AR74" s="9"/>
      <c r="AS74" s="9"/>
      <c r="AT74" s="9"/>
      <c r="AU74" s="9"/>
      <c r="AV74" s="9"/>
      <c r="AW74" s="9"/>
      <c r="AX74" s="9"/>
      <c r="AY74" s="9"/>
      <c r="AZ74" s="9"/>
      <c r="BA74" s="9"/>
      <c r="BB74" s="9"/>
    </row>
    <row r="75" spans="1:54" x14ac:dyDescent="0.4">
      <c r="A75" s="59">
        <f t="shared" si="3"/>
        <v>0</v>
      </c>
      <c r="B75" s="9"/>
      <c r="C75" s="9"/>
      <c r="D75" s="9"/>
      <c r="E75" s="10"/>
      <c r="F75" s="9"/>
      <c r="I75" s="10"/>
      <c r="J75" s="10"/>
      <c r="K75" s="10"/>
      <c r="L75" s="10"/>
      <c r="M75" s="10"/>
      <c r="N75" s="11"/>
      <c r="O75" s="11"/>
      <c r="P75" s="11"/>
      <c r="Q75" s="11"/>
      <c r="R75" s="12"/>
      <c r="S75" s="11"/>
      <c r="T75" s="11"/>
      <c r="U75" s="11"/>
      <c r="V75" s="11"/>
      <c r="W75" s="11"/>
      <c r="X75" s="11"/>
      <c r="Y75" s="12"/>
      <c r="Z75" s="8"/>
      <c r="AA75" s="8"/>
      <c r="AB75" s="8"/>
      <c r="AC75" s="8"/>
      <c r="AD75" s="8"/>
      <c r="AE75" s="9"/>
      <c r="AF75" s="8"/>
      <c r="AG75" s="8"/>
      <c r="AH75" s="72"/>
      <c r="AI75" s="13"/>
      <c r="AJ75" s="13"/>
      <c r="AK75" s="13"/>
      <c r="AL75" s="13"/>
      <c r="AM75" s="9"/>
      <c r="AN75" s="9"/>
      <c r="AO75" s="9"/>
      <c r="AP75" s="9"/>
      <c r="AQ75" s="9"/>
      <c r="AR75" s="9"/>
      <c r="AS75" s="9"/>
      <c r="AT75" s="9"/>
      <c r="AU75" s="9"/>
      <c r="AV75" s="9"/>
      <c r="AW75" s="9"/>
      <c r="AX75" s="9"/>
      <c r="AY75" s="9"/>
      <c r="AZ75" s="9"/>
      <c r="BA75" s="9"/>
      <c r="BB75" s="9"/>
    </row>
    <row r="76" spans="1:54" x14ac:dyDescent="0.4">
      <c r="A76" s="59">
        <f t="shared" si="3"/>
        <v>0</v>
      </c>
      <c r="B76" s="9"/>
      <c r="C76" s="9"/>
      <c r="D76" s="9"/>
      <c r="E76" s="10"/>
      <c r="F76" s="9"/>
      <c r="I76" s="10"/>
      <c r="J76" s="10"/>
      <c r="K76" s="10"/>
      <c r="L76" s="10"/>
      <c r="M76" s="10"/>
      <c r="N76" s="11"/>
      <c r="O76" s="11"/>
      <c r="P76" s="11"/>
      <c r="Q76" s="11"/>
      <c r="R76" s="12"/>
      <c r="S76" s="11"/>
      <c r="T76" s="11"/>
      <c r="U76" s="11"/>
      <c r="V76" s="11"/>
      <c r="W76" s="11"/>
      <c r="X76" s="11"/>
      <c r="Y76" s="12"/>
      <c r="Z76" s="8"/>
      <c r="AA76" s="8"/>
      <c r="AB76" s="8"/>
      <c r="AC76" s="8"/>
      <c r="AD76" s="8"/>
      <c r="AE76" s="9"/>
      <c r="AF76" s="8"/>
      <c r="AG76" s="8"/>
      <c r="AH76" s="72"/>
      <c r="AI76" s="13"/>
      <c r="AJ76" s="13"/>
      <c r="AK76" s="13"/>
      <c r="AL76" s="13"/>
      <c r="AM76" s="9"/>
      <c r="AN76" s="9"/>
      <c r="AO76" s="9"/>
      <c r="AP76" s="9"/>
      <c r="AQ76" s="9"/>
      <c r="AR76" s="9"/>
      <c r="AS76" s="9"/>
      <c r="AT76" s="9"/>
      <c r="AU76" s="9"/>
      <c r="AV76" s="9"/>
      <c r="AW76" s="9"/>
      <c r="AX76" s="9"/>
      <c r="AY76" s="9"/>
      <c r="AZ76" s="9"/>
      <c r="BA76" s="9"/>
      <c r="BB76" s="9"/>
    </row>
    <row r="77" spans="1:54" x14ac:dyDescent="0.4">
      <c r="A77" s="59">
        <f t="shared" si="3"/>
        <v>0</v>
      </c>
      <c r="B77" s="9"/>
      <c r="C77" s="9"/>
      <c r="D77" s="9"/>
      <c r="E77" s="10"/>
      <c r="F77" s="9"/>
      <c r="I77" s="10"/>
      <c r="J77" s="10"/>
      <c r="K77" s="10"/>
      <c r="L77" s="10"/>
      <c r="M77" s="10"/>
      <c r="N77" s="11"/>
      <c r="O77" s="11"/>
      <c r="P77" s="11"/>
      <c r="Q77" s="11"/>
      <c r="R77" s="12"/>
      <c r="S77" s="11"/>
      <c r="T77" s="11"/>
      <c r="U77" s="11"/>
      <c r="V77" s="11"/>
      <c r="W77" s="11"/>
      <c r="X77" s="11"/>
      <c r="Y77" s="12"/>
      <c r="Z77" s="8"/>
      <c r="AA77" s="8"/>
      <c r="AB77" s="8"/>
      <c r="AC77" s="8"/>
      <c r="AD77" s="8"/>
      <c r="AE77" s="9"/>
      <c r="AF77" s="8"/>
      <c r="AG77" s="8"/>
      <c r="AH77" s="72"/>
      <c r="AI77" s="13"/>
      <c r="AJ77" s="13"/>
      <c r="AK77" s="13"/>
      <c r="AL77" s="13"/>
      <c r="AM77" s="9"/>
      <c r="AN77" s="9"/>
      <c r="AO77" s="9"/>
      <c r="AP77" s="9"/>
      <c r="AQ77" s="9"/>
      <c r="AR77" s="9"/>
      <c r="AS77" s="9"/>
      <c r="AT77" s="9"/>
      <c r="AU77" s="9"/>
      <c r="AV77" s="9"/>
      <c r="AW77" s="9"/>
      <c r="AX77" s="9"/>
      <c r="AY77" s="9"/>
      <c r="AZ77" s="9"/>
      <c r="BA77" s="9"/>
      <c r="BB77" s="9"/>
    </row>
    <row r="78" spans="1:54" x14ac:dyDescent="0.4">
      <c r="A78" s="59">
        <f t="shared" si="3"/>
        <v>0</v>
      </c>
      <c r="B78" s="9"/>
      <c r="C78" s="9"/>
      <c r="D78" s="9"/>
      <c r="E78" s="10"/>
      <c r="F78" s="9"/>
      <c r="I78" s="10"/>
      <c r="J78" s="10"/>
      <c r="K78" s="10"/>
      <c r="L78" s="10"/>
      <c r="M78" s="10"/>
      <c r="N78" s="11"/>
      <c r="O78" s="11"/>
      <c r="P78" s="11"/>
      <c r="Q78" s="11"/>
      <c r="R78" s="12"/>
      <c r="S78" s="11"/>
      <c r="T78" s="11"/>
      <c r="U78" s="11"/>
      <c r="V78" s="11"/>
      <c r="W78" s="11"/>
      <c r="X78" s="11"/>
      <c r="Y78" s="12"/>
      <c r="Z78" s="8"/>
      <c r="AA78" s="8"/>
      <c r="AB78" s="8"/>
      <c r="AC78" s="8"/>
      <c r="AD78" s="8"/>
      <c r="AE78" s="9"/>
      <c r="AF78" s="8"/>
      <c r="AG78" s="8"/>
      <c r="AH78" s="72"/>
      <c r="AI78" s="13"/>
      <c r="AJ78" s="13"/>
      <c r="AK78" s="13"/>
      <c r="AL78" s="13"/>
      <c r="AM78" s="9"/>
      <c r="AN78" s="9"/>
      <c r="AO78" s="9"/>
      <c r="AP78" s="9"/>
      <c r="AQ78" s="9"/>
      <c r="AR78" s="9"/>
      <c r="AS78" s="9"/>
      <c r="AT78" s="9"/>
      <c r="AU78" s="9"/>
      <c r="AV78" s="9"/>
      <c r="AW78" s="9"/>
      <c r="AX78" s="9"/>
      <c r="AY78" s="9"/>
      <c r="AZ78" s="9"/>
      <c r="BA78" s="9"/>
      <c r="BB78" s="9"/>
    </row>
    <row r="79" spans="1:54" x14ac:dyDescent="0.4">
      <c r="A79" s="59">
        <f t="shared" si="3"/>
        <v>0</v>
      </c>
      <c r="B79" s="9"/>
      <c r="C79" s="9"/>
      <c r="D79" s="9"/>
      <c r="E79" s="10"/>
      <c r="F79" s="9"/>
      <c r="I79" s="10"/>
      <c r="J79" s="10"/>
      <c r="K79" s="10"/>
      <c r="L79" s="10"/>
      <c r="M79" s="10"/>
      <c r="N79" s="11"/>
      <c r="O79" s="11"/>
      <c r="P79" s="11"/>
      <c r="Q79" s="11"/>
      <c r="R79" s="12"/>
      <c r="S79" s="11"/>
      <c r="T79" s="11"/>
      <c r="U79" s="11"/>
      <c r="V79" s="11"/>
      <c r="W79" s="11"/>
      <c r="X79" s="11"/>
      <c r="Y79" s="12"/>
      <c r="Z79" s="8"/>
      <c r="AA79" s="8"/>
      <c r="AB79" s="8"/>
      <c r="AC79" s="8"/>
      <c r="AD79" s="8"/>
      <c r="AE79" s="9"/>
      <c r="AF79" s="8"/>
      <c r="AG79" s="8"/>
      <c r="AH79" s="72"/>
      <c r="AI79" s="13"/>
      <c r="AJ79" s="13"/>
      <c r="AK79" s="13"/>
      <c r="AL79" s="13"/>
      <c r="AM79" s="9"/>
      <c r="AN79" s="9"/>
      <c r="AO79" s="9"/>
      <c r="AP79" s="9"/>
      <c r="AQ79" s="9"/>
      <c r="AR79" s="9"/>
      <c r="AS79" s="9"/>
      <c r="AT79" s="9"/>
      <c r="AU79" s="9"/>
      <c r="AV79" s="9"/>
      <c r="AW79" s="9"/>
      <c r="AX79" s="9"/>
      <c r="AY79" s="9"/>
      <c r="AZ79" s="9"/>
      <c r="BA79" s="9"/>
      <c r="BB79" s="9"/>
    </row>
    <row r="80" spans="1:54" x14ac:dyDescent="0.4">
      <c r="A80" s="59">
        <f t="shared" si="3"/>
        <v>0</v>
      </c>
      <c r="B80" s="9"/>
      <c r="C80" s="9"/>
      <c r="D80" s="9"/>
      <c r="E80" s="10"/>
      <c r="F80" s="9"/>
      <c r="I80" s="10"/>
      <c r="J80" s="10"/>
      <c r="K80" s="10"/>
      <c r="L80" s="10"/>
      <c r="M80" s="10"/>
      <c r="N80" s="11"/>
      <c r="O80" s="11"/>
      <c r="P80" s="11"/>
      <c r="Q80" s="11"/>
      <c r="R80" s="12"/>
      <c r="S80" s="11"/>
      <c r="T80" s="11"/>
      <c r="U80" s="11"/>
      <c r="V80" s="11"/>
      <c r="W80" s="11"/>
      <c r="X80" s="11"/>
      <c r="Y80" s="12"/>
      <c r="Z80" s="8"/>
      <c r="AA80" s="8"/>
      <c r="AB80" s="8"/>
      <c r="AC80" s="8"/>
      <c r="AD80" s="8"/>
      <c r="AE80" s="9"/>
      <c r="AF80" s="8"/>
      <c r="AG80" s="8"/>
      <c r="AH80" s="72"/>
      <c r="AI80" s="13"/>
      <c r="AJ80" s="13"/>
      <c r="AK80" s="13"/>
      <c r="AL80" s="13"/>
      <c r="AM80" s="9"/>
      <c r="AN80" s="9"/>
      <c r="AO80" s="9"/>
      <c r="AP80" s="9"/>
      <c r="AQ80" s="9"/>
      <c r="AR80" s="9"/>
      <c r="AS80" s="9"/>
      <c r="AT80" s="9"/>
      <c r="AU80" s="9"/>
      <c r="AV80" s="9"/>
      <c r="AW80" s="9"/>
      <c r="AX80" s="9"/>
      <c r="AY80" s="9"/>
      <c r="AZ80" s="9"/>
      <c r="BA80" s="9"/>
      <c r="BB80" s="9"/>
    </row>
    <row r="81" spans="1:54" x14ac:dyDescent="0.4">
      <c r="A81" s="59">
        <f t="shared" si="3"/>
        <v>0</v>
      </c>
      <c r="B81" s="9"/>
      <c r="C81" s="9"/>
      <c r="D81" s="9"/>
      <c r="E81" s="10"/>
      <c r="F81" s="9"/>
      <c r="I81" s="10"/>
      <c r="J81" s="10"/>
      <c r="K81" s="10"/>
      <c r="L81" s="10"/>
      <c r="M81" s="10"/>
      <c r="N81" s="11"/>
      <c r="O81" s="11"/>
      <c r="P81" s="11"/>
      <c r="Q81" s="11"/>
      <c r="R81" s="12"/>
      <c r="S81" s="11"/>
      <c r="T81" s="11"/>
      <c r="U81" s="11"/>
      <c r="V81" s="11"/>
      <c r="W81" s="11"/>
      <c r="X81" s="11"/>
      <c r="Y81" s="12"/>
      <c r="Z81" s="8"/>
      <c r="AA81" s="8"/>
      <c r="AB81" s="8"/>
      <c r="AC81" s="8"/>
      <c r="AD81" s="8"/>
      <c r="AE81" s="9"/>
      <c r="AF81" s="8"/>
      <c r="AG81" s="8"/>
      <c r="AH81" s="72"/>
      <c r="AI81" s="13"/>
      <c r="AJ81" s="13"/>
      <c r="AK81" s="13"/>
      <c r="AL81" s="13"/>
      <c r="AM81" s="9"/>
      <c r="AN81" s="9"/>
      <c r="AO81" s="9"/>
      <c r="AP81" s="9"/>
      <c r="AQ81" s="9"/>
      <c r="AR81" s="9"/>
      <c r="AS81" s="9"/>
      <c r="AT81" s="9"/>
      <c r="AU81" s="9"/>
      <c r="AV81" s="9"/>
      <c r="AW81" s="9"/>
      <c r="AX81" s="9"/>
      <c r="AY81" s="9"/>
      <c r="AZ81" s="9"/>
      <c r="BA81" s="9"/>
      <c r="BB81" s="9"/>
    </row>
    <row r="82" spans="1:54" x14ac:dyDescent="0.4">
      <c r="A82" s="59">
        <f t="shared" si="3"/>
        <v>0</v>
      </c>
      <c r="B82" s="9"/>
      <c r="C82" s="9"/>
      <c r="D82" s="9"/>
      <c r="E82" s="10"/>
      <c r="F82" s="9"/>
      <c r="I82" s="10"/>
      <c r="J82" s="10"/>
      <c r="K82" s="10"/>
      <c r="L82" s="10"/>
      <c r="M82" s="10"/>
      <c r="N82" s="11"/>
      <c r="O82" s="11"/>
      <c r="P82" s="11"/>
      <c r="Q82" s="11"/>
      <c r="R82" s="12"/>
      <c r="S82" s="11"/>
      <c r="T82" s="11"/>
      <c r="U82" s="11"/>
      <c r="V82" s="11"/>
      <c r="W82" s="11"/>
      <c r="X82" s="11"/>
      <c r="Y82" s="12"/>
      <c r="Z82" s="8"/>
      <c r="AA82" s="8"/>
      <c r="AB82" s="8"/>
      <c r="AC82" s="8"/>
      <c r="AD82" s="8"/>
      <c r="AE82" s="9"/>
      <c r="AF82" s="8"/>
      <c r="AG82" s="8"/>
      <c r="AH82" s="72"/>
      <c r="AI82" s="13"/>
      <c r="AJ82" s="13"/>
      <c r="AK82" s="13"/>
      <c r="AL82" s="13"/>
      <c r="AM82" s="9"/>
      <c r="AN82" s="9"/>
      <c r="AO82" s="9"/>
      <c r="AP82" s="9"/>
      <c r="AQ82" s="9"/>
      <c r="AR82" s="9"/>
      <c r="AS82" s="9"/>
      <c r="AT82" s="9"/>
      <c r="AU82" s="9"/>
      <c r="AV82" s="9"/>
      <c r="AW82" s="9"/>
      <c r="AX82" s="9"/>
      <c r="AY82" s="9"/>
      <c r="AZ82" s="9"/>
      <c r="BA82" s="9"/>
      <c r="BB82" s="9"/>
    </row>
    <row r="83" spans="1:54" x14ac:dyDescent="0.4">
      <c r="A83" s="59">
        <f t="shared" si="3"/>
        <v>0</v>
      </c>
      <c r="B83" s="9"/>
      <c r="C83" s="9"/>
      <c r="D83" s="9"/>
      <c r="E83" s="10"/>
      <c r="F83" s="9"/>
      <c r="I83" s="10"/>
      <c r="J83" s="10"/>
      <c r="K83" s="10"/>
      <c r="L83" s="10"/>
      <c r="M83" s="10"/>
      <c r="N83" s="11"/>
      <c r="O83" s="11"/>
      <c r="P83" s="11"/>
      <c r="Q83" s="11"/>
      <c r="R83" s="12"/>
      <c r="S83" s="11"/>
      <c r="T83" s="11"/>
      <c r="U83" s="11"/>
      <c r="V83" s="11"/>
      <c r="W83" s="11"/>
      <c r="X83" s="11"/>
      <c r="Y83" s="12"/>
      <c r="Z83" s="8"/>
      <c r="AA83" s="8"/>
      <c r="AB83" s="8"/>
      <c r="AC83" s="8"/>
      <c r="AD83" s="8"/>
      <c r="AE83" s="9"/>
      <c r="AF83" s="8"/>
      <c r="AG83" s="8"/>
      <c r="AH83" s="72"/>
      <c r="AI83" s="13"/>
      <c r="AJ83" s="13"/>
      <c r="AK83" s="13"/>
      <c r="AL83" s="13"/>
      <c r="AM83" s="9"/>
      <c r="AN83" s="9"/>
      <c r="AO83" s="9"/>
      <c r="AP83" s="9"/>
      <c r="AQ83" s="9"/>
      <c r="AR83" s="9"/>
      <c r="AS83" s="9"/>
      <c r="AT83" s="9"/>
      <c r="AU83" s="9"/>
      <c r="AV83" s="9"/>
      <c r="AW83" s="9"/>
      <c r="AX83" s="9"/>
      <c r="AY83" s="9"/>
      <c r="AZ83" s="9"/>
      <c r="BA83" s="9"/>
      <c r="BB83" s="9"/>
    </row>
    <row r="84" spans="1:54" x14ac:dyDescent="0.4">
      <c r="A84" s="59">
        <f t="shared" si="3"/>
        <v>0</v>
      </c>
      <c r="B84" s="9"/>
      <c r="C84" s="9"/>
      <c r="D84" s="9"/>
      <c r="E84" s="10"/>
      <c r="F84" s="9"/>
      <c r="I84" s="10"/>
      <c r="J84" s="10"/>
      <c r="K84" s="10"/>
      <c r="L84" s="10"/>
      <c r="M84" s="10"/>
      <c r="N84" s="11"/>
      <c r="O84" s="11"/>
      <c r="P84" s="11"/>
      <c r="Q84" s="11"/>
      <c r="R84" s="12"/>
      <c r="S84" s="11"/>
      <c r="T84" s="11"/>
      <c r="U84" s="11"/>
      <c r="V84" s="11"/>
      <c r="W84" s="11"/>
      <c r="X84" s="11"/>
      <c r="Y84" s="12"/>
      <c r="Z84" s="8"/>
      <c r="AA84" s="8"/>
      <c r="AB84" s="8"/>
      <c r="AC84" s="8"/>
      <c r="AD84" s="8"/>
      <c r="AE84" s="9"/>
      <c r="AF84" s="8"/>
      <c r="AG84" s="8"/>
      <c r="AH84" s="72"/>
      <c r="AI84" s="13"/>
      <c r="AJ84" s="13"/>
      <c r="AK84" s="13"/>
      <c r="AL84" s="13"/>
      <c r="AM84" s="9"/>
      <c r="AN84" s="9"/>
      <c r="AO84" s="9"/>
      <c r="AP84" s="9"/>
      <c r="AQ84" s="9"/>
      <c r="AR84" s="9"/>
      <c r="AS84" s="9"/>
      <c r="AT84" s="9"/>
      <c r="AU84" s="9"/>
      <c r="AV84" s="9"/>
      <c r="AW84" s="9"/>
      <c r="AX84" s="9"/>
      <c r="AY84" s="9"/>
      <c r="AZ84" s="9"/>
      <c r="BA84" s="9"/>
      <c r="BB84" s="9"/>
    </row>
    <row r="85" spans="1:54" x14ac:dyDescent="0.4">
      <c r="A85" s="59">
        <f t="shared" si="3"/>
        <v>0</v>
      </c>
      <c r="B85" s="9"/>
      <c r="C85" s="9"/>
      <c r="D85" s="9"/>
      <c r="E85" s="10"/>
      <c r="F85" s="9"/>
      <c r="I85" s="10"/>
      <c r="J85" s="10"/>
      <c r="K85" s="10"/>
      <c r="L85" s="10"/>
      <c r="M85" s="10"/>
      <c r="N85" s="11"/>
      <c r="O85" s="11"/>
      <c r="P85" s="11"/>
      <c r="Q85" s="11"/>
      <c r="R85" s="12"/>
      <c r="S85" s="11"/>
      <c r="T85" s="11"/>
      <c r="U85" s="11"/>
      <c r="V85" s="11"/>
      <c r="W85" s="11"/>
      <c r="X85" s="11"/>
      <c r="Y85" s="12"/>
      <c r="Z85" s="8"/>
      <c r="AA85" s="8"/>
      <c r="AB85" s="8"/>
      <c r="AC85" s="8"/>
      <c r="AD85" s="8"/>
      <c r="AE85" s="9"/>
      <c r="AF85" s="8"/>
      <c r="AG85" s="8"/>
      <c r="AH85" s="72"/>
      <c r="AI85" s="13"/>
      <c r="AJ85" s="13"/>
      <c r="AK85" s="13"/>
      <c r="AL85" s="13"/>
      <c r="AM85" s="9"/>
      <c r="AN85" s="9"/>
      <c r="AO85" s="9"/>
      <c r="AP85" s="9"/>
      <c r="AQ85" s="9"/>
      <c r="AR85" s="9"/>
      <c r="AS85" s="9"/>
      <c r="AT85" s="9"/>
      <c r="AU85" s="9"/>
      <c r="AV85" s="9"/>
      <c r="AW85" s="9"/>
      <c r="AX85" s="9"/>
      <c r="AY85" s="9"/>
      <c r="AZ85" s="9"/>
      <c r="BA85" s="9"/>
      <c r="BB85" s="9"/>
    </row>
    <row r="86" spans="1:54" x14ac:dyDescent="0.4">
      <c r="A86" s="59">
        <f t="shared" si="3"/>
        <v>0</v>
      </c>
      <c r="B86" s="9"/>
      <c r="C86" s="9"/>
      <c r="D86" s="9"/>
      <c r="E86" s="10"/>
      <c r="F86" s="9"/>
      <c r="I86" s="10"/>
      <c r="J86" s="10"/>
      <c r="K86" s="10"/>
      <c r="L86" s="10"/>
      <c r="M86" s="10"/>
      <c r="N86" s="11"/>
      <c r="O86" s="11"/>
      <c r="P86" s="11"/>
      <c r="Q86" s="11"/>
      <c r="R86" s="12"/>
      <c r="S86" s="11"/>
      <c r="T86" s="11"/>
      <c r="U86" s="11"/>
      <c r="V86" s="11"/>
      <c r="W86" s="11"/>
      <c r="X86" s="11"/>
      <c r="Y86" s="12"/>
      <c r="Z86" s="8"/>
      <c r="AA86" s="8"/>
      <c r="AB86" s="8"/>
      <c r="AC86" s="8"/>
      <c r="AD86" s="8"/>
      <c r="AE86" s="9"/>
      <c r="AF86" s="8"/>
      <c r="AG86" s="8"/>
      <c r="AH86" s="72"/>
      <c r="AI86" s="13"/>
      <c r="AJ86" s="13"/>
      <c r="AK86" s="13"/>
      <c r="AL86" s="13"/>
      <c r="AM86" s="9"/>
      <c r="AN86" s="9"/>
      <c r="AO86" s="9"/>
      <c r="AP86" s="9"/>
      <c r="AQ86" s="9"/>
      <c r="AR86" s="9"/>
      <c r="AS86" s="9"/>
      <c r="AT86" s="9"/>
      <c r="AU86" s="9"/>
      <c r="AV86" s="9"/>
      <c r="AW86" s="9"/>
      <c r="AX86" s="9"/>
      <c r="AY86" s="9"/>
      <c r="AZ86" s="9"/>
      <c r="BA86" s="9"/>
      <c r="BB86" s="9"/>
    </row>
    <row r="87" spans="1:54" x14ac:dyDescent="0.4">
      <c r="A87" s="59">
        <f t="shared" si="3"/>
        <v>0</v>
      </c>
      <c r="B87" s="9"/>
      <c r="C87" s="9"/>
      <c r="D87" s="9"/>
      <c r="E87" s="10"/>
      <c r="F87" s="9"/>
      <c r="I87" s="10"/>
      <c r="J87" s="10"/>
      <c r="K87" s="10"/>
      <c r="L87" s="10"/>
      <c r="M87" s="10"/>
      <c r="N87" s="11"/>
      <c r="O87" s="11"/>
      <c r="P87" s="11"/>
      <c r="Q87" s="11"/>
      <c r="R87" s="12"/>
      <c r="S87" s="11"/>
      <c r="T87" s="11"/>
      <c r="U87" s="11"/>
      <c r="V87" s="11"/>
      <c r="W87" s="11"/>
      <c r="X87" s="11"/>
      <c r="Y87" s="12"/>
      <c r="Z87" s="8"/>
      <c r="AA87" s="8"/>
      <c r="AB87" s="8"/>
      <c r="AC87" s="8"/>
      <c r="AD87" s="8"/>
      <c r="AE87" s="9"/>
      <c r="AF87" s="8"/>
      <c r="AG87" s="8"/>
      <c r="AH87" s="72"/>
      <c r="AI87" s="13"/>
      <c r="AJ87" s="13"/>
      <c r="AK87" s="13"/>
      <c r="AL87" s="13"/>
      <c r="AM87" s="9"/>
      <c r="AN87" s="9"/>
      <c r="AO87" s="9"/>
      <c r="AP87" s="9"/>
      <c r="AQ87" s="9"/>
      <c r="AR87" s="9"/>
      <c r="AS87" s="9"/>
      <c r="AT87" s="9"/>
      <c r="AU87" s="9"/>
      <c r="AV87" s="9"/>
      <c r="AW87" s="9"/>
      <c r="AX87" s="9"/>
      <c r="AY87" s="9"/>
      <c r="AZ87" s="9"/>
      <c r="BA87" s="9"/>
      <c r="BB87" s="9"/>
    </row>
    <row r="88" spans="1:54" x14ac:dyDescent="0.4">
      <c r="A88" s="59">
        <f t="shared" si="3"/>
        <v>0</v>
      </c>
      <c r="B88" s="9"/>
      <c r="C88" s="9"/>
      <c r="D88" s="9"/>
      <c r="E88" s="10"/>
      <c r="F88" s="9"/>
      <c r="I88" s="10"/>
      <c r="J88" s="10"/>
      <c r="K88" s="10"/>
      <c r="L88" s="10"/>
      <c r="M88" s="10"/>
      <c r="N88" s="11"/>
      <c r="O88" s="11"/>
      <c r="P88" s="11"/>
      <c r="Q88" s="11"/>
      <c r="R88" s="12"/>
      <c r="S88" s="11"/>
      <c r="T88" s="11"/>
      <c r="U88" s="11"/>
      <c r="V88" s="11"/>
      <c r="W88" s="11"/>
      <c r="X88" s="11"/>
      <c r="Y88" s="12"/>
      <c r="Z88" s="8"/>
      <c r="AA88" s="8"/>
      <c r="AB88" s="8"/>
      <c r="AC88" s="8"/>
      <c r="AD88" s="8"/>
      <c r="AE88" s="9"/>
      <c r="AF88" s="8"/>
      <c r="AG88" s="8"/>
      <c r="AH88" s="72"/>
      <c r="AI88" s="13"/>
      <c r="AJ88" s="13"/>
      <c r="AK88" s="13"/>
      <c r="AL88" s="13"/>
      <c r="AM88" s="9"/>
      <c r="AN88" s="9"/>
      <c r="AO88" s="9"/>
      <c r="AP88" s="9"/>
      <c r="AQ88" s="9"/>
      <c r="AR88" s="9"/>
      <c r="AS88" s="9"/>
      <c r="AT88" s="9"/>
      <c r="AU88" s="9"/>
      <c r="AV88" s="9"/>
      <c r="AW88" s="9"/>
      <c r="AX88" s="9"/>
      <c r="AY88" s="9"/>
      <c r="AZ88" s="9"/>
      <c r="BA88" s="9"/>
      <c r="BB88" s="9"/>
    </row>
    <row r="89" spans="1:54" x14ac:dyDescent="0.4">
      <c r="A89" s="59">
        <f t="shared" si="3"/>
        <v>0</v>
      </c>
      <c r="B89" s="9"/>
      <c r="C89" s="9"/>
      <c r="D89" s="9"/>
      <c r="E89" s="10"/>
      <c r="F89" s="9"/>
      <c r="I89" s="10"/>
      <c r="J89" s="10"/>
      <c r="K89" s="10"/>
      <c r="L89" s="10"/>
      <c r="M89" s="10"/>
      <c r="N89" s="11"/>
      <c r="O89" s="11"/>
      <c r="P89" s="11"/>
      <c r="Q89" s="11"/>
      <c r="R89" s="12"/>
      <c r="S89" s="11"/>
      <c r="T89" s="11"/>
      <c r="U89" s="11"/>
      <c r="V89" s="11"/>
      <c r="W89" s="11"/>
      <c r="X89" s="11"/>
      <c r="Y89" s="12"/>
      <c r="Z89" s="8"/>
      <c r="AA89" s="8"/>
      <c r="AB89" s="8"/>
      <c r="AC89" s="8"/>
      <c r="AD89" s="8"/>
      <c r="AE89" s="9"/>
      <c r="AF89" s="8"/>
      <c r="AG89" s="8"/>
      <c r="AH89" s="72"/>
      <c r="AI89" s="13"/>
      <c r="AJ89" s="13"/>
      <c r="AK89" s="13"/>
      <c r="AL89" s="13"/>
      <c r="AM89" s="9"/>
      <c r="AN89" s="9"/>
      <c r="AO89" s="9"/>
      <c r="AP89" s="9"/>
      <c r="AQ89" s="9"/>
      <c r="AR89" s="9"/>
      <c r="AS89" s="9"/>
      <c r="AT89" s="9"/>
      <c r="AU89" s="9"/>
      <c r="AV89" s="9"/>
      <c r="AW89" s="9"/>
      <c r="AX89" s="9"/>
      <c r="AY89" s="9"/>
      <c r="AZ89" s="9"/>
      <c r="BA89" s="9"/>
      <c r="BB89" s="9"/>
    </row>
    <row r="90" spans="1:54" x14ac:dyDescent="0.4">
      <c r="A90" s="59">
        <f t="shared" si="3"/>
        <v>0</v>
      </c>
      <c r="B90" s="9"/>
      <c r="C90" s="9"/>
      <c r="D90" s="9"/>
      <c r="E90" s="10"/>
      <c r="F90" s="9"/>
      <c r="I90" s="10"/>
      <c r="J90" s="10"/>
      <c r="K90" s="10"/>
      <c r="L90" s="10"/>
      <c r="M90" s="10"/>
      <c r="N90" s="11"/>
      <c r="O90" s="11"/>
      <c r="P90" s="11"/>
      <c r="Q90" s="11"/>
      <c r="R90" s="12"/>
      <c r="S90" s="11"/>
      <c r="T90" s="11"/>
      <c r="U90" s="11"/>
      <c r="V90" s="11"/>
      <c r="W90" s="11"/>
      <c r="X90" s="11"/>
      <c r="Y90" s="12"/>
      <c r="Z90" s="8"/>
      <c r="AA90" s="8"/>
      <c r="AB90" s="8"/>
      <c r="AC90" s="8"/>
      <c r="AD90" s="8"/>
      <c r="AE90" s="9"/>
      <c r="AF90" s="8"/>
      <c r="AG90" s="8"/>
      <c r="AH90" s="72"/>
      <c r="AI90" s="13"/>
      <c r="AJ90" s="13"/>
      <c r="AK90" s="13"/>
      <c r="AL90" s="13"/>
      <c r="AM90" s="9"/>
      <c r="AN90" s="9"/>
      <c r="AO90" s="9"/>
      <c r="AP90" s="9"/>
      <c r="AQ90" s="9"/>
      <c r="AR90" s="9"/>
      <c r="AS90" s="9"/>
      <c r="AT90" s="9"/>
      <c r="AU90" s="9"/>
      <c r="AV90" s="9"/>
      <c r="AW90" s="9"/>
      <c r="AX90" s="9"/>
      <c r="AY90" s="9"/>
      <c r="AZ90" s="9"/>
      <c r="BA90" s="9"/>
      <c r="BB90" s="9"/>
    </row>
    <row r="91" spans="1:54" x14ac:dyDescent="0.4">
      <c r="A91" s="59">
        <f t="shared" si="3"/>
        <v>0</v>
      </c>
      <c r="B91" s="9"/>
      <c r="C91" s="9"/>
      <c r="D91" s="9"/>
      <c r="E91" s="10"/>
      <c r="F91" s="9"/>
      <c r="I91" s="10"/>
      <c r="J91" s="10"/>
      <c r="K91" s="10"/>
      <c r="L91" s="10"/>
      <c r="M91" s="10"/>
      <c r="N91" s="11"/>
      <c r="O91" s="11"/>
      <c r="P91" s="11"/>
      <c r="Q91" s="11"/>
      <c r="R91" s="12"/>
      <c r="S91" s="11"/>
      <c r="T91" s="11"/>
      <c r="U91" s="11"/>
      <c r="V91" s="11"/>
      <c r="W91" s="11"/>
      <c r="X91" s="11"/>
      <c r="Y91" s="12"/>
      <c r="Z91" s="8"/>
      <c r="AA91" s="8"/>
      <c r="AB91" s="8"/>
      <c r="AC91" s="8"/>
      <c r="AD91" s="8"/>
      <c r="AE91" s="9"/>
      <c r="AF91" s="8"/>
      <c r="AG91" s="8"/>
      <c r="AH91" s="72"/>
      <c r="AI91" s="13"/>
      <c r="AJ91" s="13"/>
      <c r="AK91" s="13"/>
      <c r="AL91" s="13"/>
      <c r="AM91" s="9"/>
      <c r="AN91" s="9"/>
      <c r="AO91" s="9"/>
      <c r="AP91" s="9"/>
      <c r="AQ91" s="9"/>
      <c r="AR91" s="9"/>
      <c r="AS91" s="9"/>
      <c r="AT91" s="9"/>
      <c r="AU91" s="9"/>
      <c r="AV91" s="9"/>
      <c r="AW91" s="9"/>
      <c r="AX91" s="9"/>
      <c r="AY91" s="9"/>
      <c r="AZ91" s="9"/>
      <c r="BA91" s="9"/>
      <c r="BB91" s="9"/>
    </row>
    <row r="92" spans="1:54" x14ac:dyDescent="0.4">
      <c r="A92" s="59">
        <f t="shared" ref="A92:A155" si="4">IF(B92="AMZ",D92,E92)</f>
        <v>0</v>
      </c>
      <c r="B92" s="9"/>
      <c r="C92" s="9"/>
      <c r="D92" s="9"/>
      <c r="E92" s="10"/>
      <c r="F92" s="9"/>
      <c r="I92" s="10"/>
      <c r="J92" s="10"/>
      <c r="K92" s="10"/>
      <c r="L92" s="10"/>
      <c r="M92" s="10"/>
      <c r="N92" s="11"/>
      <c r="O92" s="11"/>
      <c r="P92" s="11"/>
      <c r="Q92" s="11"/>
      <c r="R92" s="12"/>
      <c r="S92" s="11"/>
      <c r="T92" s="11"/>
      <c r="U92" s="11"/>
      <c r="V92" s="11"/>
      <c r="W92" s="11"/>
      <c r="X92" s="11"/>
      <c r="Y92" s="12"/>
      <c r="Z92" s="8"/>
      <c r="AA92" s="8"/>
      <c r="AB92" s="8"/>
      <c r="AC92" s="8"/>
      <c r="AD92" s="8"/>
      <c r="AE92" s="9"/>
      <c r="AF92" s="8"/>
      <c r="AG92" s="8"/>
      <c r="AH92" s="72"/>
      <c r="AI92" s="13"/>
      <c r="AJ92" s="13"/>
      <c r="AK92" s="13"/>
      <c r="AL92" s="13"/>
      <c r="AM92" s="9"/>
      <c r="AN92" s="9"/>
      <c r="AO92" s="9"/>
      <c r="AP92" s="9"/>
      <c r="AQ92" s="9"/>
      <c r="AR92" s="9"/>
      <c r="AS92" s="9"/>
      <c r="AT92" s="9"/>
      <c r="AU92" s="9"/>
      <c r="AV92" s="9"/>
      <c r="AW92" s="9"/>
      <c r="AX92" s="9"/>
      <c r="AY92" s="9"/>
      <c r="AZ92" s="9"/>
      <c r="BA92" s="9"/>
      <c r="BB92" s="9"/>
    </row>
    <row r="93" spans="1:54" x14ac:dyDescent="0.4">
      <c r="A93" s="59">
        <f t="shared" si="4"/>
        <v>0</v>
      </c>
      <c r="B93" s="9"/>
      <c r="C93" s="9"/>
      <c r="D93" s="9"/>
      <c r="E93" s="10"/>
      <c r="F93" s="9"/>
      <c r="I93" s="10"/>
      <c r="J93" s="10"/>
      <c r="K93" s="10"/>
      <c r="L93" s="10"/>
      <c r="M93" s="10"/>
      <c r="N93" s="11"/>
      <c r="O93" s="11"/>
      <c r="P93" s="11"/>
      <c r="Q93" s="11"/>
      <c r="R93" s="12"/>
      <c r="S93" s="11"/>
      <c r="T93" s="11"/>
      <c r="U93" s="11"/>
      <c r="V93" s="11"/>
      <c r="W93" s="11"/>
      <c r="X93" s="11"/>
      <c r="Y93" s="12"/>
      <c r="Z93" s="8"/>
      <c r="AA93" s="8"/>
      <c r="AB93" s="8"/>
      <c r="AC93" s="8"/>
      <c r="AD93" s="8"/>
      <c r="AE93" s="9"/>
      <c r="AF93" s="8"/>
      <c r="AG93" s="8"/>
      <c r="AH93" s="72"/>
      <c r="AI93" s="13"/>
      <c r="AJ93" s="13"/>
      <c r="AK93" s="13"/>
      <c r="AL93" s="13"/>
      <c r="AM93" s="9"/>
      <c r="AN93" s="9"/>
      <c r="AO93" s="9"/>
      <c r="AP93" s="9"/>
      <c r="AQ93" s="9"/>
      <c r="AR93" s="9"/>
      <c r="AS93" s="9"/>
      <c r="AT93" s="9"/>
      <c r="AU93" s="9"/>
      <c r="AV93" s="9"/>
      <c r="AW93" s="9"/>
      <c r="AX93" s="9"/>
      <c r="AY93" s="9"/>
      <c r="AZ93" s="9"/>
      <c r="BA93" s="9"/>
      <c r="BB93" s="9"/>
    </row>
    <row r="94" spans="1:54" x14ac:dyDescent="0.4">
      <c r="A94" s="59">
        <f t="shared" si="4"/>
        <v>0</v>
      </c>
      <c r="B94" s="9"/>
      <c r="C94" s="9"/>
      <c r="D94" s="9"/>
      <c r="E94" s="10"/>
      <c r="F94" s="9"/>
      <c r="I94" s="10"/>
      <c r="J94" s="10"/>
      <c r="K94" s="10"/>
      <c r="L94" s="10"/>
      <c r="M94" s="10"/>
      <c r="N94" s="11"/>
      <c r="O94" s="11"/>
      <c r="P94" s="11"/>
      <c r="Q94" s="11"/>
      <c r="R94" s="12"/>
      <c r="S94" s="11"/>
      <c r="T94" s="11"/>
      <c r="U94" s="11"/>
      <c r="V94" s="11"/>
      <c r="W94" s="11"/>
      <c r="X94" s="11"/>
      <c r="Y94" s="12"/>
      <c r="Z94" s="8"/>
      <c r="AA94" s="8"/>
      <c r="AB94" s="8"/>
      <c r="AC94" s="8"/>
      <c r="AD94" s="8"/>
      <c r="AE94" s="9"/>
      <c r="AF94" s="8"/>
      <c r="AG94" s="8"/>
      <c r="AH94" s="72"/>
      <c r="AI94" s="13"/>
      <c r="AJ94" s="13"/>
      <c r="AK94" s="13"/>
      <c r="AL94" s="13"/>
      <c r="AM94" s="9"/>
      <c r="AN94" s="9"/>
      <c r="AO94" s="9"/>
      <c r="AP94" s="9"/>
      <c r="AQ94" s="9"/>
      <c r="AR94" s="9"/>
      <c r="AS94" s="9"/>
      <c r="AT94" s="9"/>
      <c r="AU94" s="9"/>
      <c r="AV94" s="9"/>
      <c r="AW94" s="9"/>
      <c r="AX94" s="9"/>
      <c r="AY94" s="9"/>
      <c r="AZ94" s="9"/>
      <c r="BA94" s="9"/>
      <c r="BB94" s="9"/>
    </row>
    <row r="95" spans="1:54" x14ac:dyDescent="0.4">
      <c r="A95" s="59">
        <f t="shared" si="4"/>
        <v>0</v>
      </c>
      <c r="B95" s="9"/>
      <c r="C95" s="9"/>
      <c r="D95" s="9"/>
      <c r="E95" s="10"/>
      <c r="F95" s="9"/>
      <c r="I95" s="10"/>
      <c r="J95" s="10"/>
      <c r="K95" s="10"/>
      <c r="L95" s="10"/>
      <c r="M95" s="10"/>
      <c r="N95" s="11"/>
      <c r="O95" s="11"/>
      <c r="P95" s="11"/>
      <c r="Q95" s="11"/>
      <c r="R95" s="12"/>
      <c r="S95" s="11"/>
      <c r="T95" s="11"/>
      <c r="U95" s="11"/>
      <c r="V95" s="11"/>
      <c r="W95" s="11"/>
      <c r="X95" s="11"/>
      <c r="Y95" s="12"/>
      <c r="Z95" s="8"/>
      <c r="AA95" s="8"/>
      <c r="AB95" s="8"/>
      <c r="AC95" s="8"/>
      <c r="AD95" s="8"/>
      <c r="AE95" s="9"/>
      <c r="AF95" s="8"/>
      <c r="AG95" s="8"/>
      <c r="AH95" s="72"/>
      <c r="AI95" s="13"/>
      <c r="AJ95" s="13"/>
      <c r="AK95" s="13"/>
      <c r="AL95" s="13"/>
      <c r="AM95" s="9"/>
      <c r="AN95" s="9"/>
      <c r="AO95" s="9"/>
      <c r="AP95" s="9"/>
      <c r="AQ95" s="9"/>
      <c r="AR95" s="9"/>
      <c r="AS95" s="9"/>
      <c r="AT95" s="9"/>
      <c r="AU95" s="9"/>
      <c r="AV95" s="9"/>
      <c r="AW95" s="9"/>
      <c r="AX95" s="9"/>
      <c r="AY95" s="9"/>
      <c r="AZ95" s="9"/>
      <c r="BA95" s="9"/>
      <c r="BB95" s="9"/>
    </row>
    <row r="96" spans="1:54" x14ac:dyDescent="0.4">
      <c r="A96" s="59">
        <f t="shared" si="4"/>
        <v>0</v>
      </c>
      <c r="B96" s="9"/>
      <c r="C96" s="9"/>
      <c r="D96" s="9"/>
      <c r="E96" s="10"/>
      <c r="F96" s="9"/>
      <c r="I96" s="10"/>
      <c r="J96" s="10"/>
      <c r="K96" s="10"/>
      <c r="L96" s="10"/>
      <c r="M96" s="10"/>
      <c r="N96" s="11"/>
      <c r="O96" s="11"/>
      <c r="P96" s="11"/>
      <c r="Q96" s="11"/>
      <c r="R96" s="12"/>
      <c r="S96" s="11"/>
      <c r="T96" s="11"/>
      <c r="U96" s="11"/>
      <c r="V96" s="11"/>
      <c r="W96" s="11"/>
      <c r="X96" s="11"/>
      <c r="Y96" s="12"/>
      <c r="Z96" s="8"/>
      <c r="AA96" s="8"/>
      <c r="AB96" s="8"/>
      <c r="AC96" s="8"/>
      <c r="AD96" s="8"/>
      <c r="AE96" s="9"/>
      <c r="AF96" s="8"/>
      <c r="AG96" s="8"/>
      <c r="AH96" s="72"/>
      <c r="AI96" s="13"/>
      <c r="AJ96" s="13"/>
      <c r="AK96" s="13"/>
      <c r="AL96" s="13"/>
      <c r="AM96" s="9"/>
      <c r="AN96" s="9"/>
      <c r="AO96" s="9"/>
      <c r="AP96" s="9"/>
      <c r="AQ96" s="9"/>
      <c r="AR96" s="9"/>
      <c r="AS96" s="9"/>
      <c r="AT96" s="9"/>
      <c r="AU96" s="9"/>
      <c r="AV96" s="9"/>
      <c r="AW96" s="9"/>
      <c r="AX96" s="9"/>
      <c r="AY96" s="9"/>
      <c r="AZ96" s="9"/>
      <c r="BA96" s="9"/>
      <c r="BB96" s="9"/>
    </row>
    <row r="97" spans="1:54" x14ac:dyDescent="0.4">
      <c r="A97" s="59">
        <f t="shared" si="4"/>
        <v>0</v>
      </c>
      <c r="B97" s="9"/>
      <c r="C97" s="9"/>
      <c r="D97" s="9"/>
      <c r="E97" s="10"/>
      <c r="F97" s="9"/>
      <c r="I97" s="10"/>
      <c r="J97" s="10"/>
      <c r="K97" s="10"/>
      <c r="L97" s="10"/>
      <c r="M97" s="10"/>
      <c r="N97" s="11"/>
      <c r="O97" s="11"/>
      <c r="P97" s="11"/>
      <c r="Q97" s="11"/>
      <c r="R97" s="12"/>
      <c r="S97" s="11"/>
      <c r="T97" s="11"/>
      <c r="U97" s="11"/>
      <c r="V97" s="11"/>
      <c r="W97" s="11"/>
      <c r="X97" s="11"/>
      <c r="Y97" s="12"/>
      <c r="Z97" s="8"/>
      <c r="AA97" s="8"/>
      <c r="AB97" s="8"/>
      <c r="AC97" s="8"/>
      <c r="AD97" s="8"/>
      <c r="AE97" s="9"/>
      <c r="AF97" s="8"/>
      <c r="AG97" s="8"/>
      <c r="AH97" s="72"/>
      <c r="AI97" s="13"/>
      <c r="AJ97" s="13"/>
      <c r="AK97" s="13"/>
      <c r="AL97" s="13"/>
      <c r="AM97" s="9"/>
      <c r="AN97" s="9"/>
      <c r="AO97" s="9"/>
      <c r="AP97" s="9"/>
      <c r="AQ97" s="9"/>
      <c r="AR97" s="9"/>
      <c r="AS97" s="9"/>
      <c r="AT97" s="9"/>
      <c r="AU97" s="9"/>
      <c r="AV97" s="9"/>
      <c r="AW97" s="9"/>
      <c r="AX97" s="9"/>
      <c r="AY97" s="9"/>
      <c r="AZ97" s="9"/>
      <c r="BA97" s="9"/>
      <c r="BB97" s="9"/>
    </row>
    <row r="98" spans="1:54" x14ac:dyDescent="0.4">
      <c r="A98" s="59">
        <f t="shared" si="4"/>
        <v>0</v>
      </c>
      <c r="B98" s="9"/>
      <c r="C98" s="9"/>
      <c r="D98" s="9"/>
      <c r="E98" s="10"/>
      <c r="F98" s="9"/>
      <c r="I98" s="10"/>
      <c r="J98" s="10"/>
      <c r="K98" s="10"/>
      <c r="L98" s="10"/>
      <c r="M98" s="10"/>
      <c r="N98" s="11"/>
      <c r="O98" s="11"/>
      <c r="P98" s="11"/>
      <c r="Q98" s="11"/>
      <c r="R98" s="12"/>
      <c r="S98" s="11"/>
      <c r="T98" s="11"/>
      <c r="U98" s="11"/>
      <c r="V98" s="11"/>
      <c r="W98" s="11"/>
      <c r="X98" s="11"/>
      <c r="Y98" s="12"/>
      <c r="Z98" s="8"/>
      <c r="AA98" s="8"/>
      <c r="AB98" s="8"/>
      <c r="AC98" s="8"/>
      <c r="AD98" s="8"/>
      <c r="AE98" s="9"/>
      <c r="AF98" s="8"/>
      <c r="AG98" s="8"/>
      <c r="AH98" s="72"/>
      <c r="AI98" s="13"/>
      <c r="AJ98" s="13"/>
      <c r="AK98" s="13"/>
      <c r="AL98" s="13"/>
      <c r="AM98" s="9"/>
      <c r="AN98" s="9"/>
      <c r="AO98" s="9"/>
      <c r="AP98" s="9"/>
      <c r="AQ98" s="9"/>
      <c r="AR98" s="9"/>
      <c r="AS98" s="9"/>
      <c r="AT98" s="9"/>
      <c r="AU98" s="9"/>
      <c r="AV98" s="9"/>
      <c r="AW98" s="9"/>
      <c r="AX98" s="9"/>
      <c r="AY98" s="9"/>
      <c r="AZ98" s="9"/>
      <c r="BA98" s="9"/>
      <c r="BB98" s="9"/>
    </row>
    <row r="99" spans="1:54" x14ac:dyDescent="0.4">
      <c r="A99" s="59">
        <f t="shared" si="4"/>
        <v>0</v>
      </c>
      <c r="B99" s="9"/>
      <c r="C99" s="9"/>
      <c r="D99" s="9"/>
      <c r="E99" s="10"/>
      <c r="F99" s="9"/>
      <c r="I99" s="10"/>
      <c r="J99" s="10"/>
      <c r="K99" s="10"/>
      <c r="L99" s="10"/>
      <c r="M99" s="10"/>
      <c r="N99" s="11"/>
      <c r="O99" s="11"/>
      <c r="P99" s="11"/>
      <c r="Q99" s="11"/>
      <c r="R99" s="12"/>
      <c r="S99" s="11"/>
      <c r="T99" s="11"/>
      <c r="U99" s="11"/>
      <c r="V99" s="11"/>
      <c r="W99" s="11"/>
      <c r="X99" s="11"/>
      <c r="Y99" s="12"/>
      <c r="Z99" s="8"/>
      <c r="AA99" s="8"/>
      <c r="AB99" s="8"/>
      <c r="AC99" s="8"/>
      <c r="AD99" s="8"/>
      <c r="AE99" s="9"/>
      <c r="AF99" s="8"/>
      <c r="AG99" s="8"/>
      <c r="AH99" s="72"/>
      <c r="AI99" s="13"/>
      <c r="AJ99" s="13"/>
      <c r="AK99" s="13"/>
      <c r="AL99" s="13"/>
      <c r="AM99" s="9"/>
      <c r="AN99" s="9"/>
      <c r="AO99" s="9"/>
      <c r="AP99" s="9"/>
      <c r="AQ99" s="9"/>
      <c r="AR99" s="9"/>
      <c r="AS99" s="9"/>
      <c r="AT99" s="9"/>
      <c r="AU99" s="9"/>
      <c r="AV99" s="9"/>
      <c r="AW99" s="9"/>
      <c r="AX99" s="9"/>
      <c r="AY99" s="9"/>
      <c r="AZ99" s="9"/>
      <c r="BA99" s="9"/>
      <c r="BB99" s="9"/>
    </row>
    <row r="100" spans="1:54" x14ac:dyDescent="0.4">
      <c r="A100" s="59">
        <f t="shared" si="4"/>
        <v>0</v>
      </c>
      <c r="B100" s="9"/>
      <c r="C100" s="9"/>
      <c r="D100" s="9"/>
      <c r="E100" s="10"/>
      <c r="F100" s="9"/>
      <c r="I100" s="10"/>
      <c r="J100" s="10"/>
      <c r="K100" s="10"/>
      <c r="L100" s="10"/>
      <c r="M100" s="10"/>
      <c r="N100" s="11"/>
      <c r="O100" s="11"/>
      <c r="P100" s="11"/>
      <c r="Q100" s="11"/>
      <c r="R100" s="12"/>
      <c r="S100" s="11"/>
      <c r="T100" s="11"/>
      <c r="U100" s="11"/>
      <c r="V100" s="11"/>
      <c r="W100" s="11"/>
      <c r="X100" s="11"/>
      <c r="Y100" s="12"/>
      <c r="Z100" s="8"/>
      <c r="AA100" s="8"/>
      <c r="AB100" s="8"/>
      <c r="AC100" s="8"/>
      <c r="AD100" s="8"/>
      <c r="AE100" s="9"/>
      <c r="AF100" s="8"/>
      <c r="AG100" s="8"/>
      <c r="AH100" s="72"/>
      <c r="AI100" s="13"/>
      <c r="AJ100" s="13"/>
      <c r="AK100" s="13"/>
      <c r="AL100" s="13"/>
      <c r="AM100" s="9"/>
      <c r="AN100" s="9"/>
      <c r="AO100" s="9"/>
      <c r="AP100" s="9"/>
      <c r="AQ100" s="9"/>
      <c r="AR100" s="9"/>
      <c r="AS100" s="9"/>
      <c r="AT100" s="9"/>
      <c r="AU100" s="9"/>
      <c r="AV100" s="9"/>
      <c r="AW100" s="9"/>
      <c r="AX100" s="9"/>
      <c r="AY100" s="9"/>
      <c r="AZ100" s="9"/>
      <c r="BA100" s="9"/>
      <c r="BB100" s="9"/>
    </row>
    <row r="101" spans="1:54" x14ac:dyDescent="0.4">
      <c r="A101" s="59">
        <f t="shared" si="4"/>
        <v>0</v>
      </c>
      <c r="B101" s="9"/>
      <c r="C101" s="9"/>
      <c r="D101" s="9"/>
      <c r="E101" s="10"/>
      <c r="F101" s="9"/>
      <c r="I101" s="10"/>
      <c r="J101" s="10"/>
      <c r="K101" s="10"/>
      <c r="L101" s="10"/>
      <c r="M101" s="10"/>
      <c r="N101" s="11"/>
      <c r="O101" s="11"/>
      <c r="P101" s="11"/>
      <c r="Q101" s="11"/>
      <c r="R101" s="12"/>
      <c r="S101" s="11"/>
      <c r="T101" s="11"/>
      <c r="U101" s="11"/>
      <c r="V101" s="11"/>
      <c r="W101" s="11"/>
      <c r="X101" s="11"/>
      <c r="Y101" s="12"/>
      <c r="Z101" s="8"/>
      <c r="AA101" s="8"/>
      <c r="AB101" s="8"/>
      <c r="AC101" s="8"/>
      <c r="AD101" s="8"/>
      <c r="AE101" s="9"/>
      <c r="AF101" s="8"/>
      <c r="AG101" s="8"/>
      <c r="AH101" s="72"/>
      <c r="AI101" s="13"/>
      <c r="AJ101" s="13"/>
      <c r="AK101" s="13"/>
      <c r="AL101" s="13"/>
      <c r="AM101" s="9"/>
      <c r="AN101" s="9"/>
      <c r="AO101" s="9"/>
      <c r="AP101" s="9"/>
      <c r="AQ101" s="9"/>
      <c r="AR101" s="9"/>
      <c r="AS101" s="9"/>
      <c r="AT101" s="9"/>
      <c r="AU101" s="9"/>
      <c r="AV101" s="9"/>
      <c r="AW101" s="9"/>
      <c r="AX101" s="9"/>
      <c r="AY101" s="9"/>
      <c r="AZ101" s="9"/>
      <c r="BA101" s="9"/>
      <c r="BB101" s="9"/>
    </row>
    <row r="102" spans="1:54" x14ac:dyDescent="0.4">
      <c r="A102" s="59">
        <f t="shared" si="4"/>
        <v>0</v>
      </c>
      <c r="B102" s="9"/>
      <c r="C102" s="9"/>
      <c r="D102" s="9"/>
      <c r="E102" s="10"/>
      <c r="F102" s="9"/>
      <c r="I102" s="10"/>
      <c r="J102" s="10"/>
      <c r="K102" s="10"/>
      <c r="L102" s="10"/>
      <c r="M102" s="10"/>
      <c r="N102" s="11"/>
      <c r="O102" s="11"/>
      <c r="P102" s="11"/>
      <c r="Q102" s="11"/>
      <c r="R102" s="12"/>
      <c r="S102" s="11"/>
      <c r="T102" s="11"/>
      <c r="U102" s="11"/>
      <c r="V102" s="11"/>
      <c r="W102" s="11"/>
      <c r="X102" s="11"/>
      <c r="Y102" s="12"/>
      <c r="Z102" s="8"/>
      <c r="AA102" s="8"/>
      <c r="AB102" s="8"/>
      <c r="AC102" s="8"/>
      <c r="AD102" s="8"/>
      <c r="AE102" s="9"/>
      <c r="AF102" s="8"/>
      <c r="AG102" s="8"/>
      <c r="AH102" s="72"/>
      <c r="AI102" s="13"/>
      <c r="AJ102" s="13"/>
      <c r="AK102" s="13"/>
      <c r="AL102" s="13"/>
      <c r="AM102" s="9"/>
      <c r="AN102" s="9"/>
      <c r="AO102" s="9"/>
      <c r="AP102" s="9"/>
      <c r="AQ102" s="9"/>
      <c r="AR102" s="9"/>
      <c r="AS102" s="9"/>
      <c r="AT102" s="9"/>
      <c r="AU102" s="9"/>
      <c r="AV102" s="9"/>
      <c r="AW102" s="9"/>
      <c r="AX102" s="9"/>
      <c r="AY102" s="9"/>
      <c r="AZ102" s="9"/>
      <c r="BA102" s="9"/>
      <c r="BB102" s="9"/>
    </row>
    <row r="103" spans="1:54" x14ac:dyDescent="0.4">
      <c r="A103" s="59">
        <f t="shared" si="4"/>
        <v>0</v>
      </c>
      <c r="B103" s="9"/>
      <c r="C103" s="9"/>
      <c r="D103" s="9"/>
      <c r="E103" s="10"/>
      <c r="F103" s="9"/>
      <c r="I103" s="10"/>
      <c r="J103" s="10"/>
      <c r="K103" s="10"/>
      <c r="L103" s="10"/>
      <c r="M103" s="10"/>
      <c r="N103" s="11"/>
      <c r="O103" s="11"/>
      <c r="P103" s="11"/>
      <c r="Q103" s="11"/>
      <c r="R103" s="12"/>
      <c r="S103" s="11"/>
      <c r="T103" s="11"/>
      <c r="U103" s="11"/>
      <c r="V103" s="11"/>
      <c r="W103" s="11"/>
      <c r="X103" s="11"/>
      <c r="Y103" s="12"/>
      <c r="Z103" s="8"/>
      <c r="AA103" s="8"/>
      <c r="AB103" s="8"/>
      <c r="AC103" s="8"/>
      <c r="AD103" s="8"/>
      <c r="AE103" s="9"/>
      <c r="AF103" s="8"/>
      <c r="AG103" s="8"/>
      <c r="AH103" s="72"/>
      <c r="AI103" s="13"/>
      <c r="AJ103" s="13"/>
      <c r="AK103" s="13"/>
      <c r="AL103" s="13"/>
      <c r="AM103" s="9"/>
      <c r="AN103" s="9"/>
      <c r="AO103" s="9"/>
      <c r="AP103" s="9"/>
      <c r="AQ103" s="9"/>
      <c r="AR103" s="9"/>
      <c r="AS103" s="9"/>
      <c r="AT103" s="9"/>
      <c r="AU103" s="9"/>
      <c r="AV103" s="9"/>
      <c r="AW103" s="9"/>
      <c r="AX103" s="9"/>
      <c r="AY103" s="9"/>
      <c r="AZ103" s="9"/>
      <c r="BA103" s="9"/>
      <c r="BB103" s="9"/>
    </row>
    <row r="104" spans="1:54" x14ac:dyDescent="0.4">
      <c r="A104" s="59">
        <f t="shared" si="4"/>
        <v>0</v>
      </c>
      <c r="B104" s="9"/>
      <c r="C104" s="9"/>
      <c r="D104" s="9"/>
      <c r="E104" s="10"/>
      <c r="F104" s="9"/>
      <c r="I104" s="10"/>
      <c r="J104" s="10"/>
      <c r="K104" s="10"/>
      <c r="L104" s="10"/>
      <c r="M104" s="10"/>
      <c r="N104" s="11"/>
      <c r="O104" s="11"/>
      <c r="P104" s="11"/>
      <c r="Q104" s="11"/>
      <c r="R104" s="12"/>
      <c r="S104" s="11"/>
      <c r="T104" s="11"/>
      <c r="U104" s="11"/>
      <c r="V104" s="11"/>
      <c r="W104" s="11"/>
      <c r="X104" s="11"/>
      <c r="Y104" s="12"/>
      <c r="Z104" s="8"/>
      <c r="AA104" s="8"/>
      <c r="AB104" s="8"/>
      <c r="AC104" s="8"/>
      <c r="AD104" s="8"/>
      <c r="AE104" s="9"/>
      <c r="AF104" s="8"/>
      <c r="AG104" s="8"/>
      <c r="AH104" s="72"/>
      <c r="AI104" s="13"/>
      <c r="AJ104" s="13"/>
      <c r="AK104" s="13"/>
      <c r="AL104" s="13"/>
      <c r="AM104" s="9"/>
      <c r="AN104" s="9"/>
      <c r="AO104" s="9"/>
      <c r="AP104" s="9"/>
      <c r="AQ104" s="9"/>
      <c r="AR104" s="9"/>
      <c r="AS104" s="9"/>
      <c r="AT104" s="9"/>
      <c r="AU104" s="9"/>
      <c r="AV104" s="9"/>
      <c r="AW104" s="9"/>
      <c r="AX104" s="9"/>
      <c r="AY104" s="9"/>
      <c r="AZ104" s="9"/>
      <c r="BA104" s="9"/>
      <c r="BB104" s="9"/>
    </row>
    <row r="105" spans="1:54" x14ac:dyDescent="0.4">
      <c r="A105" s="59">
        <f t="shared" si="4"/>
        <v>0</v>
      </c>
      <c r="B105" s="9"/>
      <c r="C105" s="9"/>
      <c r="D105" s="9"/>
      <c r="E105" s="10"/>
      <c r="F105" s="9"/>
      <c r="I105" s="10"/>
      <c r="J105" s="10"/>
      <c r="K105" s="10"/>
      <c r="L105" s="10"/>
      <c r="M105" s="10"/>
      <c r="N105" s="11"/>
      <c r="O105" s="11"/>
      <c r="P105" s="11"/>
      <c r="Q105" s="11"/>
      <c r="R105" s="12"/>
      <c r="S105" s="11"/>
      <c r="T105" s="11"/>
      <c r="U105" s="11"/>
      <c r="V105" s="11"/>
      <c r="W105" s="11"/>
      <c r="X105" s="11"/>
      <c r="Y105" s="12"/>
      <c r="Z105" s="8"/>
      <c r="AA105" s="8"/>
      <c r="AB105" s="8"/>
      <c r="AC105" s="8"/>
      <c r="AD105" s="8"/>
      <c r="AE105" s="9"/>
      <c r="AF105" s="8"/>
      <c r="AG105" s="8"/>
      <c r="AH105" s="72"/>
      <c r="AI105" s="13"/>
      <c r="AJ105" s="13"/>
      <c r="AK105" s="13"/>
      <c r="AL105" s="13"/>
      <c r="AM105" s="9"/>
      <c r="AN105" s="9"/>
      <c r="AO105" s="9"/>
      <c r="AP105" s="9"/>
      <c r="AQ105" s="9"/>
      <c r="AR105" s="9"/>
      <c r="AS105" s="9"/>
      <c r="AT105" s="9"/>
      <c r="AU105" s="9"/>
      <c r="AV105" s="9"/>
      <c r="AW105" s="9"/>
      <c r="AX105" s="9"/>
      <c r="AY105" s="9"/>
      <c r="AZ105" s="9"/>
      <c r="BA105" s="9"/>
      <c r="BB105" s="9"/>
    </row>
    <row r="106" spans="1:54" x14ac:dyDescent="0.4">
      <c r="A106" s="59">
        <f t="shared" si="4"/>
        <v>0</v>
      </c>
      <c r="B106" s="9"/>
      <c r="C106" s="9"/>
      <c r="D106" s="9"/>
      <c r="E106" s="10"/>
      <c r="F106" s="9"/>
      <c r="I106" s="10"/>
      <c r="J106" s="10"/>
      <c r="K106" s="10"/>
      <c r="L106" s="10"/>
      <c r="M106" s="10"/>
      <c r="N106" s="11"/>
      <c r="O106" s="11"/>
      <c r="P106" s="11"/>
      <c r="Q106" s="11"/>
      <c r="R106" s="12"/>
      <c r="S106" s="11"/>
      <c r="T106" s="11"/>
      <c r="U106" s="11"/>
      <c r="V106" s="11"/>
      <c r="W106" s="11"/>
      <c r="X106" s="11"/>
      <c r="Y106" s="12"/>
      <c r="Z106" s="8"/>
      <c r="AA106" s="8"/>
      <c r="AB106" s="8"/>
      <c r="AC106" s="8"/>
      <c r="AD106" s="8"/>
      <c r="AE106" s="9"/>
      <c r="AF106" s="8"/>
      <c r="AG106" s="8"/>
      <c r="AH106" s="72"/>
      <c r="AI106" s="13"/>
      <c r="AJ106" s="13"/>
      <c r="AK106" s="13"/>
      <c r="AL106" s="13"/>
      <c r="AM106" s="9"/>
      <c r="AN106" s="9"/>
      <c r="AO106" s="9"/>
      <c r="AP106" s="9"/>
      <c r="AQ106" s="9"/>
      <c r="AR106" s="9"/>
      <c r="AS106" s="9"/>
      <c r="AT106" s="9"/>
      <c r="AU106" s="9"/>
      <c r="AV106" s="9"/>
      <c r="AW106" s="9"/>
      <c r="AX106" s="9"/>
      <c r="AY106" s="9"/>
      <c r="AZ106" s="9"/>
      <c r="BA106" s="9"/>
      <c r="BB106" s="9"/>
    </row>
    <row r="107" spans="1:54" x14ac:dyDescent="0.4">
      <c r="A107" s="59">
        <f t="shared" si="4"/>
        <v>0</v>
      </c>
      <c r="B107" s="9"/>
      <c r="C107" s="9"/>
      <c r="D107" s="9"/>
      <c r="E107" s="10"/>
      <c r="F107" s="9"/>
      <c r="I107" s="10"/>
      <c r="J107" s="10"/>
      <c r="K107" s="10"/>
      <c r="L107" s="10"/>
      <c r="M107" s="10"/>
      <c r="N107" s="11"/>
      <c r="O107" s="11"/>
      <c r="P107" s="11"/>
      <c r="Q107" s="11"/>
      <c r="R107" s="12"/>
      <c r="S107" s="11"/>
      <c r="T107" s="11"/>
      <c r="U107" s="11"/>
      <c r="V107" s="11"/>
      <c r="W107" s="11"/>
      <c r="X107" s="11"/>
      <c r="Y107" s="12"/>
      <c r="Z107" s="8"/>
      <c r="AA107" s="8"/>
      <c r="AB107" s="8"/>
      <c r="AC107" s="8"/>
      <c r="AD107" s="8"/>
      <c r="AE107" s="9"/>
      <c r="AF107" s="8"/>
      <c r="AG107" s="8"/>
      <c r="AH107" s="72"/>
      <c r="AI107" s="13"/>
      <c r="AJ107" s="13"/>
      <c r="AK107" s="13"/>
      <c r="AL107" s="13"/>
      <c r="AM107" s="9"/>
      <c r="AN107" s="9"/>
      <c r="AO107" s="9"/>
      <c r="AP107" s="9"/>
      <c r="AQ107" s="9"/>
      <c r="AR107" s="9"/>
      <c r="AS107" s="9"/>
      <c r="AT107" s="9"/>
      <c r="AU107" s="9"/>
      <c r="AV107" s="9"/>
      <c r="AW107" s="9"/>
      <c r="AX107" s="9"/>
      <c r="AY107" s="9"/>
      <c r="AZ107" s="9"/>
      <c r="BA107" s="9"/>
      <c r="BB107" s="9"/>
    </row>
    <row r="108" spans="1:54" x14ac:dyDescent="0.4">
      <c r="A108" s="59">
        <f t="shared" si="4"/>
        <v>0</v>
      </c>
      <c r="B108" s="9"/>
      <c r="C108" s="9"/>
      <c r="D108" s="9"/>
      <c r="E108" s="10"/>
      <c r="F108" s="9"/>
      <c r="I108" s="10"/>
      <c r="J108" s="10"/>
      <c r="K108" s="10"/>
      <c r="L108" s="10"/>
      <c r="M108" s="10"/>
      <c r="N108" s="11"/>
      <c r="O108" s="11"/>
      <c r="P108" s="11"/>
      <c r="Q108" s="11"/>
      <c r="R108" s="12"/>
      <c r="S108" s="11"/>
      <c r="T108" s="11"/>
      <c r="U108" s="11"/>
      <c r="V108" s="11"/>
      <c r="W108" s="11"/>
      <c r="X108" s="11"/>
      <c r="Y108" s="12"/>
      <c r="Z108" s="8"/>
      <c r="AA108" s="8"/>
      <c r="AB108" s="8"/>
      <c r="AC108" s="8"/>
      <c r="AD108" s="8"/>
      <c r="AE108" s="9"/>
      <c r="AF108" s="8"/>
      <c r="AG108" s="8"/>
      <c r="AH108" s="72"/>
      <c r="AI108" s="13"/>
      <c r="AJ108" s="13"/>
      <c r="AK108" s="13"/>
      <c r="AL108" s="13"/>
      <c r="AM108" s="9"/>
      <c r="AN108" s="9"/>
      <c r="AO108" s="9"/>
      <c r="AP108" s="9"/>
      <c r="AQ108" s="9"/>
      <c r="AR108" s="9"/>
      <c r="AS108" s="9"/>
      <c r="AT108" s="9"/>
      <c r="AU108" s="9"/>
      <c r="AV108" s="9"/>
      <c r="AW108" s="9"/>
      <c r="AX108" s="9"/>
      <c r="AY108" s="9"/>
      <c r="AZ108" s="9"/>
      <c r="BA108" s="9"/>
      <c r="BB108" s="9"/>
    </row>
    <row r="109" spans="1:54" x14ac:dyDescent="0.4">
      <c r="A109" s="59">
        <f t="shared" si="4"/>
        <v>0</v>
      </c>
      <c r="B109" s="9"/>
      <c r="C109" s="9"/>
      <c r="D109" s="9"/>
      <c r="E109" s="10"/>
      <c r="F109" s="9"/>
      <c r="I109" s="10"/>
      <c r="J109" s="10"/>
      <c r="K109" s="10"/>
      <c r="L109" s="10"/>
      <c r="M109" s="10"/>
      <c r="N109" s="11"/>
      <c r="O109" s="11"/>
      <c r="P109" s="11"/>
      <c r="Q109" s="11"/>
      <c r="R109" s="12"/>
      <c r="S109" s="11"/>
      <c r="T109" s="11"/>
      <c r="U109" s="11"/>
      <c r="V109" s="11"/>
      <c r="W109" s="11"/>
      <c r="X109" s="11"/>
      <c r="Y109" s="12"/>
      <c r="Z109" s="8"/>
      <c r="AA109" s="8"/>
      <c r="AB109" s="8"/>
      <c r="AC109" s="8"/>
      <c r="AD109" s="8"/>
      <c r="AE109" s="9"/>
      <c r="AF109" s="8"/>
      <c r="AG109" s="8"/>
      <c r="AH109" s="72"/>
      <c r="AI109" s="13"/>
      <c r="AJ109" s="13"/>
      <c r="AK109" s="13"/>
      <c r="AL109" s="13"/>
      <c r="AM109" s="9"/>
      <c r="AN109" s="9"/>
      <c r="AO109" s="9"/>
      <c r="AP109" s="9"/>
      <c r="AQ109" s="9"/>
      <c r="AR109" s="9"/>
      <c r="AS109" s="9"/>
      <c r="AT109" s="9"/>
      <c r="AU109" s="9"/>
      <c r="AV109" s="9"/>
      <c r="AW109" s="9"/>
      <c r="AX109" s="9"/>
      <c r="AY109" s="9"/>
      <c r="AZ109" s="9"/>
      <c r="BA109" s="9"/>
      <c r="BB109" s="9"/>
    </row>
    <row r="110" spans="1:54" x14ac:dyDescent="0.4">
      <c r="A110" s="59">
        <f t="shared" si="4"/>
        <v>0</v>
      </c>
      <c r="B110" s="9"/>
      <c r="C110" s="9"/>
      <c r="D110" s="9"/>
      <c r="E110" s="10"/>
      <c r="F110" s="9"/>
      <c r="I110" s="10"/>
      <c r="J110" s="10"/>
      <c r="K110" s="10"/>
      <c r="L110" s="10"/>
      <c r="M110" s="10"/>
      <c r="N110" s="11"/>
      <c r="O110" s="11"/>
      <c r="P110" s="11"/>
      <c r="Q110" s="11"/>
      <c r="R110" s="12"/>
      <c r="S110" s="11"/>
      <c r="T110" s="11"/>
      <c r="U110" s="11"/>
      <c r="V110" s="11"/>
      <c r="W110" s="11"/>
      <c r="X110" s="11"/>
      <c r="Y110" s="12"/>
      <c r="Z110" s="8"/>
      <c r="AA110" s="8"/>
      <c r="AB110" s="8"/>
      <c r="AC110" s="8"/>
      <c r="AD110" s="8"/>
      <c r="AE110" s="9"/>
      <c r="AF110" s="8"/>
      <c r="AG110" s="8"/>
      <c r="AH110" s="72"/>
      <c r="AI110" s="13"/>
      <c r="AJ110" s="13"/>
      <c r="AK110" s="13"/>
      <c r="AL110" s="13"/>
      <c r="AM110" s="9"/>
      <c r="AN110" s="9"/>
      <c r="AO110" s="9"/>
      <c r="AP110" s="9"/>
      <c r="AQ110" s="9"/>
      <c r="AR110" s="9"/>
      <c r="AS110" s="9"/>
      <c r="AT110" s="9"/>
      <c r="AU110" s="9"/>
      <c r="AV110" s="9"/>
      <c r="AW110" s="9"/>
      <c r="AX110" s="9"/>
      <c r="AY110" s="9"/>
      <c r="AZ110" s="9"/>
      <c r="BA110" s="9"/>
      <c r="BB110" s="9"/>
    </row>
    <row r="111" spans="1:54" x14ac:dyDescent="0.4">
      <c r="A111" s="59">
        <f t="shared" si="4"/>
        <v>0</v>
      </c>
      <c r="B111" s="9"/>
      <c r="C111" s="9"/>
      <c r="D111" s="9"/>
      <c r="E111" s="10"/>
      <c r="F111" s="9"/>
      <c r="I111" s="10"/>
      <c r="J111" s="10"/>
      <c r="K111" s="10"/>
      <c r="L111" s="10"/>
      <c r="M111" s="10"/>
      <c r="N111" s="11"/>
      <c r="O111" s="11"/>
      <c r="P111" s="11"/>
      <c r="Q111" s="11"/>
      <c r="R111" s="12"/>
      <c r="S111" s="11"/>
      <c r="T111" s="11"/>
      <c r="U111" s="11"/>
      <c r="V111" s="11"/>
      <c r="W111" s="11"/>
      <c r="X111" s="11"/>
      <c r="Y111" s="12"/>
      <c r="Z111" s="8"/>
      <c r="AA111" s="8"/>
      <c r="AB111" s="8"/>
      <c r="AC111" s="8"/>
      <c r="AD111" s="8"/>
      <c r="AE111" s="9"/>
      <c r="AF111" s="8"/>
      <c r="AG111" s="8"/>
      <c r="AH111" s="72"/>
      <c r="AI111" s="13"/>
      <c r="AJ111" s="13"/>
      <c r="AK111" s="13"/>
      <c r="AL111" s="13"/>
      <c r="AM111" s="9"/>
      <c r="AN111" s="9"/>
      <c r="AO111" s="9"/>
      <c r="AP111" s="9"/>
      <c r="AQ111" s="9"/>
      <c r="AR111" s="9"/>
      <c r="AS111" s="9"/>
      <c r="AT111" s="9"/>
      <c r="AU111" s="9"/>
      <c r="AV111" s="9"/>
      <c r="AW111" s="9"/>
      <c r="AX111" s="9"/>
      <c r="AY111" s="9"/>
      <c r="AZ111" s="9"/>
      <c r="BA111" s="9"/>
      <c r="BB111" s="9"/>
    </row>
    <row r="112" spans="1:54" x14ac:dyDescent="0.4">
      <c r="A112" s="59">
        <f t="shared" si="4"/>
        <v>0</v>
      </c>
      <c r="B112" s="9"/>
      <c r="C112" s="9"/>
      <c r="D112" s="9"/>
      <c r="E112" s="10"/>
      <c r="F112" s="9"/>
      <c r="I112" s="10"/>
      <c r="J112" s="10"/>
      <c r="K112" s="10"/>
      <c r="L112" s="10"/>
      <c r="M112" s="10"/>
      <c r="N112" s="11"/>
      <c r="O112" s="11"/>
      <c r="P112" s="11"/>
      <c r="Q112" s="11"/>
      <c r="R112" s="12"/>
      <c r="S112" s="11"/>
      <c r="T112" s="11"/>
      <c r="U112" s="11"/>
      <c r="V112" s="11"/>
      <c r="W112" s="11"/>
      <c r="X112" s="11"/>
      <c r="Y112" s="12"/>
      <c r="Z112" s="8"/>
      <c r="AA112" s="8"/>
      <c r="AB112" s="8"/>
      <c r="AC112" s="8"/>
      <c r="AD112" s="8"/>
      <c r="AE112" s="9"/>
      <c r="AF112" s="8"/>
      <c r="AG112" s="8"/>
      <c r="AH112" s="72"/>
      <c r="AI112" s="13"/>
      <c r="AJ112" s="13"/>
      <c r="AK112" s="13"/>
      <c r="AL112" s="13"/>
      <c r="AM112" s="9"/>
      <c r="AN112" s="9"/>
      <c r="AO112" s="9"/>
      <c r="AP112" s="9"/>
      <c r="AQ112" s="9"/>
      <c r="AR112" s="9"/>
      <c r="AS112" s="9"/>
      <c r="AT112" s="9"/>
      <c r="AU112" s="9"/>
      <c r="AV112" s="9"/>
      <c r="AW112" s="9"/>
      <c r="AX112" s="9"/>
      <c r="AY112" s="9"/>
      <c r="AZ112" s="9"/>
      <c r="BA112" s="9"/>
      <c r="BB112" s="9"/>
    </row>
    <row r="113" spans="1:54" x14ac:dyDescent="0.4">
      <c r="A113" s="59">
        <f t="shared" si="4"/>
        <v>0</v>
      </c>
      <c r="B113" s="9"/>
      <c r="C113" s="9"/>
      <c r="D113" s="9"/>
      <c r="E113" s="10"/>
      <c r="F113" s="9"/>
      <c r="I113" s="10"/>
      <c r="J113" s="10"/>
      <c r="K113" s="10"/>
      <c r="L113" s="10"/>
      <c r="M113" s="10"/>
      <c r="N113" s="11"/>
      <c r="O113" s="11"/>
      <c r="P113" s="11"/>
      <c r="Q113" s="11"/>
      <c r="R113" s="12"/>
      <c r="S113" s="11"/>
      <c r="T113" s="11"/>
      <c r="U113" s="11"/>
      <c r="V113" s="11"/>
      <c r="W113" s="11"/>
      <c r="X113" s="11"/>
      <c r="Y113" s="12"/>
      <c r="Z113" s="8"/>
      <c r="AA113" s="8"/>
      <c r="AB113" s="8"/>
      <c r="AC113" s="8"/>
      <c r="AD113" s="8"/>
      <c r="AE113" s="9"/>
      <c r="AF113" s="8"/>
      <c r="AG113" s="8"/>
      <c r="AH113" s="72"/>
      <c r="AI113" s="13"/>
      <c r="AJ113" s="13"/>
      <c r="AK113" s="13"/>
      <c r="AL113" s="13"/>
      <c r="AM113" s="9"/>
      <c r="AN113" s="9"/>
      <c r="AO113" s="9"/>
      <c r="AP113" s="9"/>
      <c r="AQ113" s="9"/>
      <c r="AR113" s="9"/>
      <c r="AS113" s="9"/>
      <c r="AT113" s="9"/>
      <c r="AU113" s="9"/>
      <c r="AV113" s="9"/>
      <c r="AW113" s="9"/>
      <c r="AX113" s="9"/>
      <c r="AY113" s="9"/>
      <c r="AZ113" s="9"/>
      <c r="BA113" s="9"/>
      <c r="BB113" s="9"/>
    </row>
    <row r="114" spans="1:54" x14ac:dyDescent="0.4">
      <c r="A114" s="59">
        <f t="shared" si="4"/>
        <v>0</v>
      </c>
      <c r="B114" s="9"/>
      <c r="C114" s="9"/>
      <c r="D114" s="9"/>
      <c r="E114" s="10"/>
      <c r="F114" s="9"/>
      <c r="I114" s="10"/>
      <c r="J114" s="10"/>
      <c r="K114" s="10"/>
      <c r="L114" s="10"/>
      <c r="M114" s="10"/>
      <c r="N114" s="11"/>
      <c r="O114" s="11"/>
      <c r="P114" s="11"/>
      <c r="Q114" s="11"/>
      <c r="R114" s="12"/>
      <c r="S114" s="11"/>
      <c r="T114" s="11"/>
      <c r="U114" s="11"/>
      <c r="V114" s="11"/>
      <c r="W114" s="11"/>
      <c r="X114" s="11"/>
      <c r="Y114" s="12"/>
      <c r="Z114" s="8"/>
      <c r="AA114" s="8"/>
      <c r="AB114" s="8"/>
      <c r="AC114" s="8"/>
      <c r="AD114" s="8"/>
      <c r="AE114" s="9"/>
      <c r="AF114" s="8"/>
      <c r="AG114" s="8"/>
      <c r="AH114" s="72"/>
      <c r="AI114" s="13"/>
      <c r="AJ114" s="13"/>
      <c r="AK114" s="13"/>
      <c r="AL114" s="13"/>
      <c r="AM114" s="9"/>
      <c r="AN114" s="9"/>
      <c r="AO114" s="9"/>
      <c r="AP114" s="9"/>
      <c r="AQ114" s="9"/>
      <c r="AR114" s="9"/>
      <c r="AS114" s="9"/>
      <c r="AT114" s="9"/>
      <c r="AU114" s="9"/>
      <c r="AV114" s="9"/>
      <c r="AW114" s="9"/>
      <c r="AX114" s="9"/>
      <c r="AY114" s="9"/>
      <c r="AZ114" s="9"/>
      <c r="BA114" s="9"/>
      <c r="BB114" s="9"/>
    </row>
    <row r="115" spans="1:54" x14ac:dyDescent="0.4">
      <c r="A115" s="59">
        <f t="shared" si="4"/>
        <v>0</v>
      </c>
      <c r="B115" s="9"/>
      <c r="C115" s="9"/>
      <c r="D115" s="9"/>
      <c r="E115" s="10"/>
      <c r="F115" s="9"/>
      <c r="I115" s="10"/>
      <c r="J115" s="10"/>
      <c r="K115" s="10"/>
      <c r="L115" s="10"/>
      <c r="M115" s="10"/>
      <c r="N115" s="11"/>
      <c r="O115" s="11"/>
      <c r="P115" s="11"/>
      <c r="Q115" s="11"/>
      <c r="R115" s="12"/>
      <c r="S115" s="11"/>
      <c r="T115" s="11"/>
      <c r="U115" s="11"/>
      <c r="V115" s="11"/>
      <c r="W115" s="11"/>
      <c r="X115" s="11"/>
      <c r="Y115" s="12"/>
      <c r="Z115" s="8"/>
      <c r="AA115" s="8"/>
      <c r="AB115" s="8"/>
      <c r="AC115" s="8"/>
      <c r="AD115" s="8"/>
      <c r="AE115" s="9"/>
      <c r="AF115" s="8"/>
      <c r="AG115" s="8"/>
      <c r="AH115" s="72"/>
      <c r="AI115" s="13"/>
      <c r="AJ115" s="13"/>
      <c r="AK115" s="13"/>
      <c r="AL115" s="13"/>
      <c r="AM115" s="9"/>
      <c r="AN115" s="9"/>
      <c r="AO115" s="9"/>
      <c r="AP115" s="9"/>
      <c r="AQ115" s="9"/>
      <c r="AR115" s="9"/>
      <c r="AS115" s="9"/>
      <c r="AT115" s="9"/>
      <c r="AU115" s="9"/>
      <c r="AV115" s="9"/>
      <c r="AW115" s="9"/>
      <c r="AX115" s="9"/>
      <c r="AY115" s="9"/>
      <c r="AZ115" s="9"/>
      <c r="BA115" s="9"/>
      <c r="BB115" s="9"/>
    </row>
    <row r="116" spans="1:54" x14ac:dyDescent="0.4">
      <c r="A116" s="59">
        <f t="shared" si="4"/>
        <v>0</v>
      </c>
      <c r="B116" s="9"/>
      <c r="C116" s="9"/>
      <c r="D116" s="9"/>
      <c r="E116" s="10"/>
      <c r="F116" s="9"/>
      <c r="I116" s="10"/>
      <c r="J116" s="10"/>
      <c r="K116" s="10"/>
      <c r="L116" s="10"/>
      <c r="M116" s="10"/>
      <c r="N116" s="11"/>
      <c r="O116" s="11"/>
      <c r="P116" s="11"/>
      <c r="Q116" s="11"/>
      <c r="R116" s="12"/>
      <c r="S116" s="11"/>
      <c r="T116" s="11"/>
      <c r="U116" s="11"/>
      <c r="V116" s="11"/>
      <c r="W116" s="11"/>
      <c r="X116" s="11"/>
      <c r="Y116" s="12"/>
      <c r="Z116" s="8"/>
      <c r="AA116" s="8"/>
      <c r="AB116" s="8"/>
      <c r="AC116" s="8"/>
      <c r="AD116" s="8"/>
      <c r="AE116" s="9"/>
      <c r="AF116" s="8"/>
      <c r="AG116" s="8"/>
      <c r="AH116" s="72"/>
      <c r="AI116" s="13"/>
      <c r="AJ116" s="13"/>
      <c r="AK116" s="13"/>
      <c r="AL116" s="13"/>
      <c r="AM116" s="9"/>
      <c r="AN116" s="9"/>
      <c r="AO116" s="9"/>
      <c r="AP116" s="9"/>
      <c r="AQ116" s="9"/>
      <c r="AR116" s="9"/>
      <c r="AS116" s="9"/>
      <c r="AT116" s="9"/>
      <c r="AU116" s="9"/>
      <c r="AV116" s="9"/>
      <c r="AW116" s="9"/>
      <c r="AX116" s="9"/>
      <c r="AY116" s="9"/>
      <c r="AZ116" s="9"/>
      <c r="BA116" s="9"/>
      <c r="BB116" s="9"/>
    </row>
    <row r="117" spans="1:54" x14ac:dyDescent="0.4">
      <c r="A117" s="59">
        <f t="shared" si="4"/>
        <v>0</v>
      </c>
      <c r="B117" s="9"/>
      <c r="C117" s="9"/>
      <c r="D117" s="9"/>
      <c r="E117" s="10"/>
      <c r="F117" s="9"/>
      <c r="I117" s="10"/>
      <c r="J117" s="10"/>
      <c r="K117" s="10"/>
      <c r="L117" s="10"/>
      <c r="M117" s="10"/>
      <c r="N117" s="11"/>
      <c r="O117" s="11"/>
      <c r="P117" s="11"/>
      <c r="Q117" s="11"/>
      <c r="R117" s="12"/>
      <c r="S117" s="11"/>
      <c r="T117" s="11"/>
      <c r="U117" s="11"/>
      <c r="V117" s="11"/>
      <c r="W117" s="11"/>
      <c r="X117" s="11"/>
      <c r="Y117" s="12"/>
      <c r="Z117" s="8"/>
      <c r="AA117" s="8"/>
      <c r="AB117" s="8"/>
      <c r="AC117" s="8"/>
      <c r="AD117" s="8"/>
      <c r="AE117" s="9"/>
      <c r="AF117" s="8"/>
      <c r="AG117" s="8"/>
      <c r="AH117" s="72"/>
      <c r="AI117" s="13"/>
      <c r="AJ117" s="13"/>
      <c r="AK117" s="13"/>
      <c r="AL117" s="13"/>
      <c r="AM117" s="9"/>
      <c r="AN117" s="9"/>
      <c r="AO117" s="9"/>
      <c r="AP117" s="9"/>
      <c r="AQ117" s="9"/>
      <c r="AR117" s="9"/>
      <c r="AS117" s="9"/>
      <c r="AT117" s="9"/>
      <c r="AU117" s="9"/>
      <c r="AV117" s="9"/>
      <c r="AW117" s="9"/>
      <c r="AX117" s="9"/>
      <c r="AY117" s="9"/>
      <c r="AZ117" s="9"/>
      <c r="BA117" s="9"/>
      <c r="BB117" s="9"/>
    </row>
    <row r="118" spans="1:54" x14ac:dyDescent="0.4">
      <c r="A118" s="59">
        <f t="shared" si="4"/>
        <v>0</v>
      </c>
      <c r="B118" s="9"/>
      <c r="C118" s="9"/>
      <c r="D118" s="9"/>
      <c r="E118" s="10"/>
      <c r="F118" s="9"/>
      <c r="I118" s="10"/>
      <c r="J118" s="10"/>
      <c r="K118" s="10"/>
      <c r="L118" s="10"/>
      <c r="M118" s="10"/>
      <c r="N118" s="11"/>
      <c r="O118" s="11"/>
      <c r="P118" s="11"/>
      <c r="Q118" s="11"/>
      <c r="R118" s="12"/>
      <c r="S118" s="11"/>
      <c r="T118" s="11"/>
      <c r="U118" s="11"/>
      <c r="V118" s="11"/>
      <c r="W118" s="11"/>
      <c r="X118" s="11"/>
      <c r="Y118" s="12"/>
      <c r="Z118" s="8"/>
      <c r="AA118" s="8"/>
      <c r="AB118" s="8"/>
      <c r="AC118" s="8"/>
      <c r="AD118" s="8"/>
      <c r="AE118" s="9"/>
      <c r="AF118" s="8"/>
      <c r="AG118" s="8"/>
      <c r="AH118" s="72"/>
      <c r="AI118" s="13"/>
      <c r="AJ118" s="13"/>
      <c r="AK118" s="13"/>
      <c r="AL118" s="13"/>
      <c r="AM118" s="9"/>
      <c r="AN118" s="9"/>
      <c r="AO118" s="9"/>
      <c r="AP118" s="9"/>
      <c r="AQ118" s="9"/>
      <c r="AR118" s="9"/>
      <c r="AS118" s="9"/>
      <c r="AT118" s="9"/>
      <c r="AU118" s="9"/>
      <c r="AV118" s="9"/>
      <c r="AW118" s="9"/>
      <c r="AX118" s="9"/>
      <c r="AY118" s="9"/>
      <c r="AZ118" s="9"/>
      <c r="BA118" s="9"/>
      <c r="BB118" s="9"/>
    </row>
    <row r="119" spans="1:54" x14ac:dyDescent="0.4">
      <c r="A119" s="59">
        <f t="shared" si="4"/>
        <v>0</v>
      </c>
      <c r="B119" s="9"/>
      <c r="C119" s="9"/>
      <c r="D119" s="9"/>
      <c r="E119" s="10"/>
      <c r="F119" s="9"/>
      <c r="I119" s="10"/>
      <c r="J119" s="10"/>
      <c r="K119" s="10"/>
      <c r="L119" s="10"/>
      <c r="M119" s="10"/>
      <c r="N119" s="11"/>
      <c r="O119" s="11"/>
      <c r="P119" s="11"/>
      <c r="Q119" s="11"/>
      <c r="R119" s="12"/>
      <c r="S119" s="11"/>
      <c r="T119" s="11"/>
      <c r="U119" s="11"/>
      <c r="V119" s="11"/>
      <c r="W119" s="11"/>
      <c r="X119" s="11"/>
      <c r="Y119" s="12"/>
      <c r="Z119" s="8"/>
      <c r="AA119" s="8"/>
      <c r="AB119" s="8"/>
      <c r="AC119" s="8"/>
      <c r="AD119" s="8"/>
      <c r="AE119" s="9"/>
      <c r="AF119" s="8"/>
      <c r="AG119" s="8"/>
      <c r="AH119" s="72"/>
      <c r="AI119" s="13"/>
      <c r="AJ119" s="13"/>
      <c r="AK119" s="13"/>
      <c r="AL119" s="13"/>
      <c r="AM119" s="9"/>
      <c r="AN119" s="9"/>
      <c r="AO119" s="9"/>
      <c r="AP119" s="9"/>
      <c r="AQ119" s="9"/>
      <c r="AR119" s="9"/>
      <c r="AS119" s="9"/>
      <c r="AT119" s="9"/>
      <c r="AU119" s="9"/>
      <c r="AV119" s="9"/>
      <c r="AW119" s="9"/>
      <c r="AX119" s="9"/>
      <c r="AY119" s="9"/>
      <c r="AZ119" s="9"/>
      <c r="BA119" s="9"/>
      <c r="BB119" s="9"/>
    </row>
    <row r="120" spans="1:54" x14ac:dyDescent="0.4">
      <c r="A120" s="59">
        <f t="shared" si="4"/>
        <v>0</v>
      </c>
      <c r="B120" s="9"/>
      <c r="C120" s="9"/>
      <c r="D120" s="9"/>
      <c r="E120" s="10"/>
      <c r="F120" s="9"/>
      <c r="I120" s="10"/>
      <c r="J120" s="10"/>
      <c r="K120" s="10"/>
      <c r="L120" s="10"/>
      <c r="M120" s="10"/>
      <c r="N120" s="11"/>
      <c r="O120" s="11"/>
      <c r="P120" s="11"/>
      <c r="Q120" s="11"/>
      <c r="R120" s="12"/>
      <c r="S120" s="11"/>
      <c r="T120" s="11"/>
      <c r="U120" s="11"/>
      <c r="V120" s="11"/>
      <c r="W120" s="11"/>
      <c r="X120" s="11"/>
      <c r="Y120" s="12"/>
      <c r="Z120" s="8"/>
      <c r="AA120" s="8"/>
      <c r="AB120" s="8"/>
      <c r="AC120" s="8"/>
      <c r="AD120" s="8"/>
      <c r="AE120" s="9"/>
      <c r="AF120" s="8"/>
      <c r="AG120" s="8"/>
      <c r="AH120" s="72"/>
      <c r="AI120" s="13"/>
      <c r="AJ120" s="13"/>
      <c r="AK120" s="13"/>
      <c r="AL120" s="13"/>
      <c r="AM120" s="9"/>
      <c r="AN120" s="9"/>
      <c r="AO120" s="9"/>
      <c r="AP120" s="9"/>
      <c r="AQ120" s="9"/>
      <c r="AR120" s="9"/>
      <c r="AS120" s="9"/>
      <c r="AT120" s="9"/>
      <c r="AU120" s="9"/>
      <c r="AV120" s="9"/>
      <c r="AW120" s="9"/>
      <c r="AX120" s="9"/>
      <c r="AY120" s="9"/>
      <c r="AZ120" s="9"/>
      <c r="BA120" s="9"/>
      <c r="BB120" s="9"/>
    </row>
    <row r="121" spans="1:54" x14ac:dyDescent="0.4">
      <c r="A121" s="59">
        <f t="shared" si="4"/>
        <v>0</v>
      </c>
      <c r="B121" s="9"/>
      <c r="C121" s="9"/>
      <c r="D121" s="9"/>
      <c r="E121" s="10"/>
      <c r="F121" s="9"/>
      <c r="I121" s="10"/>
      <c r="J121" s="10"/>
      <c r="K121" s="10"/>
      <c r="L121" s="10"/>
      <c r="M121" s="10"/>
      <c r="N121" s="11"/>
      <c r="O121" s="11"/>
      <c r="P121" s="11"/>
      <c r="Q121" s="11"/>
      <c r="R121" s="12"/>
      <c r="S121" s="11"/>
      <c r="T121" s="11"/>
      <c r="U121" s="11"/>
      <c r="V121" s="11"/>
      <c r="W121" s="11"/>
      <c r="X121" s="11"/>
      <c r="Y121" s="12"/>
      <c r="Z121" s="8"/>
      <c r="AA121" s="8"/>
      <c r="AB121" s="8"/>
      <c r="AC121" s="8"/>
      <c r="AD121" s="8"/>
      <c r="AE121" s="9"/>
      <c r="AF121" s="8"/>
      <c r="AG121" s="8"/>
      <c r="AH121" s="72"/>
      <c r="AI121" s="13"/>
      <c r="AJ121" s="13"/>
      <c r="AK121" s="13"/>
      <c r="AL121" s="13"/>
      <c r="AM121" s="9"/>
      <c r="AN121" s="9"/>
      <c r="AO121" s="9"/>
      <c r="AP121" s="9"/>
      <c r="AQ121" s="9"/>
      <c r="AR121" s="9"/>
      <c r="AS121" s="9"/>
      <c r="AT121" s="9"/>
      <c r="AU121" s="9"/>
      <c r="AV121" s="9"/>
      <c r="AW121" s="9"/>
      <c r="AX121" s="9"/>
      <c r="AY121" s="9"/>
      <c r="AZ121" s="9"/>
      <c r="BA121" s="9"/>
      <c r="BB121" s="9"/>
    </row>
    <row r="122" spans="1:54" x14ac:dyDescent="0.4">
      <c r="A122" s="59">
        <f t="shared" si="4"/>
        <v>0</v>
      </c>
      <c r="B122" s="9"/>
      <c r="C122" s="9"/>
      <c r="D122" s="9"/>
      <c r="E122" s="10"/>
      <c r="F122" s="9"/>
      <c r="I122" s="10"/>
      <c r="J122" s="10"/>
      <c r="K122" s="10"/>
      <c r="L122" s="10"/>
      <c r="M122" s="10"/>
      <c r="N122" s="11"/>
      <c r="O122" s="11"/>
      <c r="P122" s="11"/>
      <c r="Q122" s="11"/>
      <c r="R122" s="12"/>
      <c r="S122" s="11"/>
      <c r="T122" s="11"/>
      <c r="U122" s="11"/>
      <c r="V122" s="11"/>
      <c r="W122" s="11"/>
      <c r="X122" s="11"/>
      <c r="Y122" s="12"/>
      <c r="Z122" s="8"/>
      <c r="AA122" s="8"/>
      <c r="AB122" s="8"/>
      <c r="AC122" s="8"/>
      <c r="AD122" s="8"/>
      <c r="AE122" s="9"/>
      <c r="AF122" s="8"/>
      <c r="AG122" s="8"/>
      <c r="AH122" s="72"/>
      <c r="AI122" s="13"/>
      <c r="AJ122" s="13"/>
      <c r="AK122" s="13"/>
      <c r="AL122" s="13"/>
      <c r="AM122" s="9"/>
      <c r="AN122" s="9"/>
      <c r="AO122" s="9"/>
      <c r="AP122" s="9"/>
      <c r="AQ122" s="9"/>
      <c r="AR122" s="9"/>
      <c r="AS122" s="9"/>
      <c r="AT122" s="9"/>
      <c r="AU122" s="9"/>
      <c r="AV122" s="9"/>
      <c r="AW122" s="9"/>
      <c r="AX122" s="9"/>
      <c r="AY122" s="9"/>
      <c r="AZ122" s="9"/>
      <c r="BA122" s="9"/>
      <c r="BB122" s="9"/>
    </row>
    <row r="123" spans="1:54" x14ac:dyDescent="0.4">
      <c r="A123" s="59">
        <f t="shared" si="4"/>
        <v>0</v>
      </c>
      <c r="B123" s="9"/>
      <c r="C123" s="9"/>
      <c r="D123" s="9"/>
      <c r="E123" s="10"/>
      <c r="F123" s="9"/>
      <c r="I123" s="10"/>
      <c r="J123" s="10"/>
      <c r="K123" s="10"/>
      <c r="L123" s="10"/>
      <c r="M123" s="10"/>
      <c r="N123" s="11"/>
      <c r="O123" s="11"/>
      <c r="P123" s="11"/>
      <c r="Q123" s="11"/>
      <c r="R123" s="12"/>
      <c r="S123" s="11"/>
      <c r="T123" s="11"/>
      <c r="U123" s="11"/>
      <c r="V123" s="11"/>
      <c r="W123" s="11"/>
      <c r="X123" s="11"/>
      <c r="Y123" s="12"/>
      <c r="Z123" s="8"/>
      <c r="AA123" s="8"/>
      <c r="AB123" s="8"/>
      <c r="AC123" s="8"/>
      <c r="AD123" s="8"/>
      <c r="AE123" s="9"/>
      <c r="AF123" s="8"/>
      <c r="AG123" s="8"/>
      <c r="AH123" s="72"/>
      <c r="AI123" s="13"/>
      <c r="AJ123" s="13"/>
      <c r="AK123" s="13"/>
      <c r="AL123" s="13"/>
      <c r="AM123" s="9"/>
      <c r="AN123" s="9"/>
      <c r="AO123" s="9"/>
      <c r="AP123" s="9"/>
      <c r="AQ123" s="9"/>
      <c r="AR123" s="9"/>
      <c r="AS123" s="9"/>
      <c r="AT123" s="9"/>
      <c r="AU123" s="9"/>
      <c r="AV123" s="9"/>
      <c r="AW123" s="9"/>
      <c r="AX123" s="9"/>
      <c r="AY123" s="9"/>
      <c r="AZ123" s="9"/>
      <c r="BA123" s="9"/>
      <c r="BB123" s="9"/>
    </row>
    <row r="124" spans="1:54" x14ac:dyDescent="0.4">
      <c r="A124" s="59">
        <f t="shared" si="4"/>
        <v>0</v>
      </c>
      <c r="B124" s="9"/>
      <c r="C124" s="9"/>
      <c r="D124" s="9"/>
      <c r="E124" s="10"/>
      <c r="F124" s="9"/>
      <c r="I124" s="10"/>
      <c r="J124" s="10"/>
      <c r="K124" s="10"/>
      <c r="L124" s="10"/>
      <c r="M124" s="10"/>
      <c r="N124" s="11"/>
      <c r="O124" s="11"/>
      <c r="P124" s="11"/>
      <c r="Q124" s="11"/>
      <c r="R124" s="12"/>
      <c r="S124" s="11"/>
      <c r="T124" s="11"/>
      <c r="U124" s="11"/>
      <c r="V124" s="11"/>
      <c r="W124" s="11"/>
      <c r="X124" s="11"/>
      <c r="Y124" s="12"/>
      <c r="Z124" s="8"/>
      <c r="AA124" s="8"/>
      <c r="AB124" s="8"/>
      <c r="AC124" s="8"/>
      <c r="AD124" s="8"/>
      <c r="AE124" s="9"/>
      <c r="AF124" s="8"/>
      <c r="AG124" s="8"/>
      <c r="AH124" s="72"/>
      <c r="AI124" s="13"/>
      <c r="AJ124" s="13"/>
      <c r="AK124" s="13"/>
      <c r="AL124" s="13"/>
      <c r="AM124" s="9"/>
      <c r="AN124" s="9"/>
      <c r="AO124" s="9"/>
      <c r="AP124" s="9"/>
      <c r="AQ124" s="9"/>
      <c r="AR124" s="9"/>
      <c r="AS124" s="9"/>
      <c r="AT124" s="9"/>
      <c r="AU124" s="9"/>
      <c r="AV124" s="9"/>
      <c r="AW124" s="9"/>
      <c r="AX124" s="9"/>
      <c r="AY124" s="9"/>
      <c r="AZ124" s="9"/>
      <c r="BA124" s="9"/>
      <c r="BB124" s="9"/>
    </row>
    <row r="125" spans="1:54" x14ac:dyDescent="0.4">
      <c r="A125" s="59">
        <f t="shared" si="4"/>
        <v>0</v>
      </c>
      <c r="B125" s="9"/>
      <c r="C125" s="9"/>
      <c r="D125" s="9"/>
      <c r="E125" s="10"/>
      <c r="F125" s="9"/>
      <c r="I125" s="10"/>
      <c r="J125" s="10"/>
      <c r="K125" s="10"/>
      <c r="L125" s="10"/>
      <c r="M125" s="10"/>
      <c r="N125" s="11"/>
      <c r="O125" s="11"/>
      <c r="P125" s="11"/>
      <c r="Q125" s="11"/>
      <c r="R125" s="12"/>
      <c r="S125" s="11"/>
      <c r="T125" s="11"/>
      <c r="U125" s="11"/>
      <c r="V125" s="11"/>
      <c r="W125" s="11"/>
      <c r="X125" s="11"/>
      <c r="Y125" s="12"/>
      <c r="Z125" s="8"/>
      <c r="AA125" s="8"/>
      <c r="AB125" s="8"/>
      <c r="AC125" s="8"/>
      <c r="AD125" s="8"/>
      <c r="AE125" s="9"/>
      <c r="AF125" s="8"/>
      <c r="AG125" s="8"/>
      <c r="AH125" s="72"/>
      <c r="AI125" s="13"/>
      <c r="AJ125" s="13"/>
      <c r="AK125" s="13"/>
      <c r="AL125" s="13"/>
      <c r="AM125" s="9"/>
      <c r="AN125" s="9"/>
      <c r="AO125" s="9"/>
      <c r="AP125" s="9"/>
      <c r="AQ125" s="9"/>
      <c r="AR125" s="9"/>
      <c r="AS125" s="9"/>
      <c r="AT125" s="9"/>
      <c r="AU125" s="9"/>
      <c r="AV125" s="9"/>
      <c r="AW125" s="9"/>
      <c r="AX125" s="9"/>
      <c r="AY125" s="9"/>
      <c r="AZ125" s="9"/>
      <c r="BA125" s="9"/>
      <c r="BB125" s="9"/>
    </row>
    <row r="126" spans="1:54" x14ac:dyDescent="0.4">
      <c r="A126" s="59">
        <f t="shared" si="4"/>
        <v>0</v>
      </c>
      <c r="B126" s="9"/>
      <c r="C126" s="9"/>
      <c r="D126" s="9"/>
      <c r="E126" s="10"/>
      <c r="F126" s="9"/>
      <c r="I126" s="10"/>
      <c r="J126" s="10"/>
      <c r="K126" s="10"/>
      <c r="L126" s="10"/>
      <c r="M126" s="10"/>
      <c r="N126" s="11"/>
      <c r="O126" s="11"/>
      <c r="P126" s="11"/>
      <c r="Q126" s="11"/>
      <c r="R126" s="12"/>
      <c r="S126" s="11"/>
      <c r="T126" s="11"/>
      <c r="U126" s="11"/>
      <c r="V126" s="11"/>
      <c r="W126" s="11"/>
      <c r="X126" s="11"/>
      <c r="Y126" s="12"/>
      <c r="Z126" s="8"/>
      <c r="AA126" s="8"/>
      <c r="AB126" s="8"/>
      <c r="AC126" s="8"/>
      <c r="AD126" s="8"/>
      <c r="AE126" s="9"/>
      <c r="AF126" s="8"/>
      <c r="AG126" s="8"/>
      <c r="AH126" s="72"/>
      <c r="AI126" s="13"/>
      <c r="AJ126" s="13"/>
      <c r="AK126" s="13"/>
      <c r="AL126" s="13"/>
      <c r="AM126" s="9"/>
      <c r="AN126" s="9"/>
      <c r="AO126" s="9"/>
      <c r="AP126" s="9"/>
      <c r="AQ126" s="9"/>
      <c r="AR126" s="9"/>
      <c r="AS126" s="9"/>
      <c r="AT126" s="9"/>
      <c r="AU126" s="9"/>
      <c r="AV126" s="9"/>
      <c r="AW126" s="9"/>
      <c r="AX126" s="9"/>
      <c r="AY126" s="9"/>
      <c r="AZ126" s="9"/>
      <c r="BA126" s="9"/>
      <c r="BB126" s="9"/>
    </row>
    <row r="127" spans="1:54" x14ac:dyDescent="0.4">
      <c r="A127" s="59">
        <f t="shared" si="4"/>
        <v>0</v>
      </c>
      <c r="B127" s="9"/>
      <c r="C127" s="9"/>
      <c r="D127" s="9"/>
      <c r="E127" s="10"/>
      <c r="F127" s="9"/>
      <c r="I127" s="10"/>
      <c r="J127" s="10"/>
      <c r="K127" s="10"/>
      <c r="L127" s="10"/>
      <c r="M127" s="10"/>
      <c r="N127" s="11"/>
      <c r="O127" s="11"/>
      <c r="P127" s="11"/>
      <c r="Q127" s="11"/>
      <c r="R127" s="12"/>
      <c r="S127" s="11"/>
      <c r="T127" s="11"/>
      <c r="U127" s="11"/>
      <c r="V127" s="11"/>
      <c r="W127" s="11"/>
      <c r="X127" s="11"/>
      <c r="Y127" s="12"/>
      <c r="Z127" s="8"/>
      <c r="AA127" s="8"/>
      <c r="AB127" s="8"/>
      <c r="AC127" s="8"/>
      <c r="AD127" s="8"/>
      <c r="AE127" s="9"/>
      <c r="AF127" s="8"/>
      <c r="AG127" s="8"/>
      <c r="AH127" s="72"/>
      <c r="AI127" s="13"/>
      <c r="AJ127" s="13"/>
      <c r="AK127" s="13"/>
      <c r="AL127" s="13"/>
      <c r="AM127" s="9"/>
      <c r="AN127" s="9"/>
      <c r="AO127" s="9"/>
      <c r="AP127" s="9"/>
      <c r="AQ127" s="9"/>
      <c r="AR127" s="9"/>
      <c r="AS127" s="9"/>
      <c r="AT127" s="9"/>
      <c r="AU127" s="9"/>
      <c r="AV127" s="9"/>
      <c r="AW127" s="9"/>
      <c r="AX127" s="9"/>
      <c r="AY127" s="9"/>
      <c r="AZ127" s="9"/>
      <c r="BA127" s="9"/>
      <c r="BB127" s="9"/>
    </row>
    <row r="128" spans="1:54" x14ac:dyDescent="0.4">
      <c r="A128" s="59">
        <f t="shared" si="4"/>
        <v>0</v>
      </c>
      <c r="B128" s="9"/>
      <c r="C128" s="9"/>
      <c r="D128" s="9"/>
      <c r="E128" s="10"/>
      <c r="F128" s="9"/>
      <c r="I128" s="10"/>
      <c r="J128" s="10"/>
      <c r="K128" s="10"/>
      <c r="L128" s="10"/>
      <c r="M128" s="10"/>
      <c r="N128" s="11"/>
      <c r="O128" s="11"/>
      <c r="P128" s="11"/>
      <c r="Q128" s="11"/>
      <c r="R128" s="12"/>
      <c r="S128" s="11"/>
      <c r="T128" s="11"/>
      <c r="U128" s="11"/>
      <c r="V128" s="11"/>
      <c r="W128" s="11"/>
      <c r="X128" s="11"/>
      <c r="Y128" s="12"/>
      <c r="Z128" s="8"/>
      <c r="AA128" s="8"/>
      <c r="AB128" s="8"/>
      <c r="AC128" s="8"/>
      <c r="AD128" s="8"/>
      <c r="AE128" s="9"/>
      <c r="AF128" s="8"/>
      <c r="AG128" s="8"/>
      <c r="AH128" s="72"/>
      <c r="AI128" s="13"/>
      <c r="AJ128" s="13"/>
      <c r="AK128" s="13"/>
      <c r="AL128" s="13"/>
      <c r="AM128" s="9"/>
      <c r="AN128" s="9"/>
      <c r="AO128" s="9"/>
      <c r="AP128" s="9"/>
      <c r="AQ128" s="9"/>
      <c r="AR128" s="9"/>
      <c r="AS128" s="9"/>
      <c r="AT128" s="9"/>
      <c r="AU128" s="9"/>
      <c r="AV128" s="9"/>
      <c r="AW128" s="9"/>
      <c r="AX128" s="9"/>
      <c r="AY128" s="9"/>
      <c r="AZ128" s="9"/>
      <c r="BA128" s="9"/>
      <c r="BB128" s="9"/>
    </row>
    <row r="129" spans="1:54" x14ac:dyDescent="0.4">
      <c r="A129" s="59">
        <f t="shared" si="4"/>
        <v>0</v>
      </c>
      <c r="B129" s="9"/>
      <c r="C129" s="9"/>
      <c r="D129" s="9"/>
      <c r="E129" s="10"/>
      <c r="F129" s="9"/>
      <c r="I129" s="10"/>
      <c r="J129" s="10"/>
      <c r="K129" s="10"/>
      <c r="L129" s="10"/>
      <c r="M129" s="10"/>
      <c r="N129" s="11"/>
      <c r="O129" s="11"/>
      <c r="P129" s="11"/>
      <c r="Q129" s="11"/>
      <c r="R129" s="12"/>
      <c r="S129" s="11"/>
      <c r="T129" s="11"/>
      <c r="U129" s="11"/>
      <c r="V129" s="11"/>
      <c r="W129" s="11"/>
      <c r="X129" s="11"/>
      <c r="Y129" s="12"/>
      <c r="Z129" s="8"/>
      <c r="AA129" s="8"/>
      <c r="AB129" s="8"/>
      <c r="AC129" s="8"/>
      <c r="AD129" s="8"/>
      <c r="AE129" s="9"/>
      <c r="AF129" s="8"/>
      <c r="AG129" s="8"/>
      <c r="AH129" s="72"/>
      <c r="AI129" s="13"/>
      <c r="AJ129" s="13"/>
      <c r="AK129" s="13"/>
      <c r="AL129" s="13"/>
      <c r="AM129" s="9"/>
      <c r="AN129" s="9"/>
      <c r="AO129" s="9"/>
      <c r="AP129" s="9"/>
      <c r="AQ129" s="9"/>
      <c r="AR129" s="9"/>
      <c r="AS129" s="9"/>
      <c r="AT129" s="9"/>
      <c r="AU129" s="9"/>
      <c r="AV129" s="9"/>
      <c r="AW129" s="9"/>
      <c r="AX129" s="9"/>
      <c r="AY129" s="9"/>
      <c r="AZ129" s="9"/>
      <c r="BA129" s="9"/>
      <c r="BB129" s="9"/>
    </row>
    <row r="130" spans="1:54" x14ac:dyDescent="0.4">
      <c r="A130" s="59">
        <f t="shared" si="4"/>
        <v>0</v>
      </c>
      <c r="B130" s="9"/>
      <c r="C130" s="9"/>
      <c r="D130" s="9"/>
      <c r="E130" s="10"/>
      <c r="F130" s="9"/>
      <c r="I130" s="10"/>
      <c r="J130" s="10"/>
      <c r="K130" s="10"/>
      <c r="L130" s="10"/>
      <c r="M130" s="10"/>
      <c r="N130" s="11"/>
      <c r="O130" s="11"/>
      <c r="P130" s="11"/>
      <c r="Q130" s="11"/>
      <c r="R130" s="12"/>
      <c r="S130" s="11"/>
      <c r="T130" s="11"/>
      <c r="U130" s="11"/>
      <c r="V130" s="11"/>
      <c r="W130" s="11"/>
      <c r="X130" s="11"/>
      <c r="Y130" s="12"/>
      <c r="Z130" s="8"/>
      <c r="AA130" s="8"/>
      <c r="AB130" s="8"/>
      <c r="AC130" s="8"/>
      <c r="AD130" s="8"/>
      <c r="AE130" s="9"/>
      <c r="AF130" s="8"/>
      <c r="AG130" s="8"/>
      <c r="AH130" s="72"/>
      <c r="AI130" s="13"/>
      <c r="AJ130" s="13"/>
      <c r="AK130" s="13"/>
      <c r="AL130" s="13"/>
      <c r="AM130" s="9"/>
      <c r="AN130" s="9"/>
      <c r="AO130" s="9"/>
      <c r="AP130" s="9"/>
      <c r="AQ130" s="9"/>
      <c r="AR130" s="9"/>
      <c r="AS130" s="9"/>
      <c r="AT130" s="9"/>
      <c r="AU130" s="9"/>
      <c r="AV130" s="9"/>
      <c r="AW130" s="9"/>
      <c r="AX130" s="9"/>
      <c r="AY130" s="9"/>
      <c r="AZ130" s="9"/>
      <c r="BA130" s="9"/>
      <c r="BB130" s="9"/>
    </row>
    <row r="131" spans="1:54" x14ac:dyDescent="0.4">
      <c r="A131" s="59">
        <f t="shared" si="4"/>
        <v>0</v>
      </c>
      <c r="B131" s="9"/>
      <c r="C131" s="9"/>
      <c r="D131" s="9"/>
      <c r="E131" s="10"/>
      <c r="F131" s="9"/>
      <c r="I131" s="10"/>
      <c r="J131" s="10"/>
      <c r="K131" s="10"/>
      <c r="L131" s="10"/>
      <c r="M131" s="10"/>
      <c r="N131" s="11"/>
      <c r="O131" s="11"/>
      <c r="P131" s="11"/>
      <c r="Q131" s="11"/>
      <c r="R131" s="12"/>
      <c r="S131" s="11"/>
      <c r="T131" s="11"/>
      <c r="U131" s="11"/>
      <c r="V131" s="11"/>
      <c r="W131" s="11"/>
      <c r="X131" s="11"/>
      <c r="Y131" s="12"/>
      <c r="Z131" s="8"/>
      <c r="AA131" s="8"/>
      <c r="AB131" s="8"/>
      <c r="AC131" s="8"/>
      <c r="AD131" s="8"/>
      <c r="AE131" s="9"/>
      <c r="AF131" s="8"/>
      <c r="AG131" s="8"/>
      <c r="AH131" s="72"/>
      <c r="AI131" s="13"/>
      <c r="AJ131" s="13"/>
      <c r="AK131" s="13"/>
      <c r="AL131" s="13"/>
      <c r="AM131" s="9"/>
      <c r="AN131" s="9"/>
      <c r="AO131" s="9"/>
      <c r="AP131" s="9"/>
      <c r="AQ131" s="9"/>
      <c r="AR131" s="9"/>
      <c r="AS131" s="9"/>
      <c r="AT131" s="9"/>
      <c r="AU131" s="9"/>
      <c r="AV131" s="9"/>
      <c r="AW131" s="9"/>
      <c r="AX131" s="9"/>
      <c r="AY131" s="9"/>
      <c r="AZ131" s="9"/>
      <c r="BA131" s="9"/>
      <c r="BB131" s="9"/>
    </row>
    <row r="132" spans="1:54" x14ac:dyDescent="0.4">
      <c r="A132" s="59">
        <f t="shared" si="4"/>
        <v>0</v>
      </c>
      <c r="B132" s="9"/>
      <c r="C132" s="9"/>
      <c r="D132" s="9"/>
      <c r="E132" s="10"/>
      <c r="F132" s="9"/>
      <c r="I132" s="10"/>
      <c r="J132" s="10"/>
      <c r="K132" s="10"/>
      <c r="L132" s="10"/>
      <c r="M132" s="10"/>
      <c r="N132" s="11"/>
      <c r="O132" s="11"/>
      <c r="P132" s="11"/>
      <c r="Q132" s="11"/>
      <c r="R132" s="12"/>
      <c r="S132" s="11"/>
      <c r="T132" s="11"/>
      <c r="U132" s="11"/>
      <c r="V132" s="11"/>
      <c r="W132" s="11"/>
      <c r="X132" s="11"/>
      <c r="Y132" s="12"/>
      <c r="Z132" s="8"/>
      <c r="AA132" s="8"/>
      <c r="AB132" s="8"/>
      <c r="AC132" s="8"/>
      <c r="AD132" s="8"/>
      <c r="AE132" s="9"/>
      <c r="AF132" s="8"/>
      <c r="AG132" s="8"/>
      <c r="AH132" s="72"/>
      <c r="AI132" s="13"/>
      <c r="AJ132" s="13"/>
      <c r="AK132" s="13"/>
      <c r="AL132" s="13"/>
      <c r="AM132" s="9"/>
      <c r="AN132" s="9"/>
      <c r="AO132" s="9"/>
      <c r="AP132" s="9"/>
      <c r="AQ132" s="9"/>
      <c r="AR132" s="9"/>
      <c r="AS132" s="9"/>
      <c r="AT132" s="9"/>
      <c r="AU132" s="9"/>
      <c r="AV132" s="9"/>
      <c r="AW132" s="9"/>
      <c r="AX132" s="9"/>
      <c r="AY132" s="9"/>
      <c r="AZ132" s="9"/>
      <c r="BA132" s="9"/>
      <c r="BB132" s="9"/>
    </row>
    <row r="133" spans="1:54" x14ac:dyDescent="0.4">
      <c r="A133" s="59">
        <f t="shared" si="4"/>
        <v>0</v>
      </c>
      <c r="B133" s="9"/>
      <c r="C133" s="9"/>
      <c r="D133" s="9"/>
      <c r="E133" s="10"/>
      <c r="F133" s="9"/>
      <c r="I133" s="10"/>
      <c r="J133" s="10"/>
      <c r="K133" s="10"/>
      <c r="L133" s="10"/>
      <c r="M133" s="10"/>
      <c r="N133" s="11"/>
      <c r="O133" s="11"/>
      <c r="P133" s="11"/>
      <c r="Q133" s="11"/>
      <c r="R133" s="12"/>
      <c r="S133" s="11"/>
      <c r="T133" s="11"/>
      <c r="U133" s="11"/>
      <c r="V133" s="11"/>
      <c r="W133" s="11"/>
      <c r="X133" s="11"/>
      <c r="Y133" s="12"/>
      <c r="Z133" s="8"/>
      <c r="AA133" s="8"/>
      <c r="AB133" s="8"/>
      <c r="AC133" s="8"/>
      <c r="AD133" s="8"/>
      <c r="AE133" s="9"/>
      <c r="AF133" s="8"/>
      <c r="AG133" s="8"/>
      <c r="AH133" s="72"/>
      <c r="AI133" s="13"/>
      <c r="AJ133" s="13"/>
      <c r="AK133" s="13"/>
      <c r="AL133" s="13"/>
      <c r="AM133" s="9"/>
      <c r="AN133" s="9"/>
      <c r="AO133" s="9"/>
      <c r="AP133" s="9"/>
      <c r="AQ133" s="9"/>
      <c r="AR133" s="9"/>
      <c r="AS133" s="9"/>
      <c r="AT133" s="9"/>
      <c r="AU133" s="9"/>
      <c r="AV133" s="9"/>
      <c r="AW133" s="9"/>
      <c r="AX133" s="9"/>
      <c r="AY133" s="9"/>
      <c r="AZ133" s="9"/>
      <c r="BA133" s="9"/>
      <c r="BB133" s="9"/>
    </row>
    <row r="134" spans="1:54" x14ac:dyDescent="0.4">
      <c r="A134" s="59">
        <f t="shared" si="4"/>
        <v>0</v>
      </c>
      <c r="B134" s="9"/>
      <c r="C134" s="9"/>
      <c r="D134" s="9"/>
      <c r="E134" s="10"/>
      <c r="F134" s="9"/>
      <c r="I134" s="10"/>
      <c r="J134" s="10"/>
      <c r="K134" s="10"/>
      <c r="L134" s="10"/>
      <c r="M134" s="10"/>
      <c r="N134" s="11"/>
      <c r="O134" s="11"/>
      <c r="P134" s="11"/>
      <c r="Q134" s="11"/>
      <c r="R134" s="12"/>
      <c r="S134" s="11"/>
      <c r="T134" s="11"/>
      <c r="U134" s="11"/>
      <c r="V134" s="11"/>
      <c r="W134" s="11"/>
      <c r="X134" s="11"/>
      <c r="Y134" s="12"/>
      <c r="Z134" s="8"/>
      <c r="AA134" s="8"/>
      <c r="AB134" s="8"/>
      <c r="AC134" s="8"/>
      <c r="AD134" s="8"/>
      <c r="AE134" s="9"/>
      <c r="AF134" s="8"/>
      <c r="AG134" s="8"/>
      <c r="AH134" s="72"/>
      <c r="AI134" s="13"/>
      <c r="AJ134" s="13"/>
      <c r="AK134" s="13"/>
      <c r="AL134" s="13"/>
      <c r="AM134" s="9"/>
      <c r="AN134" s="9"/>
      <c r="AO134" s="9"/>
      <c r="AP134" s="9"/>
      <c r="AQ134" s="9"/>
      <c r="AR134" s="9"/>
      <c r="AS134" s="9"/>
      <c r="AT134" s="9"/>
      <c r="AU134" s="9"/>
      <c r="AV134" s="9"/>
      <c r="AW134" s="9"/>
      <c r="AX134" s="9"/>
      <c r="AY134" s="9"/>
      <c r="AZ134" s="9"/>
      <c r="BA134" s="9"/>
      <c r="BB134" s="9"/>
    </row>
    <row r="135" spans="1:54" x14ac:dyDescent="0.4">
      <c r="A135" s="59">
        <f t="shared" si="4"/>
        <v>0</v>
      </c>
      <c r="B135" s="9"/>
      <c r="C135" s="9"/>
      <c r="D135" s="9"/>
      <c r="E135" s="10"/>
      <c r="F135" s="9"/>
      <c r="I135" s="10"/>
      <c r="J135" s="10"/>
      <c r="K135" s="10"/>
      <c r="L135" s="10"/>
      <c r="M135" s="10"/>
      <c r="N135" s="11"/>
      <c r="O135" s="11"/>
      <c r="P135" s="11"/>
      <c r="Q135" s="11"/>
      <c r="R135" s="12"/>
      <c r="S135" s="11"/>
      <c r="T135" s="11"/>
      <c r="U135" s="11"/>
      <c r="V135" s="11"/>
      <c r="W135" s="11"/>
      <c r="X135" s="11"/>
      <c r="Y135" s="12"/>
      <c r="Z135" s="8"/>
      <c r="AA135" s="8"/>
      <c r="AB135" s="8"/>
      <c r="AC135" s="8"/>
      <c r="AD135" s="8"/>
      <c r="AE135" s="9"/>
      <c r="AF135" s="8"/>
      <c r="AG135" s="8"/>
      <c r="AH135" s="72"/>
      <c r="AI135" s="13"/>
      <c r="AJ135" s="13"/>
      <c r="AK135" s="13"/>
      <c r="AL135" s="13"/>
      <c r="AM135" s="9"/>
      <c r="AN135" s="9"/>
      <c r="AO135" s="9"/>
      <c r="AP135" s="9"/>
      <c r="AQ135" s="9"/>
      <c r="AR135" s="9"/>
      <c r="AS135" s="9"/>
      <c r="AT135" s="9"/>
      <c r="AU135" s="9"/>
      <c r="AV135" s="9"/>
      <c r="AW135" s="9"/>
      <c r="AX135" s="9"/>
      <c r="AY135" s="9"/>
      <c r="AZ135" s="9"/>
      <c r="BA135" s="9"/>
      <c r="BB135" s="9"/>
    </row>
    <row r="136" spans="1:54" x14ac:dyDescent="0.4">
      <c r="A136" s="59">
        <f t="shared" si="4"/>
        <v>0</v>
      </c>
      <c r="B136" s="9"/>
      <c r="C136" s="9"/>
      <c r="D136" s="9"/>
      <c r="E136" s="10"/>
      <c r="F136" s="9"/>
      <c r="I136" s="10"/>
      <c r="J136" s="10"/>
      <c r="K136" s="10"/>
      <c r="L136" s="10"/>
      <c r="M136" s="10"/>
      <c r="N136" s="11"/>
      <c r="O136" s="11"/>
      <c r="P136" s="11"/>
      <c r="Q136" s="11"/>
      <c r="R136" s="12"/>
      <c r="S136" s="11"/>
      <c r="T136" s="11"/>
      <c r="U136" s="11"/>
      <c r="V136" s="11"/>
      <c r="W136" s="11"/>
      <c r="X136" s="11"/>
      <c r="Y136" s="12"/>
      <c r="Z136" s="8"/>
      <c r="AA136" s="8"/>
      <c r="AB136" s="8"/>
      <c r="AC136" s="8"/>
      <c r="AD136" s="8"/>
      <c r="AE136" s="9"/>
      <c r="AF136" s="8"/>
      <c r="AG136" s="8"/>
      <c r="AH136" s="72"/>
      <c r="AI136" s="13"/>
      <c r="AJ136" s="13"/>
      <c r="AK136" s="13"/>
      <c r="AL136" s="13"/>
      <c r="AM136" s="9"/>
      <c r="AN136" s="9"/>
      <c r="AO136" s="9"/>
      <c r="AP136" s="9"/>
      <c r="AQ136" s="9"/>
      <c r="AR136" s="9"/>
      <c r="AS136" s="9"/>
      <c r="AT136" s="9"/>
      <c r="AU136" s="9"/>
      <c r="AV136" s="9"/>
      <c r="AW136" s="9"/>
      <c r="AX136" s="9"/>
      <c r="AY136" s="9"/>
      <c r="AZ136" s="9"/>
      <c r="BA136" s="9"/>
      <c r="BB136" s="9"/>
    </row>
    <row r="137" spans="1:54" x14ac:dyDescent="0.4">
      <c r="A137" s="59">
        <f t="shared" si="4"/>
        <v>0</v>
      </c>
      <c r="B137" s="9"/>
      <c r="C137" s="9"/>
      <c r="D137" s="9"/>
      <c r="E137" s="10"/>
      <c r="F137" s="9"/>
      <c r="I137" s="10"/>
      <c r="J137" s="10"/>
      <c r="K137" s="10"/>
      <c r="L137" s="10"/>
      <c r="M137" s="10"/>
      <c r="N137" s="11"/>
      <c r="O137" s="11"/>
      <c r="P137" s="11"/>
      <c r="Q137" s="11"/>
      <c r="R137" s="12"/>
      <c r="S137" s="11"/>
      <c r="T137" s="11"/>
      <c r="U137" s="11"/>
      <c r="V137" s="11"/>
      <c r="W137" s="11"/>
      <c r="X137" s="11"/>
      <c r="Y137" s="12"/>
      <c r="Z137" s="8"/>
      <c r="AA137" s="8"/>
      <c r="AB137" s="8"/>
      <c r="AC137" s="8"/>
      <c r="AD137" s="8"/>
      <c r="AE137" s="9"/>
      <c r="AF137" s="8"/>
      <c r="AG137" s="8"/>
      <c r="AH137" s="72"/>
      <c r="AI137" s="13"/>
      <c r="AJ137" s="13"/>
      <c r="AK137" s="13"/>
      <c r="AL137" s="13"/>
      <c r="AM137" s="9"/>
      <c r="AN137" s="9"/>
      <c r="AO137" s="9"/>
      <c r="AP137" s="9"/>
      <c r="AQ137" s="9"/>
      <c r="AR137" s="9"/>
      <c r="AS137" s="9"/>
      <c r="AT137" s="9"/>
      <c r="AU137" s="9"/>
      <c r="AV137" s="9"/>
      <c r="AW137" s="9"/>
      <c r="AX137" s="9"/>
      <c r="AY137" s="9"/>
      <c r="AZ137" s="9"/>
      <c r="BA137" s="9"/>
      <c r="BB137" s="9"/>
    </row>
    <row r="138" spans="1:54" x14ac:dyDescent="0.4">
      <c r="A138" s="59">
        <f t="shared" si="4"/>
        <v>0</v>
      </c>
      <c r="B138" s="9"/>
      <c r="C138" s="9"/>
      <c r="D138" s="9"/>
      <c r="E138" s="10"/>
      <c r="F138" s="9"/>
      <c r="I138" s="10"/>
      <c r="J138" s="10"/>
      <c r="K138" s="10"/>
      <c r="L138" s="10"/>
      <c r="M138" s="10"/>
      <c r="N138" s="11"/>
      <c r="O138" s="11"/>
      <c r="P138" s="11"/>
      <c r="Q138" s="11"/>
      <c r="R138" s="12"/>
      <c r="S138" s="11"/>
      <c r="T138" s="11"/>
      <c r="U138" s="11"/>
      <c r="V138" s="11"/>
      <c r="W138" s="11"/>
      <c r="X138" s="11"/>
      <c r="Y138" s="12"/>
      <c r="Z138" s="8"/>
      <c r="AA138" s="8"/>
      <c r="AB138" s="8"/>
      <c r="AC138" s="8"/>
      <c r="AD138" s="8"/>
      <c r="AE138" s="9"/>
      <c r="AF138" s="8"/>
      <c r="AG138" s="8"/>
      <c r="AH138" s="72"/>
      <c r="AI138" s="13"/>
      <c r="AJ138" s="13"/>
      <c r="AK138" s="13"/>
      <c r="AL138" s="13"/>
      <c r="AM138" s="9"/>
      <c r="AN138" s="9"/>
      <c r="AO138" s="9"/>
      <c r="AP138" s="9"/>
      <c r="AQ138" s="9"/>
      <c r="AR138" s="9"/>
      <c r="AS138" s="9"/>
      <c r="AT138" s="9"/>
      <c r="AU138" s="9"/>
      <c r="AV138" s="9"/>
      <c r="AW138" s="9"/>
      <c r="AX138" s="9"/>
      <c r="AY138" s="9"/>
      <c r="AZ138" s="9"/>
      <c r="BA138" s="9"/>
      <c r="BB138" s="9"/>
    </row>
    <row r="139" spans="1:54" x14ac:dyDescent="0.4">
      <c r="A139" s="59">
        <f t="shared" si="4"/>
        <v>0</v>
      </c>
      <c r="B139" s="9"/>
      <c r="C139" s="9"/>
      <c r="D139" s="9"/>
      <c r="E139" s="10"/>
      <c r="F139" s="9"/>
      <c r="I139" s="10"/>
      <c r="J139" s="10"/>
      <c r="K139" s="10"/>
      <c r="L139" s="10"/>
      <c r="M139" s="10"/>
      <c r="N139" s="11"/>
      <c r="O139" s="11"/>
      <c r="P139" s="11"/>
      <c r="Q139" s="11"/>
      <c r="R139" s="12"/>
      <c r="S139" s="11"/>
      <c r="T139" s="11"/>
      <c r="U139" s="11"/>
      <c r="V139" s="11"/>
      <c r="W139" s="11"/>
      <c r="X139" s="11"/>
      <c r="Y139" s="12"/>
      <c r="Z139" s="8"/>
      <c r="AA139" s="8"/>
      <c r="AB139" s="8"/>
      <c r="AC139" s="8"/>
      <c r="AD139" s="8"/>
      <c r="AE139" s="9"/>
      <c r="AF139" s="8"/>
      <c r="AG139" s="8"/>
      <c r="AH139" s="72"/>
      <c r="AI139" s="13"/>
      <c r="AJ139" s="13"/>
      <c r="AK139" s="13"/>
      <c r="AL139" s="13"/>
      <c r="AM139" s="9"/>
      <c r="AN139" s="9"/>
      <c r="AO139" s="9"/>
      <c r="AP139" s="9"/>
      <c r="AQ139" s="9"/>
      <c r="AR139" s="9"/>
      <c r="AS139" s="9"/>
      <c r="AT139" s="9"/>
      <c r="AU139" s="9"/>
      <c r="AV139" s="9"/>
      <c r="AW139" s="9"/>
      <c r="AX139" s="9"/>
      <c r="AY139" s="9"/>
      <c r="AZ139" s="9"/>
      <c r="BA139" s="9"/>
      <c r="BB139" s="9"/>
    </row>
    <row r="140" spans="1:54" x14ac:dyDescent="0.4">
      <c r="A140" s="59">
        <f t="shared" si="4"/>
        <v>0</v>
      </c>
      <c r="B140" s="9"/>
      <c r="C140" s="9"/>
      <c r="D140" s="9"/>
      <c r="E140" s="10"/>
      <c r="F140" s="9"/>
      <c r="I140" s="10"/>
      <c r="J140" s="10"/>
      <c r="K140" s="10"/>
      <c r="L140" s="10"/>
      <c r="M140" s="10"/>
      <c r="N140" s="11"/>
      <c r="O140" s="11"/>
      <c r="P140" s="11"/>
      <c r="Q140" s="11"/>
      <c r="R140" s="12"/>
      <c r="S140" s="11"/>
      <c r="T140" s="11"/>
      <c r="U140" s="11"/>
      <c r="V140" s="11"/>
      <c r="W140" s="11"/>
      <c r="X140" s="11"/>
      <c r="Y140" s="12"/>
      <c r="Z140" s="8"/>
      <c r="AA140" s="8"/>
      <c r="AB140" s="8"/>
      <c r="AC140" s="8"/>
      <c r="AD140" s="8"/>
      <c r="AE140" s="9"/>
      <c r="AF140" s="8"/>
      <c r="AG140" s="8"/>
      <c r="AH140" s="72"/>
      <c r="AI140" s="13"/>
      <c r="AJ140" s="13"/>
      <c r="AK140" s="13"/>
      <c r="AL140" s="13"/>
      <c r="AM140" s="9"/>
      <c r="AN140" s="9"/>
      <c r="AO140" s="9"/>
      <c r="AP140" s="9"/>
      <c r="AQ140" s="9"/>
      <c r="AR140" s="9"/>
      <c r="AS140" s="9"/>
      <c r="AT140" s="9"/>
      <c r="AU140" s="9"/>
      <c r="AV140" s="9"/>
      <c r="AW140" s="9"/>
      <c r="AX140" s="9"/>
      <c r="AY140" s="9"/>
      <c r="AZ140" s="9"/>
      <c r="BA140" s="9"/>
      <c r="BB140" s="9"/>
    </row>
    <row r="141" spans="1:54" x14ac:dyDescent="0.4">
      <c r="A141" s="59">
        <f t="shared" si="4"/>
        <v>0</v>
      </c>
      <c r="B141" s="9"/>
      <c r="C141" s="9"/>
      <c r="D141" s="9"/>
      <c r="E141" s="10"/>
      <c r="F141" s="9"/>
      <c r="I141" s="10"/>
      <c r="J141" s="10"/>
      <c r="K141" s="10"/>
      <c r="L141" s="10"/>
      <c r="M141" s="10"/>
      <c r="N141" s="11"/>
      <c r="O141" s="11"/>
      <c r="P141" s="11"/>
      <c r="Q141" s="11"/>
      <c r="R141" s="12"/>
      <c r="S141" s="11"/>
      <c r="T141" s="11"/>
      <c r="U141" s="11"/>
      <c r="V141" s="11"/>
      <c r="W141" s="11"/>
      <c r="X141" s="11"/>
      <c r="Y141" s="12"/>
      <c r="Z141" s="8"/>
      <c r="AA141" s="8"/>
      <c r="AB141" s="8"/>
      <c r="AC141" s="8"/>
      <c r="AD141" s="8"/>
      <c r="AE141" s="9"/>
      <c r="AF141" s="8"/>
      <c r="AG141" s="8"/>
      <c r="AH141" s="72"/>
      <c r="AI141" s="13"/>
      <c r="AJ141" s="13"/>
      <c r="AK141" s="13"/>
      <c r="AL141" s="13"/>
      <c r="AM141" s="9"/>
      <c r="AN141" s="9"/>
      <c r="AO141" s="9"/>
      <c r="AP141" s="9"/>
      <c r="AQ141" s="9"/>
      <c r="AR141" s="9"/>
      <c r="AS141" s="9"/>
      <c r="AT141" s="9"/>
      <c r="AU141" s="9"/>
      <c r="AV141" s="9"/>
      <c r="AW141" s="9"/>
      <c r="AX141" s="9"/>
      <c r="AY141" s="9"/>
      <c r="AZ141" s="9"/>
      <c r="BA141" s="9"/>
      <c r="BB141" s="9"/>
    </row>
    <row r="142" spans="1:54" x14ac:dyDescent="0.4">
      <c r="A142" s="59">
        <f t="shared" si="4"/>
        <v>0</v>
      </c>
      <c r="B142" s="9"/>
      <c r="C142" s="9"/>
      <c r="D142" s="9"/>
      <c r="E142" s="10"/>
      <c r="F142" s="9"/>
      <c r="I142" s="10"/>
      <c r="J142" s="10"/>
      <c r="K142" s="10"/>
      <c r="L142" s="10"/>
      <c r="M142" s="10"/>
      <c r="N142" s="11"/>
      <c r="O142" s="11"/>
      <c r="P142" s="11"/>
      <c r="Q142" s="11"/>
      <c r="R142" s="12"/>
      <c r="S142" s="11"/>
      <c r="T142" s="11"/>
      <c r="U142" s="11"/>
      <c r="V142" s="11"/>
      <c r="W142" s="11"/>
      <c r="X142" s="11"/>
      <c r="Y142" s="12"/>
      <c r="Z142" s="8"/>
      <c r="AA142" s="8"/>
      <c r="AB142" s="8"/>
      <c r="AC142" s="8"/>
      <c r="AD142" s="8"/>
      <c r="AE142" s="9"/>
      <c r="AF142" s="8"/>
      <c r="AG142" s="8"/>
      <c r="AH142" s="72"/>
      <c r="AI142" s="13"/>
      <c r="AJ142" s="13"/>
      <c r="AK142" s="13"/>
      <c r="AL142" s="13"/>
      <c r="AM142" s="9"/>
      <c r="AN142" s="9"/>
      <c r="AO142" s="9"/>
      <c r="AP142" s="9"/>
      <c r="AQ142" s="9"/>
      <c r="AR142" s="9"/>
      <c r="AS142" s="9"/>
      <c r="AT142" s="9"/>
      <c r="AU142" s="9"/>
      <c r="AV142" s="9"/>
      <c r="AW142" s="9"/>
      <c r="AX142" s="9"/>
      <c r="AY142" s="9"/>
      <c r="AZ142" s="9"/>
      <c r="BA142" s="9"/>
      <c r="BB142" s="9"/>
    </row>
    <row r="143" spans="1:54" x14ac:dyDescent="0.4">
      <c r="A143" s="59">
        <f t="shared" si="4"/>
        <v>0</v>
      </c>
      <c r="B143" s="9"/>
      <c r="C143" s="9"/>
      <c r="D143" s="9"/>
      <c r="E143" s="10"/>
      <c r="F143" s="9"/>
      <c r="I143" s="10"/>
      <c r="J143" s="10"/>
      <c r="K143" s="10"/>
      <c r="L143" s="10"/>
      <c r="M143" s="10"/>
      <c r="N143" s="11"/>
      <c r="O143" s="11"/>
      <c r="P143" s="11"/>
      <c r="Q143" s="11"/>
      <c r="R143" s="12"/>
      <c r="S143" s="11"/>
      <c r="T143" s="11"/>
      <c r="U143" s="11"/>
      <c r="V143" s="11"/>
      <c r="W143" s="11"/>
      <c r="X143" s="11"/>
      <c r="Y143" s="12"/>
      <c r="Z143" s="8"/>
      <c r="AA143" s="8"/>
      <c r="AB143" s="8"/>
      <c r="AC143" s="8"/>
      <c r="AD143" s="8"/>
      <c r="AE143" s="9"/>
      <c r="AF143" s="8"/>
      <c r="AG143" s="8"/>
      <c r="AH143" s="72"/>
      <c r="AI143" s="13"/>
      <c r="AJ143" s="13"/>
      <c r="AK143" s="13"/>
      <c r="AL143" s="13"/>
      <c r="AM143" s="9"/>
      <c r="AN143" s="9"/>
      <c r="AO143" s="9"/>
      <c r="AP143" s="9"/>
      <c r="AQ143" s="9"/>
      <c r="AR143" s="9"/>
      <c r="AS143" s="9"/>
      <c r="AT143" s="9"/>
      <c r="AU143" s="9"/>
      <c r="AV143" s="9"/>
      <c r="AW143" s="9"/>
      <c r="AX143" s="9"/>
      <c r="AY143" s="9"/>
      <c r="AZ143" s="9"/>
      <c r="BA143" s="9"/>
      <c r="BB143" s="9"/>
    </row>
    <row r="144" spans="1:54" x14ac:dyDescent="0.4">
      <c r="A144" s="59">
        <f t="shared" si="4"/>
        <v>0</v>
      </c>
      <c r="B144" s="9"/>
      <c r="C144" s="9"/>
      <c r="D144" s="9"/>
      <c r="E144" s="10"/>
      <c r="F144" s="9"/>
      <c r="I144" s="10"/>
      <c r="J144" s="10"/>
      <c r="K144" s="10"/>
      <c r="L144" s="10"/>
      <c r="M144" s="10"/>
      <c r="N144" s="11"/>
      <c r="O144" s="11"/>
      <c r="P144" s="11"/>
      <c r="Q144" s="11"/>
      <c r="R144" s="12"/>
      <c r="S144" s="11"/>
      <c r="T144" s="11"/>
      <c r="U144" s="11"/>
      <c r="V144" s="11"/>
      <c r="W144" s="11"/>
      <c r="X144" s="11"/>
      <c r="Y144" s="12"/>
      <c r="Z144" s="8"/>
      <c r="AA144" s="8"/>
      <c r="AB144" s="8"/>
      <c r="AC144" s="8"/>
      <c r="AD144" s="8"/>
      <c r="AE144" s="9"/>
      <c r="AF144" s="8"/>
      <c r="AG144" s="8"/>
      <c r="AH144" s="72"/>
      <c r="AI144" s="13"/>
      <c r="AJ144" s="13"/>
      <c r="AK144" s="13"/>
      <c r="AL144" s="13"/>
      <c r="AM144" s="9"/>
      <c r="AN144" s="9"/>
      <c r="AO144" s="9"/>
      <c r="AP144" s="9"/>
      <c r="AQ144" s="9"/>
      <c r="AR144" s="9"/>
      <c r="AS144" s="9"/>
      <c r="AT144" s="9"/>
      <c r="AU144" s="9"/>
      <c r="AV144" s="9"/>
      <c r="AW144" s="9"/>
      <c r="AX144" s="9"/>
      <c r="AY144" s="9"/>
      <c r="AZ144" s="9"/>
      <c r="BA144" s="9"/>
      <c r="BB144" s="9"/>
    </row>
    <row r="145" spans="1:54" x14ac:dyDescent="0.4">
      <c r="A145" s="59">
        <f t="shared" si="4"/>
        <v>0</v>
      </c>
      <c r="B145" s="9"/>
      <c r="C145" s="9"/>
      <c r="D145" s="9"/>
      <c r="E145" s="10"/>
      <c r="F145" s="9"/>
      <c r="I145" s="10"/>
      <c r="J145" s="10"/>
      <c r="K145" s="10"/>
      <c r="L145" s="10"/>
      <c r="M145" s="10"/>
      <c r="N145" s="11"/>
      <c r="O145" s="11"/>
      <c r="P145" s="11"/>
      <c r="Q145" s="11"/>
      <c r="R145" s="12"/>
      <c r="S145" s="11"/>
      <c r="T145" s="11"/>
      <c r="U145" s="11"/>
      <c r="V145" s="11"/>
      <c r="W145" s="11"/>
      <c r="X145" s="11"/>
      <c r="Y145" s="12"/>
      <c r="Z145" s="8"/>
      <c r="AA145" s="8"/>
      <c r="AB145" s="8"/>
      <c r="AC145" s="8"/>
      <c r="AD145" s="8"/>
      <c r="AE145" s="9"/>
      <c r="AF145" s="8"/>
      <c r="AG145" s="8"/>
      <c r="AH145" s="72"/>
      <c r="AI145" s="13"/>
      <c r="AJ145" s="13"/>
      <c r="AK145" s="13"/>
      <c r="AL145" s="13"/>
      <c r="AM145" s="9"/>
      <c r="AN145" s="9"/>
      <c r="AO145" s="9"/>
      <c r="AP145" s="9"/>
      <c r="AQ145" s="9"/>
      <c r="AR145" s="9"/>
      <c r="AS145" s="9"/>
      <c r="AT145" s="9"/>
      <c r="AU145" s="9"/>
      <c r="AV145" s="9"/>
      <c r="AW145" s="9"/>
      <c r="AX145" s="9"/>
      <c r="AY145" s="9"/>
      <c r="AZ145" s="9"/>
      <c r="BA145" s="9"/>
      <c r="BB145" s="9"/>
    </row>
    <row r="146" spans="1:54" x14ac:dyDescent="0.4">
      <c r="A146" s="59">
        <f t="shared" si="4"/>
        <v>0</v>
      </c>
      <c r="B146" s="9"/>
      <c r="C146" s="9"/>
      <c r="D146" s="9"/>
      <c r="E146" s="10"/>
      <c r="F146" s="9"/>
      <c r="I146" s="10"/>
      <c r="J146" s="10"/>
      <c r="K146" s="10"/>
      <c r="L146" s="10"/>
      <c r="M146" s="10"/>
      <c r="N146" s="11"/>
      <c r="O146" s="11"/>
      <c r="P146" s="11"/>
      <c r="Q146" s="11"/>
      <c r="R146" s="12"/>
      <c r="S146" s="11"/>
      <c r="T146" s="11"/>
      <c r="U146" s="11"/>
      <c r="V146" s="11"/>
      <c r="W146" s="11"/>
      <c r="X146" s="11"/>
      <c r="Y146" s="12"/>
      <c r="Z146" s="8"/>
      <c r="AA146" s="8"/>
      <c r="AB146" s="8"/>
      <c r="AC146" s="8"/>
      <c r="AD146" s="8"/>
      <c r="AE146" s="9"/>
      <c r="AF146" s="8"/>
      <c r="AG146" s="8"/>
      <c r="AH146" s="72"/>
      <c r="AI146" s="13"/>
      <c r="AJ146" s="13"/>
      <c r="AK146" s="13"/>
      <c r="AL146" s="13"/>
      <c r="AM146" s="9"/>
      <c r="AN146" s="9"/>
      <c r="AO146" s="9"/>
      <c r="AP146" s="9"/>
      <c r="AQ146" s="9"/>
      <c r="AR146" s="9"/>
      <c r="AS146" s="9"/>
      <c r="AT146" s="9"/>
      <c r="AU146" s="9"/>
      <c r="AV146" s="9"/>
      <c r="AW146" s="9"/>
      <c r="AX146" s="9"/>
      <c r="AY146" s="9"/>
      <c r="AZ146" s="9"/>
      <c r="BA146" s="9"/>
      <c r="BB146" s="9"/>
    </row>
    <row r="147" spans="1:54" x14ac:dyDescent="0.4">
      <c r="A147" s="59">
        <f t="shared" si="4"/>
        <v>0</v>
      </c>
      <c r="B147" s="9"/>
      <c r="C147" s="9"/>
      <c r="D147" s="9"/>
      <c r="E147" s="10"/>
      <c r="F147" s="9"/>
      <c r="I147" s="10"/>
      <c r="J147" s="10"/>
      <c r="K147" s="10"/>
      <c r="L147" s="10"/>
      <c r="M147" s="10"/>
      <c r="N147" s="11"/>
      <c r="O147" s="11"/>
      <c r="P147" s="11"/>
      <c r="Q147" s="11"/>
      <c r="R147" s="12"/>
      <c r="S147" s="11"/>
      <c r="T147" s="11"/>
      <c r="U147" s="11"/>
      <c r="V147" s="11"/>
      <c r="W147" s="11"/>
      <c r="X147" s="11"/>
      <c r="Y147" s="12"/>
      <c r="Z147" s="8"/>
      <c r="AA147" s="8"/>
      <c r="AB147" s="8"/>
      <c r="AC147" s="8"/>
      <c r="AD147" s="8"/>
      <c r="AE147" s="9"/>
      <c r="AF147" s="8"/>
      <c r="AG147" s="8"/>
      <c r="AH147" s="72"/>
      <c r="AI147" s="13"/>
      <c r="AJ147" s="13"/>
      <c r="AK147" s="13"/>
      <c r="AL147" s="13"/>
      <c r="AM147" s="9"/>
      <c r="AN147" s="9"/>
      <c r="AO147" s="9"/>
      <c r="AP147" s="9"/>
      <c r="AQ147" s="9"/>
      <c r="AR147" s="9"/>
      <c r="AS147" s="9"/>
      <c r="AT147" s="9"/>
      <c r="AU147" s="9"/>
      <c r="AV147" s="9"/>
      <c r="AW147" s="9"/>
      <c r="AX147" s="9"/>
      <c r="AY147" s="9"/>
      <c r="AZ147" s="9"/>
      <c r="BA147" s="9"/>
      <c r="BB147" s="9"/>
    </row>
    <row r="148" spans="1:54" x14ac:dyDescent="0.4">
      <c r="A148" s="59">
        <f t="shared" si="4"/>
        <v>0</v>
      </c>
      <c r="B148" s="9"/>
      <c r="C148" s="9"/>
      <c r="D148" s="9"/>
      <c r="E148" s="10"/>
      <c r="F148" s="9"/>
      <c r="I148" s="10"/>
      <c r="J148" s="10"/>
      <c r="K148" s="10"/>
      <c r="L148" s="10"/>
      <c r="M148" s="10"/>
      <c r="N148" s="11"/>
      <c r="O148" s="11"/>
      <c r="P148" s="11"/>
      <c r="Q148" s="11"/>
      <c r="R148" s="12"/>
      <c r="S148" s="11"/>
      <c r="T148" s="11"/>
      <c r="U148" s="11"/>
      <c r="V148" s="11"/>
      <c r="W148" s="11"/>
      <c r="X148" s="11"/>
      <c r="Y148" s="12"/>
      <c r="Z148" s="8"/>
      <c r="AA148" s="8"/>
      <c r="AB148" s="8"/>
      <c r="AC148" s="8"/>
      <c r="AD148" s="8"/>
      <c r="AE148" s="9"/>
      <c r="AF148" s="8"/>
      <c r="AG148" s="8"/>
      <c r="AH148" s="72"/>
      <c r="AI148" s="13"/>
      <c r="AJ148" s="13"/>
      <c r="AK148" s="13"/>
      <c r="AL148" s="13"/>
      <c r="AM148" s="9"/>
      <c r="AN148" s="9"/>
      <c r="AO148" s="9"/>
      <c r="AP148" s="9"/>
      <c r="AQ148" s="9"/>
      <c r="AR148" s="9"/>
      <c r="AS148" s="9"/>
      <c r="AT148" s="9"/>
      <c r="AU148" s="9"/>
      <c r="AV148" s="9"/>
      <c r="AW148" s="9"/>
      <c r="AX148" s="9"/>
      <c r="AY148" s="9"/>
      <c r="AZ148" s="9"/>
      <c r="BA148" s="9"/>
      <c r="BB148" s="9"/>
    </row>
    <row r="149" spans="1:54" x14ac:dyDescent="0.4">
      <c r="A149" s="59">
        <f t="shared" si="4"/>
        <v>0</v>
      </c>
      <c r="B149" s="9"/>
      <c r="C149" s="9"/>
      <c r="D149" s="9"/>
      <c r="E149" s="10"/>
      <c r="F149" s="9"/>
      <c r="I149" s="10"/>
      <c r="J149" s="10"/>
      <c r="K149" s="10"/>
      <c r="L149" s="10"/>
      <c r="M149" s="10"/>
      <c r="N149" s="11"/>
      <c r="O149" s="11"/>
      <c r="P149" s="11"/>
      <c r="Q149" s="11"/>
      <c r="R149" s="12"/>
      <c r="S149" s="11"/>
      <c r="T149" s="11"/>
      <c r="U149" s="11"/>
      <c r="V149" s="11"/>
      <c r="W149" s="11"/>
      <c r="X149" s="11"/>
      <c r="Y149" s="12"/>
      <c r="Z149" s="8"/>
      <c r="AA149" s="8"/>
      <c r="AB149" s="8"/>
      <c r="AC149" s="8"/>
      <c r="AD149" s="8"/>
      <c r="AE149" s="9"/>
      <c r="AF149" s="8"/>
      <c r="AG149" s="8"/>
      <c r="AH149" s="72"/>
      <c r="AI149" s="13"/>
      <c r="AJ149" s="13"/>
      <c r="AK149" s="13"/>
      <c r="AL149" s="13"/>
      <c r="AM149" s="9"/>
      <c r="AN149" s="9"/>
      <c r="AO149" s="9"/>
      <c r="AP149" s="9"/>
      <c r="AQ149" s="9"/>
      <c r="AR149" s="9"/>
      <c r="AS149" s="9"/>
      <c r="AT149" s="9"/>
      <c r="AU149" s="9"/>
      <c r="AV149" s="9"/>
      <c r="AW149" s="9"/>
      <c r="AX149" s="9"/>
      <c r="AY149" s="9"/>
      <c r="AZ149" s="9"/>
      <c r="BA149" s="9"/>
      <c r="BB149" s="9"/>
    </row>
    <row r="150" spans="1:54" x14ac:dyDescent="0.4">
      <c r="A150" s="59">
        <f t="shared" si="4"/>
        <v>0</v>
      </c>
      <c r="B150" s="9"/>
      <c r="C150" s="9"/>
      <c r="D150" s="9"/>
      <c r="E150" s="10"/>
      <c r="F150" s="9"/>
      <c r="I150" s="10"/>
      <c r="J150" s="10"/>
      <c r="K150" s="10"/>
      <c r="L150" s="10"/>
      <c r="M150" s="10"/>
      <c r="N150" s="11"/>
      <c r="O150" s="11"/>
      <c r="P150" s="11"/>
      <c r="Q150" s="11"/>
      <c r="R150" s="12"/>
      <c r="S150" s="11"/>
      <c r="T150" s="11"/>
      <c r="U150" s="11"/>
      <c r="V150" s="11"/>
      <c r="W150" s="11"/>
      <c r="X150" s="11"/>
      <c r="Y150" s="12"/>
      <c r="Z150" s="8"/>
      <c r="AA150" s="8"/>
      <c r="AB150" s="8"/>
      <c r="AC150" s="8"/>
      <c r="AD150" s="8"/>
      <c r="AE150" s="9"/>
      <c r="AF150" s="8"/>
      <c r="AG150" s="8"/>
      <c r="AH150" s="72"/>
      <c r="AI150" s="13"/>
      <c r="AJ150" s="13"/>
      <c r="AK150" s="13"/>
      <c r="AL150" s="13"/>
      <c r="AM150" s="9"/>
      <c r="AN150" s="9"/>
      <c r="AO150" s="9"/>
      <c r="AP150" s="9"/>
      <c r="AQ150" s="9"/>
      <c r="AR150" s="9"/>
      <c r="AS150" s="9"/>
      <c r="AT150" s="9"/>
      <c r="AU150" s="9"/>
      <c r="AV150" s="9"/>
      <c r="AW150" s="9"/>
      <c r="AX150" s="9"/>
      <c r="AY150" s="9"/>
      <c r="AZ150" s="9"/>
      <c r="BA150" s="9"/>
      <c r="BB150" s="9"/>
    </row>
    <row r="151" spans="1:54" x14ac:dyDescent="0.4">
      <c r="A151" s="59">
        <f t="shared" si="4"/>
        <v>0</v>
      </c>
      <c r="B151" s="9"/>
      <c r="C151" s="9"/>
      <c r="D151" s="9"/>
      <c r="E151" s="10"/>
      <c r="F151" s="9"/>
      <c r="I151" s="10"/>
      <c r="J151" s="10"/>
      <c r="K151" s="10"/>
      <c r="L151" s="10"/>
      <c r="M151" s="10"/>
      <c r="N151" s="11"/>
      <c r="O151" s="11"/>
      <c r="P151" s="11"/>
      <c r="Q151" s="11"/>
      <c r="R151" s="12"/>
      <c r="S151" s="11"/>
      <c r="T151" s="11"/>
      <c r="U151" s="11"/>
      <c r="V151" s="11"/>
      <c r="W151" s="11"/>
      <c r="X151" s="11"/>
      <c r="Y151" s="12"/>
      <c r="Z151" s="8"/>
      <c r="AA151" s="8"/>
      <c r="AB151" s="8"/>
      <c r="AC151" s="8"/>
      <c r="AD151" s="8"/>
      <c r="AE151" s="9"/>
      <c r="AF151" s="8"/>
      <c r="AG151" s="8"/>
      <c r="AH151" s="72"/>
      <c r="AI151" s="13"/>
      <c r="AJ151" s="13"/>
      <c r="AK151" s="13"/>
      <c r="AL151" s="13"/>
      <c r="AM151" s="9"/>
      <c r="AN151" s="9"/>
      <c r="AO151" s="9"/>
      <c r="AP151" s="9"/>
      <c r="AQ151" s="9"/>
      <c r="AR151" s="9"/>
      <c r="AS151" s="9"/>
      <c r="AT151" s="9"/>
      <c r="AU151" s="9"/>
      <c r="AV151" s="9"/>
      <c r="AW151" s="9"/>
      <c r="AX151" s="9"/>
      <c r="AY151" s="9"/>
      <c r="AZ151" s="9"/>
      <c r="BA151" s="9"/>
      <c r="BB151" s="9"/>
    </row>
    <row r="152" spans="1:54" x14ac:dyDescent="0.4">
      <c r="A152" s="59">
        <f t="shared" si="4"/>
        <v>0</v>
      </c>
      <c r="B152" s="9"/>
      <c r="C152" s="9"/>
      <c r="D152" s="9"/>
      <c r="E152" s="10"/>
      <c r="F152" s="9"/>
      <c r="I152" s="10"/>
      <c r="J152" s="10"/>
      <c r="K152" s="10"/>
      <c r="L152" s="10"/>
      <c r="M152" s="10"/>
      <c r="N152" s="11"/>
      <c r="O152" s="11"/>
      <c r="P152" s="11"/>
      <c r="Q152" s="11"/>
      <c r="R152" s="12"/>
      <c r="S152" s="11"/>
      <c r="T152" s="11"/>
      <c r="U152" s="11"/>
      <c r="V152" s="11"/>
      <c r="W152" s="11"/>
      <c r="X152" s="11"/>
      <c r="Y152" s="12"/>
      <c r="Z152" s="8"/>
      <c r="AA152" s="8"/>
      <c r="AB152" s="8"/>
      <c r="AC152" s="8"/>
      <c r="AD152" s="8"/>
      <c r="AE152" s="9"/>
      <c r="AF152" s="8"/>
      <c r="AG152" s="8"/>
      <c r="AH152" s="72"/>
      <c r="AI152" s="13"/>
      <c r="AJ152" s="13"/>
      <c r="AK152" s="13"/>
      <c r="AL152" s="13"/>
      <c r="AM152" s="9"/>
      <c r="AN152" s="9"/>
      <c r="AO152" s="9"/>
      <c r="AP152" s="9"/>
      <c r="AQ152" s="9"/>
      <c r="AR152" s="9"/>
      <c r="AS152" s="9"/>
      <c r="AT152" s="9"/>
      <c r="AU152" s="9"/>
      <c r="AV152" s="9"/>
      <c r="AW152" s="9"/>
      <c r="AX152" s="9"/>
      <c r="AY152" s="9"/>
      <c r="AZ152" s="9"/>
      <c r="BA152" s="9"/>
      <c r="BB152" s="9"/>
    </row>
    <row r="153" spans="1:54" x14ac:dyDescent="0.4">
      <c r="A153" s="59">
        <f t="shared" si="4"/>
        <v>0</v>
      </c>
      <c r="B153" s="9"/>
      <c r="C153" s="9"/>
      <c r="D153" s="9"/>
      <c r="E153" s="10"/>
      <c r="F153" s="9"/>
      <c r="I153" s="10"/>
      <c r="J153" s="10"/>
      <c r="K153" s="10"/>
      <c r="L153" s="10"/>
      <c r="M153" s="10"/>
      <c r="N153" s="11"/>
      <c r="O153" s="11"/>
      <c r="P153" s="11"/>
      <c r="Q153" s="11"/>
      <c r="R153" s="12"/>
      <c r="S153" s="11"/>
      <c r="T153" s="11"/>
      <c r="U153" s="11"/>
      <c r="V153" s="11"/>
      <c r="W153" s="11"/>
      <c r="X153" s="11"/>
      <c r="Y153" s="12"/>
      <c r="Z153" s="8"/>
      <c r="AA153" s="8"/>
      <c r="AB153" s="8"/>
      <c r="AC153" s="8"/>
      <c r="AD153" s="8"/>
      <c r="AE153" s="9"/>
      <c r="AF153" s="8"/>
      <c r="AG153" s="8"/>
      <c r="AH153" s="72"/>
      <c r="AI153" s="13"/>
      <c r="AJ153" s="13"/>
      <c r="AK153" s="13"/>
      <c r="AL153" s="13"/>
      <c r="AM153" s="9"/>
      <c r="AN153" s="9"/>
      <c r="AO153" s="9"/>
      <c r="AP153" s="9"/>
      <c r="AQ153" s="9"/>
      <c r="AR153" s="9"/>
      <c r="AS153" s="9"/>
      <c r="AT153" s="9"/>
      <c r="AU153" s="9"/>
      <c r="AV153" s="9"/>
      <c r="AW153" s="9"/>
      <c r="AX153" s="9"/>
      <c r="AY153" s="9"/>
      <c r="AZ153" s="9"/>
      <c r="BA153" s="9"/>
      <c r="BB153" s="9"/>
    </row>
    <row r="154" spans="1:54" x14ac:dyDescent="0.4">
      <c r="A154" s="59">
        <f t="shared" si="4"/>
        <v>0</v>
      </c>
      <c r="B154" s="9"/>
      <c r="C154" s="9"/>
      <c r="D154" s="9"/>
      <c r="E154" s="10"/>
      <c r="F154" s="9"/>
      <c r="I154" s="10"/>
      <c r="J154" s="10"/>
      <c r="K154" s="10"/>
      <c r="L154" s="10"/>
      <c r="M154" s="10"/>
      <c r="N154" s="11"/>
      <c r="O154" s="11"/>
      <c r="P154" s="11"/>
      <c r="Q154" s="11"/>
      <c r="R154" s="12"/>
      <c r="S154" s="11"/>
      <c r="T154" s="11"/>
      <c r="U154" s="11"/>
      <c r="V154" s="11"/>
      <c r="W154" s="11"/>
      <c r="X154" s="11"/>
      <c r="Y154" s="12"/>
      <c r="Z154" s="8"/>
      <c r="AA154" s="8"/>
      <c r="AB154" s="8"/>
      <c r="AC154" s="8"/>
      <c r="AD154" s="8"/>
      <c r="AE154" s="9"/>
      <c r="AF154" s="8"/>
      <c r="AG154" s="8"/>
      <c r="AH154" s="72"/>
      <c r="AI154" s="13"/>
      <c r="AJ154" s="13"/>
      <c r="AK154" s="13"/>
      <c r="AL154" s="13"/>
      <c r="AM154" s="9"/>
      <c r="AN154" s="9"/>
      <c r="AO154" s="9"/>
      <c r="AP154" s="9"/>
      <c r="AQ154" s="9"/>
      <c r="AR154" s="9"/>
      <c r="AS154" s="9"/>
      <c r="AT154" s="9"/>
      <c r="AU154" s="9"/>
      <c r="AV154" s="9"/>
      <c r="AW154" s="9"/>
      <c r="AX154" s="9"/>
      <c r="AY154" s="9"/>
      <c r="AZ154" s="9"/>
      <c r="BA154" s="9"/>
      <c r="BB154" s="9"/>
    </row>
    <row r="155" spans="1:54" x14ac:dyDescent="0.4">
      <c r="A155" s="59">
        <f t="shared" si="4"/>
        <v>0</v>
      </c>
      <c r="B155" s="9"/>
      <c r="C155" s="9"/>
      <c r="D155" s="9"/>
      <c r="E155" s="10"/>
      <c r="F155" s="9"/>
      <c r="I155" s="10"/>
      <c r="J155" s="10"/>
      <c r="K155" s="10"/>
      <c r="L155" s="10"/>
      <c r="M155" s="10"/>
      <c r="N155" s="11"/>
      <c r="O155" s="11"/>
      <c r="P155" s="11"/>
      <c r="Q155" s="11"/>
      <c r="R155" s="12"/>
      <c r="S155" s="11"/>
      <c r="T155" s="11"/>
      <c r="U155" s="11"/>
      <c r="V155" s="11"/>
      <c r="W155" s="11"/>
      <c r="X155" s="11"/>
      <c r="Y155" s="12"/>
      <c r="Z155" s="8"/>
      <c r="AA155" s="8"/>
      <c r="AB155" s="8"/>
      <c r="AC155" s="8"/>
      <c r="AD155" s="8"/>
      <c r="AE155" s="9"/>
      <c r="AF155" s="8"/>
      <c r="AG155" s="8"/>
      <c r="AH155" s="72"/>
      <c r="AI155" s="13"/>
      <c r="AJ155" s="13"/>
      <c r="AK155" s="13"/>
      <c r="AL155" s="13"/>
      <c r="AM155" s="9"/>
      <c r="AN155" s="9"/>
      <c r="AO155" s="9"/>
      <c r="AP155" s="9"/>
      <c r="AQ155" s="9"/>
      <c r="AR155" s="9"/>
      <c r="AS155" s="9"/>
      <c r="AT155" s="9"/>
      <c r="AU155" s="9"/>
      <c r="AV155" s="9"/>
      <c r="AW155" s="9"/>
      <c r="AX155" s="9"/>
      <c r="AY155" s="9"/>
      <c r="AZ155" s="9"/>
      <c r="BA155" s="9"/>
      <c r="BB155" s="9"/>
    </row>
    <row r="156" spans="1:54" x14ac:dyDescent="0.4">
      <c r="A156" s="59">
        <f t="shared" ref="A156:A185" si="5">IF(B156="AMZ",D156,E156)</f>
        <v>0</v>
      </c>
      <c r="B156" s="9"/>
      <c r="C156" s="9"/>
      <c r="D156" s="9"/>
      <c r="E156" s="10"/>
      <c r="F156" s="9"/>
      <c r="I156" s="10"/>
      <c r="J156" s="10"/>
      <c r="K156" s="10"/>
      <c r="L156" s="10"/>
      <c r="M156" s="10"/>
      <c r="N156" s="11"/>
      <c r="O156" s="11"/>
      <c r="P156" s="11"/>
      <c r="Q156" s="11"/>
      <c r="R156" s="12"/>
      <c r="S156" s="11"/>
      <c r="T156" s="11"/>
      <c r="U156" s="11"/>
      <c r="V156" s="11"/>
      <c r="W156" s="11"/>
      <c r="X156" s="11"/>
      <c r="Y156" s="12"/>
      <c r="Z156" s="8"/>
      <c r="AA156" s="8"/>
      <c r="AB156" s="8"/>
      <c r="AC156" s="8"/>
      <c r="AD156" s="8"/>
      <c r="AE156" s="9"/>
      <c r="AF156" s="8"/>
      <c r="AG156" s="8"/>
      <c r="AH156" s="72"/>
      <c r="AI156" s="13"/>
      <c r="AJ156" s="13"/>
      <c r="AK156" s="13"/>
      <c r="AL156" s="13"/>
      <c r="AM156" s="9"/>
      <c r="AN156" s="9"/>
      <c r="AO156" s="9"/>
      <c r="AP156" s="9"/>
      <c r="AQ156" s="9"/>
      <c r="AR156" s="9"/>
      <c r="AS156" s="9"/>
      <c r="AT156" s="9"/>
      <c r="AU156" s="9"/>
      <c r="AV156" s="9"/>
      <c r="AW156" s="9"/>
      <c r="AX156" s="9"/>
      <c r="AY156" s="9"/>
      <c r="AZ156" s="9"/>
      <c r="BA156" s="9"/>
      <c r="BB156" s="9"/>
    </row>
    <row r="157" spans="1:54" x14ac:dyDescent="0.4">
      <c r="A157" s="59">
        <f t="shared" si="5"/>
        <v>0</v>
      </c>
      <c r="B157" s="9"/>
      <c r="C157" s="9"/>
      <c r="D157" s="9"/>
      <c r="E157" s="10"/>
      <c r="F157" s="9"/>
      <c r="I157" s="10"/>
      <c r="J157" s="10"/>
      <c r="K157" s="10"/>
      <c r="L157" s="10"/>
      <c r="M157" s="10"/>
      <c r="N157" s="11"/>
      <c r="O157" s="11"/>
      <c r="P157" s="11"/>
      <c r="Q157" s="11"/>
      <c r="R157" s="12"/>
      <c r="S157" s="11"/>
      <c r="T157" s="11"/>
      <c r="U157" s="11"/>
      <c r="V157" s="11"/>
      <c r="W157" s="11"/>
      <c r="X157" s="11"/>
      <c r="Y157" s="12"/>
      <c r="Z157" s="8"/>
      <c r="AA157" s="8"/>
      <c r="AB157" s="8"/>
      <c r="AC157" s="8"/>
      <c r="AD157" s="8"/>
      <c r="AE157" s="9"/>
      <c r="AF157" s="8"/>
      <c r="AG157" s="8"/>
      <c r="AH157" s="72"/>
      <c r="AI157" s="13"/>
      <c r="AJ157" s="13"/>
      <c r="AK157" s="13"/>
      <c r="AL157" s="13"/>
      <c r="AM157" s="9"/>
      <c r="AN157" s="9"/>
      <c r="AO157" s="9"/>
      <c r="AP157" s="9"/>
      <c r="AQ157" s="9"/>
      <c r="AR157" s="9"/>
      <c r="AS157" s="9"/>
      <c r="AT157" s="9"/>
      <c r="AU157" s="9"/>
      <c r="AV157" s="9"/>
      <c r="AW157" s="9"/>
      <c r="AX157" s="9"/>
      <c r="AY157" s="9"/>
      <c r="AZ157" s="9"/>
      <c r="BA157" s="9"/>
      <c r="BB157" s="9"/>
    </row>
    <row r="158" spans="1:54" x14ac:dyDescent="0.4">
      <c r="A158" s="59">
        <f t="shared" si="5"/>
        <v>0</v>
      </c>
      <c r="B158" s="9"/>
      <c r="C158" s="9"/>
      <c r="D158" s="9"/>
      <c r="E158" s="10"/>
      <c r="F158" s="9"/>
      <c r="I158" s="10"/>
      <c r="J158" s="10"/>
      <c r="K158" s="10"/>
      <c r="L158" s="10"/>
      <c r="M158" s="10"/>
      <c r="N158" s="11"/>
      <c r="O158" s="11"/>
      <c r="P158" s="11"/>
      <c r="Q158" s="11"/>
      <c r="R158" s="12"/>
      <c r="S158" s="11"/>
      <c r="T158" s="11"/>
      <c r="U158" s="11"/>
      <c r="V158" s="11"/>
      <c r="W158" s="11"/>
      <c r="X158" s="11"/>
      <c r="Y158" s="12"/>
      <c r="Z158" s="8"/>
      <c r="AA158" s="8"/>
      <c r="AB158" s="8"/>
      <c r="AC158" s="8"/>
      <c r="AD158" s="8"/>
      <c r="AE158" s="9"/>
      <c r="AF158" s="8"/>
      <c r="AG158" s="8"/>
      <c r="AH158" s="72"/>
      <c r="AI158" s="13"/>
      <c r="AJ158" s="13"/>
      <c r="AK158" s="13"/>
      <c r="AL158" s="13"/>
      <c r="AM158" s="9"/>
      <c r="AN158" s="9"/>
      <c r="AO158" s="9"/>
      <c r="AP158" s="9"/>
      <c r="AQ158" s="9"/>
      <c r="AR158" s="9"/>
      <c r="AS158" s="9"/>
      <c r="AT158" s="9"/>
      <c r="AU158" s="9"/>
      <c r="AV158" s="9"/>
      <c r="AW158" s="9"/>
      <c r="AX158" s="9"/>
      <c r="AY158" s="9"/>
      <c r="AZ158" s="9"/>
      <c r="BA158" s="9"/>
      <c r="BB158" s="9"/>
    </row>
    <row r="159" spans="1:54" x14ac:dyDescent="0.4">
      <c r="A159" s="59">
        <f t="shared" si="5"/>
        <v>0</v>
      </c>
      <c r="B159" s="9"/>
      <c r="C159" s="9"/>
      <c r="D159" s="9"/>
      <c r="E159" s="10"/>
      <c r="F159" s="9"/>
      <c r="I159" s="10"/>
      <c r="J159" s="10"/>
      <c r="K159" s="10"/>
      <c r="L159" s="10"/>
      <c r="M159" s="10"/>
      <c r="N159" s="11"/>
      <c r="O159" s="11"/>
      <c r="P159" s="11"/>
      <c r="Q159" s="11"/>
      <c r="R159" s="12"/>
      <c r="S159" s="11"/>
      <c r="T159" s="11"/>
      <c r="U159" s="11"/>
      <c r="V159" s="11"/>
      <c r="W159" s="11"/>
      <c r="X159" s="11"/>
      <c r="Y159" s="12"/>
      <c r="Z159" s="8"/>
      <c r="AA159" s="8"/>
      <c r="AB159" s="8"/>
      <c r="AC159" s="8"/>
      <c r="AD159" s="8"/>
      <c r="AE159" s="9"/>
      <c r="AF159" s="8"/>
      <c r="AG159" s="8"/>
      <c r="AH159" s="72"/>
      <c r="AI159" s="13"/>
      <c r="AJ159" s="13"/>
      <c r="AK159" s="13"/>
      <c r="AL159" s="13"/>
      <c r="AM159" s="9"/>
      <c r="AN159" s="9"/>
      <c r="AO159" s="9"/>
      <c r="AP159" s="9"/>
      <c r="AQ159" s="9"/>
      <c r="AR159" s="9"/>
      <c r="AS159" s="9"/>
      <c r="AT159" s="9"/>
      <c r="AU159" s="9"/>
      <c r="AV159" s="9"/>
      <c r="AW159" s="9"/>
      <c r="AX159" s="9"/>
      <c r="AY159" s="9"/>
      <c r="AZ159" s="9"/>
      <c r="BA159" s="9"/>
      <c r="BB159" s="9"/>
    </row>
    <row r="160" spans="1:54" x14ac:dyDescent="0.4">
      <c r="A160" s="59">
        <f t="shared" si="5"/>
        <v>0</v>
      </c>
      <c r="B160" s="9"/>
      <c r="C160" s="9"/>
      <c r="D160" s="9"/>
      <c r="E160" s="10"/>
      <c r="F160" s="9"/>
      <c r="I160" s="10"/>
      <c r="J160" s="10"/>
      <c r="K160" s="10"/>
      <c r="L160" s="10"/>
      <c r="M160" s="10"/>
      <c r="N160" s="11"/>
      <c r="O160" s="11"/>
      <c r="P160" s="11"/>
      <c r="Q160" s="11"/>
      <c r="R160" s="12"/>
      <c r="S160" s="11"/>
      <c r="T160" s="11"/>
      <c r="U160" s="11"/>
      <c r="V160" s="11"/>
      <c r="W160" s="11"/>
      <c r="X160" s="11"/>
      <c r="Y160" s="12"/>
      <c r="Z160" s="8"/>
      <c r="AA160" s="8"/>
      <c r="AB160" s="8"/>
      <c r="AC160" s="8"/>
      <c r="AD160" s="8"/>
      <c r="AE160" s="9"/>
      <c r="AF160" s="8"/>
      <c r="AG160" s="8"/>
      <c r="AH160" s="72"/>
      <c r="AI160" s="13"/>
      <c r="AJ160" s="13"/>
      <c r="AK160" s="13"/>
      <c r="AL160" s="13"/>
      <c r="AM160" s="9"/>
      <c r="AN160" s="9"/>
      <c r="AO160" s="9"/>
      <c r="AP160" s="9"/>
      <c r="AQ160" s="9"/>
      <c r="AR160" s="9"/>
      <c r="AS160" s="9"/>
      <c r="AT160" s="9"/>
      <c r="AU160" s="9"/>
      <c r="AV160" s="9"/>
      <c r="AW160" s="9"/>
      <c r="AX160" s="9"/>
      <c r="AY160" s="9"/>
      <c r="AZ160" s="9"/>
      <c r="BA160" s="9"/>
      <c r="BB160" s="9"/>
    </row>
    <row r="161" spans="1:54" x14ac:dyDescent="0.4">
      <c r="A161" s="59">
        <f t="shared" si="5"/>
        <v>0</v>
      </c>
      <c r="B161" s="9"/>
      <c r="C161" s="9"/>
      <c r="D161" s="9"/>
      <c r="E161" s="10"/>
      <c r="F161" s="9"/>
      <c r="I161" s="10"/>
      <c r="J161" s="10"/>
      <c r="K161" s="10"/>
      <c r="L161" s="10"/>
      <c r="M161" s="10"/>
      <c r="N161" s="11"/>
      <c r="O161" s="11"/>
      <c r="P161" s="11"/>
      <c r="Q161" s="11"/>
      <c r="R161" s="12"/>
      <c r="S161" s="11"/>
      <c r="T161" s="11"/>
      <c r="U161" s="11"/>
      <c r="V161" s="11"/>
      <c r="W161" s="11"/>
      <c r="X161" s="11"/>
      <c r="Y161" s="12"/>
      <c r="Z161" s="8"/>
      <c r="AA161" s="8"/>
      <c r="AB161" s="8"/>
      <c r="AC161" s="8"/>
      <c r="AD161" s="8"/>
      <c r="AE161" s="9"/>
      <c r="AF161" s="8"/>
      <c r="AG161" s="8"/>
      <c r="AH161" s="72"/>
      <c r="AI161" s="13"/>
      <c r="AJ161" s="13"/>
      <c r="AK161" s="13"/>
      <c r="AL161" s="13"/>
      <c r="AM161" s="9"/>
      <c r="AN161" s="9"/>
      <c r="AO161" s="9"/>
      <c r="AP161" s="9"/>
      <c r="AQ161" s="9"/>
      <c r="AR161" s="9"/>
      <c r="AS161" s="9"/>
      <c r="AT161" s="9"/>
      <c r="AU161" s="9"/>
      <c r="AV161" s="9"/>
      <c r="AW161" s="9"/>
      <c r="AX161" s="9"/>
      <c r="AY161" s="9"/>
      <c r="AZ161" s="9"/>
      <c r="BA161" s="9"/>
      <c r="BB161" s="9"/>
    </row>
    <row r="162" spans="1:54" x14ac:dyDescent="0.4">
      <c r="A162" s="59">
        <f t="shared" si="5"/>
        <v>0</v>
      </c>
      <c r="B162" s="9"/>
      <c r="C162" s="9"/>
      <c r="D162" s="9"/>
      <c r="E162" s="10"/>
      <c r="F162" s="9"/>
      <c r="I162" s="10"/>
      <c r="J162" s="10"/>
      <c r="K162" s="10"/>
      <c r="L162" s="10"/>
      <c r="M162" s="10"/>
      <c r="N162" s="11"/>
      <c r="O162" s="11"/>
      <c r="P162" s="11"/>
      <c r="Q162" s="11"/>
      <c r="R162" s="12"/>
      <c r="S162" s="11"/>
      <c r="T162" s="11"/>
      <c r="U162" s="11"/>
      <c r="V162" s="11"/>
      <c r="W162" s="11"/>
      <c r="X162" s="11"/>
      <c r="Y162" s="12"/>
      <c r="Z162" s="8"/>
      <c r="AA162" s="8"/>
      <c r="AB162" s="8"/>
      <c r="AC162" s="8"/>
      <c r="AD162" s="8"/>
      <c r="AE162" s="9"/>
      <c r="AF162" s="8"/>
      <c r="AG162" s="8"/>
      <c r="AH162" s="72"/>
      <c r="AI162" s="13"/>
      <c r="AJ162" s="13"/>
      <c r="AK162" s="13"/>
      <c r="AL162" s="13"/>
      <c r="AM162" s="9"/>
      <c r="AN162" s="9"/>
      <c r="AO162" s="9"/>
      <c r="AP162" s="9"/>
      <c r="AQ162" s="9"/>
      <c r="AR162" s="9"/>
      <c r="AS162" s="9"/>
      <c r="AT162" s="9"/>
      <c r="AU162" s="9"/>
      <c r="AV162" s="9"/>
      <c r="AW162" s="9"/>
      <c r="AX162" s="9"/>
      <c r="AY162" s="9"/>
      <c r="AZ162" s="9"/>
      <c r="BA162" s="9"/>
      <c r="BB162" s="9"/>
    </row>
    <row r="163" spans="1:54" x14ac:dyDescent="0.4">
      <c r="A163" s="59">
        <f t="shared" si="5"/>
        <v>0</v>
      </c>
      <c r="B163" s="9"/>
      <c r="C163" s="9"/>
      <c r="D163" s="9"/>
      <c r="E163" s="10"/>
      <c r="F163" s="9"/>
      <c r="I163" s="10"/>
      <c r="J163" s="10"/>
      <c r="K163" s="10"/>
      <c r="L163" s="10"/>
      <c r="M163" s="10"/>
      <c r="N163" s="11"/>
      <c r="O163" s="11"/>
      <c r="P163" s="11"/>
      <c r="Q163" s="11"/>
      <c r="R163" s="12"/>
      <c r="S163" s="11"/>
      <c r="T163" s="11"/>
      <c r="U163" s="11"/>
      <c r="V163" s="11"/>
      <c r="W163" s="11"/>
      <c r="X163" s="11"/>
      <c r="Y163" s="12"/>
      <c r="Z163" s="8"/>
      <c r="AA163" s="8"/>
      <c r="AB163" s="8"/>
      <c r="AC163" s="8"/>
      <c r="AD163" s="8"/>
      <c r="AE163" s="9"/>
      <c r="AF163" s="8"/>
      <c r="AG163" s="8"/>
      <c r="AH163" s="72"/>
      <c r="AI163" s="13"/>
      <c r="AJ163" s="13"/>
      <c r="AK163" s="13"/>
      <c r="AL163" s="13"/>
      <c r="AM163" s="9"/>
      <c r="AN163" s="9"/>
      <c r="AO163" s="9"/>
      <c r="AP163" s="9"/>
      <c r="AQ163" s="9"/>
      <c r="AR163" s="9"/>
      <c r="AS163" s="9"/>
      <c r="AT163" s="9"/>
      <c r="AU163" s="9"/>
      <c r="AV163" s="9"/>
      <c r="AW163" s="9"/>
      <c r="AX163" s="9"/>
      <c r="AY163" s="9"/>
      <c r="AZ163" s="9"/>
      <c r="BA163" s="9"/>
      <c r="BB163" s="9"/>
    </row>
    <row r="164" spans="1:54" x14ac:dyDescent="0.4">
      <c r="A164" s="59">
        <f t="shared" si="5"/>
        <v>0</v>
      </c>
      <c r="B164" s="9"/>
      <c r="C164" s="9"/>
      <c r="D164" s="9"/>
      <c r="E164" s="10"/>
      <c r="F164" s="9"/>
      <c r="I164" s="10"/>
      <c r="J164" s="10"/>
      <c r="K164" s="10"/>
      <c r="L164" s="10"/>
      <c r="M164" s="10"/>
      <c r="N164" s="11"/>
      <c r="O164" s="11"/>
      <c r="P164" s="11"/>
      <c r="Q164" s="11"/>
      <c r="R164" s="12"/>
      <c r="S164" s="11"/>
      <c r="T164" s="11"/>
      <c r="U164" s="11"/>
      <c r="V164" s="11"/>
      <c r="W164" s="11"/>
      <c r="X164" s="11"/>
      <c r="Y164" s="12"/>
      <c r="Z164" s="8"/>
      <c r="AA164" s="8"/>
      <c r="AB164" s="8"/>
      <c r="AC164" s="8"/>
      <c r="AD164" s="8"/>
      <c r="AE164" s="9"/>
      <c r="AF164" s="8"/>
      <c r="AG164" s="8"/>
      <c r="AH164" s="72"/>
      <c r="AI164" s="13"/>
      <c r="AJ164" s="13"/>
      <c r="AK164" s="13"/>
      <c r="AL164" s="13"/>
      <c r="AM164" s="9"/>
      <c r="AN164" s="9"/>
      <c r="AO164" s="9"/>
      <c r="AP164" s="9"/>
      <c r="AQ164" s="9"/>
      <c r="AR164" s="9"/>
      <c r="AS164" s="9"/>
      <c r="AT164" s="9"/>
      <c r="AU164" s="9"/>
      <c r="AV164" s="9"/>
      <c r="AW164" s="9"/>
      <c r="AX164" s="9"/>
      <c r="AY164" s="9"/>
      <c r="AZ164" s="9"/>
      <c r="BA164" s="9"/>
      <c r="BB164" s="9"/>
    </row>
    <row r="165" spans="1:54" x14ac:dyDescent="0.4">
      <c r="A165" s="59">
        <f t="shared" si="5"/>
        <v>0</v>
      </c>
      <c r="B165" s="9"/>
      <c r="C165" s="9"/>
      <c r="D165" s="9"/>
      <c r="E165" s="10"/>
      <c r="F165" s="9"/>
      <c r="I165" s="10"/>
      <c r="J165" s="10"/>
      <c r="K165" s="10"/>
      <c r="L165" s="10"/>
      <c r="M165" s="10"/>
      <c r="N165" s="11"/>
      <c r="O165" s="11"/>
      <c r="P165" s="11"/>
      <c r="Q165" s="11"/>
      <c r="R165" s="12"/>
      <c r="S165" s="11"/>
      <c r="T165" s="11"/>
      <c r="U165" s="11"/>
      <c r="V165" s="11"/>
      <c r="W165" s="11"/>
      <c r="X165" s="11"/>
      <c r="Y165" s="12"/>
      <c r="Z165" s="8"/>
      <c r="AA165" s="8"/>
      <c r="AB165" s="8"/>
      <c r="AC165" s="8"/>
      <c r="AD165" s="8"/>
      <c r="AE165" s="9"/>
      <c r="AF165" s="8"/>
      <c r="AG165" s="8"/>
      <c r="AH165" s="72"/>
      <c r="AI165" s="13"/>
      <c r="AJ165" s="13"/>
      <c r="AK165" s="13"/>
      <c r="AL165" s="13"/>
      <c r="AM165" s="9"/>
      <c r="AN165" s="9"/>
      <c r="AO165" s="9"/>
      <c r="AP165" s="9"/>
      <c r="AQ165" s="9"/>
      <c r="AR165" s="9"/>
      <c r="AS165" s="9"/>
      <c r="AT165" s="9"/>
      <c r="AU165" s="9"/>
      <c r="AV165" s="9"/>
      <c r="AW165" s="9"/>
      <c r="AX165" s="9"/>
      <c r="AY165" s="9"/>
      <c r="AZ165" s="9"/>
      <c r="BA165" s="9"/>
      <c r="BB165" s="9"/>
    </row>
    <row r="166" spans="1:54" x14ac:dyDescent="0.4">
      <c r="A166" s="59">
        <f t="shared" si="5"/>
        <v>0</v>
      </c>
      <c r="B166" s="9"/>
      <c r="C166" s="9"/>
      <c r="D166" s="9"/>
      <c r="E166" s="10"/>
      <c r="F166" s="9"/>
      <c r="I166" s="10"/>
      <c r="J166" s="10"/>
      <c r="K166" s="10"/>
      <c r="L166" s="10"/>
      <c r="M166" s="10"/>
      <c r="N166" s="11"/>
      <c r="O166" s="11"/>
      <c r="P166" s="11"/>
      <c r="Q166" s="11"/>
      <c r="R166" s="12"/>
      <c r="S166" s="11"/>
      <c r="T166" s="11"/>
      <c r="U166" s="11"/>
      <c r="V166" s="11"/>
      <c r="W166" s="11"/>
      <c r="X166" s="11"/>
      <c r="Y166" s="12"/>
      <c r="Z166" s="8"/>
      <c r="AA166" s="8"/>
      <c r="AB166" s="8"/>
      <c r="AC166" s="8"/>
      <c r="AD166" s="8"/>
      <c r="AE166" s="9"/>
      <c r="AF166" s="8"/>
      <c r="AG166" s="8"/>
      <c r="AH166" s="72"/>
      <c r="AI166" s="13"/>
      <c r="AJ166" s="13"/>
      <c r="AK166" s="13"/>
      <c r="AL166" s="13"/>
      <c r="AM166" s="9"/>
      <c r="AN166" s="9"/>
      <c r="AO166" s="9"/>
      <c r="AP166" s="9"/>
      <c r="AQ166" s="9"/>
      <c r="AR166" s="9"/>
      <c r="AS166" s="9"/>
      <c r="AT166" s="9"/>
      <c r="AU166" s="9"/>
      <c r="AV166" s="9"/>
      <c r="AW166" s="9"/>
      <c r="AX166" s="9"/>
      <c r="AY166" s="9"/>
      <c r="AZ166" s="9"/>
      <c r="BA166" s="9"/>
      <c r="BB166" s="9"/>
    </row>
    <row r="167" spans="1:54" x14ac:dyDescent="0.4">
      <c r="A167" s="59">
        <f t="shared" si="5"/>
        <v>0</v>
      </c>
      <c r="B167" s="9"/>
      <c r="C167" s="9"/>
      <c r="D167" s="9"/>
      <c r="E167" s="10"/>
      <c r="F167" s="9"/>
      <c r="I167" s="10"/>
      <c r="J167" s="10"/>
      <c r="K167" s="10"/>
      <c r="L167" s="10"/>
      <c r="M167" s="10"/>
      <c r="N167" s="11"/>
      <c r="O167" s="11"/>
      <c r="P167" s="11"/>
      <c r="Q167" s="11"/>
      <c r="R167" s="12"/>
      <c r="S167" s="11"/>
      <c r="T167" s="11"/>
      <c r="U167" s="11"/>
      <c r="V167" s="11"/>
      <c r="W167" s="11"/>
      <c r="X167" s="11"/>
      <c r="Y167" s="12"/>
      <c r="Z167" s="8"/>
      <c r="AA167" s="8"/>
      <c r="AB167" s="8"/>
      <c r="AC167" s="8"/>
      <c r="AD167" s="8"/>
      <c r="AE167" s="9"/>
      <c r="AF167" s="8"/>
      <c r="AG167" s="8"/>
      <c r="AH167" s="72"/>
      <c r="AI167" s="13"/>
      <c r="AJ167" s="13"/>
      <c r="AK167" s="13"/>
      <c r="AL167" s="13"/>
      <c r="AM167" s="9"/>
      <c r="AN167" s="9"/>
      <c r="AO167" s="9"/>
      <c r="AP167" s="9"/>
      <c r="AQ167" s="9"/>
      <c r="AR167" s="9"/>
      <c r="AS167" s="9"/>
      <c r="AT167" s="9"/>
      <c r="AU167" s="9"/>
      <c r="AV167" s="9"/>
      <c r="AW167" s="9"/>
      <c r="AX167" s="9"/>
      <c r="AY167" s="9"/>
      <c r="AZ167" s="9"/>
      <c r="BA167" s="9"/>
      <c r="BB167" s="9"/>
    </row>
    <row r="168" spans="1:54" x14ac:dyDescent="0.4">
      <c r="A168" s="59">
        <f t="shared" si="5"/>
        <v>0</v>
      </c>
      <c r="B168" s="9"/>
      <c r="C168" s="9"/>
      <c r="D168" s="9"/>
      <c r="E168" s="10"/>
      <c r="F168" s="9"/>
      <c r="I168" s="10"/>
      <c r="J168" s="10"/>
      <c r="K168" s="10"/>
      <c r="L168" s="10"/>
      <c r="M168" s="10"/>
      <c r="N168" s="11"/>
      <c r="O168" s="11"/>
      <c r="P168" s="11"/>
      <c r="Q168" s="11"/>
      <c r="R168" s="12"/>
      <c r="S168" s="11"/>
      <c r="T168" s="11"/>
      <c r="U168" s="11"/>
      <c r="V168" s="11"/>
      <c r="W168" s="11"/>
      <c r="X168" s="11"/>
      <c r="Y168" s="12"/>
      <c r="Z168" s="8"/>
      <c r="AA168" s="8"/>
      <c r="AB168" s="8"/>
      <c r="AC168" s="8"/>
      <c r="AD168" s="8"/>
      <c r="AE168" s="9"/>
      <c r="AF168" s="8"/>
      <c r="AG168" s="8"/>
      <c r="AH168" s="72"/>
      <c r="AI168" s="13"/>
      <c r="AJ168" s="13"/>
      <c r="AK168" s="13"/>
      <c r="AL168" s="13"/>
      <c r="AM168" s="9"/>
      <c r="AN168" s="9"/>
      <c r="AO168" s="9"/>
      <c r="AP168" s="9"/>
      <c r="AQ168" s="9"/>
      <c r="AR168" s="9"/>
      <c r="AS168" s="9"/>
      <c r="AT168" s="9"/>
      <c r="AU168" s="9"/>
      <c r="AV168" s="9"/>
      <c r="AW168" s="9"/>
      <c r="AX168" s="9"/>
      <c r="AY168" s="9"/>
      <c r="AZ168" s="9"/>
      <c r="BA168" s="9"/>
      <c r="BB168" s="9"/>
    </row>
    <row r="169" spans="1:54" x14ac:dyDescent="0.4">
      <c r="A169" s="59">
        <f t="shared" si="5"/>
        <v>0</v>
      </c>
      <c r="B169" s="9"/>
      <c r="C169" s="9"/>
      <c r="D169" s="9"/>
      <c r="E169" s="10"/>
      <c r="F169" s="9"/>
      <c r="I169" s="10"/>
      <c r="J169" s="10"/>
      <c r="K169" s="10"/>
      <c r="L169" s="10"/>
      <c r="M169" s="10"/>
      <c r="N169" s="11"/>
      <c r="O169" s="11"/>
      <c r="P169" s="11"/>
      <c r="Q169" s="11"/>
      <c r="R169" s="12"/>
      <c r="S169" s="11"/>
      <c r="T169" s="11"/>
      <c r="U169" s="11"/>
      <c r="V169" s="11"/>
      <c r="W169" s="11"/>
      <c r="X169" s="11"/>
      <c r="Y169" s="12"/>
      <c r="Z169" s="8"/>
      <c r="AA169" s="8"/>
      <c r="AB169" s="8"/>
      <c r="AC169" s="8"/>
      <c r="AD169" s="8"/>
      <c r="AE169" s="9"/>
      <c r="AF169" s="8"/>
      <c r="AG169" s="8"/>
      <c r="AH169" s="72"/>
      <c r="AI169" s="13"/>
      <c r="AJ169" s="13"/>
      <c r="AK169" s="13"/>
      <c r="AL169" s="13"/>
      <c r="AM169" s="9"/>
      <c r="AN169" s="9"/>
      <c r="AO169" s="9"/>
      <c r="AP169" s="9"/>
      <c r="AQ169" s="9"/>
      <c r="AR169" s="9"/>
      <c r="AS169" s="9"/>
      <c r="AT169" s="9"/>
      <c r="AU169" s="9"/>
      <c r="AV169" s="9"/>
      <c r="AW169" s="9"/>
      <c r="AX169" s="9"/>
      <c r="AY169" s="9"/>
      <c r="AZ169" s="9"/>
      <c r="BA169" s="9"/>
      <c r="BB169" s="9"/>
    </row>
    <row r="170" spans="1:54" x14ac:dyDescent="0.4">
      <c r="A170" s="59">
        <f t="shared" si="5"/>
        <v>0</v>
      </c>
      <c r="B170" s="9"/>
      <c r="C170" s="9"/>
      <c r="D170" s="9"/>
      <c r="E170" s="10"/>
      <c r="F170" s="9"/>
      <c r="I170" s="10"/>
      <c r="J170" s="10"/>
      <c r="K170" s="10"/>
      <c r="L170" s="10"/>
      <c r="M170" s="10"/>
      <c r="N170" s="11"/>
      <c r="O170" s="11"/>
      <c r="P170" s="11"/>
      <c r="Q170" s="11"/>
      <c r="R170" s="12"/>
      <c r="S170" s="11"/>
      <c r="T170" s="11"/>
      <c r="U170" s="11"/>
      <c r="V170" s="11"/>
      <c r="W170" s="11"/>
      <c r="X170" s="11"/>
      <c r="Y170" s="12"/>
      <c r="Z170" s="8"/>
      <c r="AA170" s="8"/>
      <c r="AB170" s="8"/>
      <c r="AC170" s="8"/>
      <c r="AD170" s="8"/>
      <c r="AE170" s="9"/>
      <c r="AF170" s="8"/>
      <c r="AG170" s="8"/>
      <c r="AH170" s="72"/>
      <c r="AI170" s="13"/>
      <c r="AJ170" s="13"/>
      <c r="AK170" s="13"/>
      <c r="AL170" s="13"/>
      <c r="AM170" s="9"/>
      <c r="AN170" s="9"/>
      <c r="AO170" s="9"/>
      <c r="AP170" s="9"/>
      <c r="AQ170" s="9"/>
      <c r="AR170" s="9"/>
      <c r="AS170" s="9"/>
      <c r="AT170" s="9"/>
      <c r="AU170" s="9"/>
      <c r="AV170" s="9"/>
      <c r="AW170" s="9"/>
      <c r="AX170" s="9"/>
      <c r="AY170" s="9"/>
      <c r="AZ170" s="9"/>
      <c r="BA170" s="9"/>
      <c r="BB170" s="9"/>
    </row>
    <row r="171" spans="1:54" x14ac:dyDescent="0.4">
      <c r="A171" s="59">
        <f t="shared" si="5"/>
        <v>0</v>
      </c>
      <c r="B171" s="9"/>
      <c r="C171" s="9"/>
      <c r="D171" s="9"/>
      <c r="E171" s="10"/>
      <c r="F171" s="9"/>
      <c r="I171" s="10"/>
      <c r="J171" s="10"/>
      <c r="K171" s="10"/>
      <c r="L171" s="10"/>
      <c r="M171" s="10"/>
      <c r="N171" s="11"/>
      <c r="O171" s="11"/>
      <c r="P171" s="11"/>
      <c r="Q171" s="11"/>
      <c r="R171" s="12"/>
      <c r="S171" s="11"/>
      <c r="T171" s="11"/>
      <c r="U171" s="11"/>
      <c r="V171" s="11"/>
      <c r="W171" s="11"/>
      <c r="X171" s="11"/>
      <c r="Y171" s="12"/>
      <c r="Z171" s="8"/>
      <c r="AA171" s="8"/>
      <c r="AB171" s="8"/>
      <c r="AC171" s="8"/>
      <c r="AD171" s="8"/>
      <c r="AE171" s="9"/>
      <c r="AF171" s="8"/>
      <c r="AG171" s="8"/>
      <c r="AH171" s="72"/>
      <c r="AI171" s="13"/>
      <c r="AJ171" s="13"/>
      <c r="AK171" s="13"/>
      <c r="AL171" s="13"/>
      <c r="AM171" s="9"/>
      <c r="AN171" s="9"/>
      <c r="AO171" s="9"/>
      <c r="AP171" s="9"/>
      <c r="AQ171" s="9"/>
      <c r="AR171" s="9"/>
      <c r="AS171" s="9"/>
      <c r="AT171" s="9"/>
      <c r="AU171" s="9"/>
      <c r="AV171" s="9"/>
      <c r="AW171" s="9"/>
      <c r="AX171" s="9"/>
      <c r="AY171" s="9"/>
      <c r="AZ171" s="9"/>
      <c r="BA171" s="9"/>
      <c r="BB171" s="9"/>
    </row>
    <row r="172" spans="1:54" x14ac:dyDescent="0.4">
      <c r="A172" s="59">
        <f t="shared" si="5"/>
        <v>0</v>
      </c>
      <c r="B172" s="9"/>
      <c r="C172" s="9"/>
      <c r="D172" s="9"/>
      <c r="E172" s="10"/>
      <c r="F172" s="9"/>
      <c r="I172" s="10"/>
      <c r="J172" s="10"/>
      <c r="K172" s="10"/>
      <c r="L172" s="10"/>
      <c r="M172" s="10"/>
      <c r="N172" s="11"/>
      <c r="O172" s="11"/>
      <c r="P172" s="11"/>
      <c r="Q172" s="11"/>
      <c r="R172" s="12"/>
      <c r="S172" s="11"/>
      <c r="T172" s="11"/>
      <c r="U172" s="11"/>
      <c r="V172" s="11"/>
      <c r="W172" s="11"/>
      <c r="X172" s="11"/>
      <c r="Y172" s="12"/>
      <c r="Z172" s="8"/>
      <c r="AA172" s="8"/>
      <c r="AB172" s="8"/>
      <c r="AC172" s="8"/>
      <c r="AD172" s="8"/>
      <c r="AE172" s="9"/>
      <c r="AF172" s="8"/>
      <c r="AG172" s="8"/>
      <c r="AH172" s="72"/>
      <c r="AI172" s="13"/>
      <c r="AJ172" s="13"/>
      <c r="AK172" s="13"/>
      <c r="AL172" s="13"/>
      <c r="AM172" s="9"/>
      <c r="AN172" s="9"/>
      <c r="AO172" s="9"/>
      <c r="AP172" s="9"/>
      <c r="AQ172" s="9"/>
      <c r="AR172" s="9"/>
      <c r="AS172" s="9"/>
      <c r="AT172" s="9"/>
      <c r="AU172" s="9"/>
      <c r="AV172" s="9"/>
      <c r="AW172" s="9"/>
      <c r="AX172" s="9"/>
      <c r="AY172" s="9"/>
      <c r="AZ172" s="9"/>
      <c r="BA172" s="9"/>
      <c r="BB172" s="9"/>
    </row>
    <row r="173" spans="1:54" x14ac:dyDescent="0.4">
      <c r="A173" s="59">
        <f t="shared" si="5"/>
        <v>0</v>
      </c>
      <c r="B173" s="9"/>
      <c r="C173" s="9"/>
      <c r="D173" s="9"/>
      <c r="E173" s="10"/>
      <c r="F173" s="9"/>
      <c r="I173" s="10"/>
      <c r="J173" s="10"/>
      <c r="K173" s="10"/>
      <c r="L173" s="10"/>
      <c r="M173" s="10"/>
      <c r="N173" s="11"/>
      <c r="O173" s="11"/>
      <c r="P173" s="11"/>
      <c r="Q173" s="11"/>
      <c r="R173" s="12"/>
      <c r="S173" s="11"/>
      <c r="T173" s="11"/>
      <c r="U173" s="11"/>
      <c r="V173" s="11"/>
      <c r="W173" s="11"/>
      <c r="X173" s="11"/>
      <c r="Y173" s="12"/>
      <c r="Z173" s="8"/>
      <c r="AA173" s="8"/>
      <c r="AB173" s="8"/>
      <c r="AC173" s="8"/>
      <c r="AD173" s="8"/>
      <c r="AE173" s="9"/>
      <c r="AF173" s="8"/>
      <c r="AG173" s="8"/>
      <c r="AH173" s="72"/>
      <c r="AI173" s="13"/>
      <c r="AJ173" s="13"/>
      <c r="AK173" s="13"/>
      <c r="AL173" s="13"/>
      <c r="AM173" s="9"/>
      <c r="AN173" s="9"/>
      <c r="AO173" s="9"/>
      <c r="AP173" s="9"/>
      <c r="AQ173" s="9"/>
      <c r="AR173" s="9"/>
      <c r="AS173" s="9"/>
      <c r="AT173" s="9"/>
      <c r="AU173" s="9"/>
      <c r="AV173" s="9"/>
      <c r="AW173" s="9"/>
      <c r="AX173" s="9"/>
      <c r="AY173" s="9"/>
      <c r="AZ173" s="9"/>
      <c r="BA173" s="9"/>
      <c r="BB173" s="9"/>
    </row>
    <row r="174" spans="1:54" x14ac:dyDescent="0.4">
      <c r="A174" s="59">
        <f t="shared" si="5"/>
        <v>0</v>
      </c>
      <c r="B174" s="9"/>
      <c r="C174" s="9"/>
      <c r="D174" s="9"/>
      <c r="E174" s="10"/>
      <c r="F174" s="9"/>
      <c r="I174" s="10"/>
      <c r="J174" s="10"/>
      <c r="K174" s="10"/>
      <c r="L174" s="10"/>
      <c r="M174" s="10"/>
      <c r="N174" s="11"/>
      <c r="O174" s="11"/>
      <c r="P174" s="11"/>
      <c r="Q174" s="11"/>
      <c r="R174" s="12"/>
      <c r="S174" s="11"/>
      <c r="T174" s="11"/>
      <c r="U174" s="11"/>
      <c r="V174" s="11"/>
      <c r="W174" s="11"/>
      <c r="X174" s="11"/>
      <c r="Y174" s="12"/>
      <c r="Z174" s="8"/>
      <c r="AA174" s="8"/>
      <c r="AB174" s="8"/>
      <c r="AC174" s="8"/>
      <c r="AD174" s="8"/>
      <c r="AE174" s="9"/>
      <c r="AF174" s="8"/>
      <c r="AG174" s="8"/>
      <c r="AH174" s="72"/>
      <c r="AI174" s="13"/>
      <c r="AJ174" s="13"/>
      <c r="AK174" s="13"/>
      <c r="AL174" s="13"/>
      <c r="AM174" s="9"/>
      <c r="AN174" s="9"/>
      <c r="AO174" s="9"/>
      <c r="AP174" s="9"/>
      <c r="AQ174" s="9"/>
      <c r="AR174" s="9"/>
      <c r="AS174" s="9"/>
      <c r="AT174" s="9"/>
      <c r="AU174" s="9"/>
      <c r="AV174" s="9"/>
      <c r="AW174" s="9"/>
      <c r="AX174" s="9"/>
      <c r="AY174" s="9"/>
      <c r="AZ174" s="9"/>
      <c r="BA174" s="9"/>
      <c r="BB174" s="9"/>
    </row>
    <row r="175" spans="1:54" x14ac:dyDescent="0.4">
      <c r="A175" s="59">
        <f t="shared" si="5"/>
        <v>0</v>
      </c>
      <c r="B175" s="9"/>
      <c r="C175" s="9"/>
      <c r="D175" s="9"/>
      <c r="E175" s="10"/>
      <c r="F175" s="9"/>
      <c r="I175" s="10"/>
      <c r="J175" s="10"/>
      <c r="K175" s="10"/>
      <c r="L175" s="10"/>
      <c r="M175" s="10"/>
      <c r="N175" s="11"/>
      <c r="O175" s="11"/>
      <c r="P175" s="11"/>
      <c r="Q175" s="11"/>
      <c r="R175" s="12"/>
      <c r="S175" s="11"/>
      <c r="T175" s="11"/>
      <c r="U175" s="11"/>
      <c r="V175" s="11"/>
      <c r="W175" s="11"/>
      <c r="X175" s="11"/>
      <c r="Y175" s="12"/>
      <c r="Z175" s="8"/>
      <c r="AA175" s="8"/>
      <c r="AB175" s="8"/>
      <c r="AC175" s="8"/>
      <c r="AD175" s="8"/>
      <c r="AE175" s="9"/>
      <c r="AF175" s="8"/>
      <c r="AG175" s="8"/>
      <c r="AH175" s="72"/>
      <c r="AI175" s="13"/>
      <c r="AJ175" s="13"/>
      <c r="AK175" s="13"/>
      <c r="AL175" s="13"/>
      <c r="AM175" s="9"/>
      <c r="AN175" s="9"/>
      <c r="AO175" s="9"/>
      <c r="AP175" s="9"/>
      <c r="AQ175" s="9"/>
      <c r="AR175" s="9"/>
      <c r="AS175" s="9"/>
      <c r="AT175" s="9"/>
      <c r="AU175" s="9"/>
      <c r="AV175" s="9"/>
      <c r="AW175" s="9"/>
      <c r="AX175" s="9"/>
      <c r="AY175" s="9"/>
      <c r="AZ175" s="9"/>
      <c r="BA175" s="9"/>
      <c r="BB175" s="9"/>
    </row>
    <row r="176" spans="1:54" x14ac:dyDescent="0.4">
      <c r="A176" s="59">
        <f t="shared" si="5"/>
        <v>0</v>
      </c>
      <c r="B176" s="9"/>
      <c r="C176" s="9"/>
      <c r="D176" s="9"/>
      <c r="E176" s="10"/>
      <c r="F176" s="9"/>
      <c r="I176" s="10"/>
      <c r="J176" s="10"/>
      <c r="K176" s="10"/>
      <c r="L176" s="10"/>
      <c r="M176" s="10"/>
      <c r="N176" s="11"/>
      <c r="O176" s="11"/>
      <c r="P176" s="11"/>
      <c r="Q176" s="11"/>
      <c r="R176" s="12"/>
      <c r="S176" s="11"/>
      <c r="T176" s="11"/>
      <c r="U176" s="11"/>
      <c r="V176" s="11"/>
      <c r="W176" s="11"/>
      <c r="X176" s="11"/>
      <c r="Y176" s="12"/>
      <c r="Z176" s="8"/>
      <c r="AA176" s="8"/>
      <c r="AB176" s="8"/>
      <c r="AC176" s="8"/>
      <c r="AD176" s="8"/>
      <c r="AE176" s="9"/>
      <c r="AF176" s="8"/>
      <c r="AG176" s="8"/>
      <c r="AH176" s="72"/>
      <c r="AI176" s="13"/>
      <c r="AJ176" s="13"/>
      <c r="AK176" s="13"/>
      <c r="AL176" s="13"/>
      <c r="AM176" s="9"/>
      <c r="AN176" s="9"/>
      <c r="AO176" s="9"/>
      <c r="AP176" s="9"/>
      <c r="AQ176" s="9"/>
      <c r="AR176" s="9"/>
      <c r="AS176" s="9"/>
      <c r="AT176" s="9"/>
      <c r="AU176" s="9"/>
      <c r="AV176" s="9"/>
      <c r="AW176" s="9"/>
      <c r="AX176" s="9"/>
      <c r="AY176" s="9"/>
      <c r="AZ176" s="9"/>
      <c r="BA176" s="9"/>
      <c r="BB176" s="9"/>
    </row>
    <row r="177" spans="1:54" x14ac:dyDescent="0.4">
      <c r="A177" s="59">
        <f t="shared" si="5"/>
        <v>0</v>
      </c>
      <c r="B177" s="9"/>
      <c r="C177" s="9"/>
      <c r="D177" s="9"/>
      <c r="E177" s="10"/>
      <c r="F177" s="9"/>
      <c r="I177" s="10"/>
      <c r="J177" s="10"/>
      <c r="K177" s="10"/>
      <c r="L177" s="10"/>
      <c r="M177" s="10"/>
      <c r="N177" s="11"/>
      <c r="O177" s="11"/>
      <c r="P177" s="11"/>
      <c r="Q177" s="11"/>
      <c r="R177" s="12"/>
      <c r="S177" s="11"/>
      <c r="T177" s="11"/>
      <c r="U177" s="11"/>
      <c r="V177" s="11"/>
      <c r="W177" s="11"/>
      <c r="X177" s="11"/>
      <c r="Y177" s="12"/>
      <c r="Z177" s="8"/>
      <c r="AA177" s="8"/>
      <c r="AB177" s="8"/>
      <c r="AC177" s="8"/>
      <c r="AD177" s="8"/>
      <c r="AE177" s="9"/>
      <c r="AF177" s="8"/>
      <c r="AG177" s="8"/>
      <c r="AH177" s="72"/>
      <c r="AI177" s="13"/>
      <c r="AJ177" s="13"/>
      <c r="AK177" s="13"/>
      <c r="AL177" s="13"/>
      <c r="AM177" s="9"/>
      <c r="AN177" s="9"/>
      <c r="AO177" s="9"/>
      <c r="AP177" s="9"/>
      <c r="AQ177" s="9"/>
      <c r="AR177" s="9"/>
      <c r="AS177" s="9"/>
      <c r="AT177" s="9"/>
      <c r="AU177" s="9"/>
      <c r="AV177" s="9"/>
      <c r="AW177" s="9"/>
      <c r="AX177" s="9"/>
      <c r="AY177" s="9"/>
      <c r="AZ177" s="9"/>
      <c r="BA177" s="9"/>
      <c r="BB177" s="9"/>
    </row>
    <row r="178" spans="1:54" x14ac:dyDescent="0.4">
      <c r="A178" s="59">
        <f t="shared" si="5"/>
        <v>0</v>
      </c>
      <c r="B178" s="9"/>
      <c r="C178" s="9"/>
      <c r="D178" s="9"/>
      <c r="E178" s="10"/>
      <c r="F178" s="9"/>
      <c r="I178" s="10"/>
      <c r="J178" s="10"/>
      <c r="K178" s="10"/>
      <c r="L178" s="10"/>
      <c r="M178" s="10"/>
      <c r="N178" s="11"/>
      <c r="O178" s="11"/>
      <c r="P178" s="11"/>
      <c r="Q178" s="11"/>
      <c r="R178" s="12"/>
      <c r="S178" s="11"/>
      <c r="T178" s="11"/>
      <c r="U178" s="11"/>
      <c r="V178" s="11"/>
      <c r="W178" s="11"/>
      <c r="X178" s="11"/>
      <c r="Y178" s="12"/>
      <c r="Z178" s="8"/>
      <c r="AA178" s="8"/>
      <c r="AB178" s="8"/>
      <c r="AC178" s="8"/>
      <c r="AD178" s="8"/>
      <c r="AE178" s="9"/>
      <c r="AF178" s="8"/>
      <c r="AG178" s="8"/>
      <c r="AH178" s="72"/>
      <c r="AI178" s="13"/>
      <c r="AJ178" s="13"/>
      <c r="AK178" s="13"/>
      <c r="AL178" s="13"/>
      <c r="AM178" s="9"/>
      <c r="AN178" s="9"/>
      <c r="AO178" s="9"/>
      <c r="AP178" s="9"/>
      <c r="AQ178" s="9"/>
      <c r="AR178" s="9"/>
      <c r="AS178" s="9"/>
      <c r="AT178" s="9"/>
      <c r="AU178" s="9"/>
      <c r="AV178" s="9"/>
      <c r="AW178" s="9"/>
      <c r="AX178" s="9"/>
      <c r="AY178" s="9"/>
      <c r="AZ178" s="9"/>
      <c r="BA178" s="9"/>
      <c r="BB178" s="9"/>
    </row>
    <row r="179" spans="1:54" x14ac:dyDescent="0.4">
      <c r="A179" s="59">
        <f t="shared" si="5"/>
        <v>0</v>
      </c>
      <c r="B179" s="9"/>
      <c r="C179" s="9"/>
      <c r="D179" s="9"/>
      <c r="E179" s="10"/>
      <c r="F179" s="9"/>
      <c r="I179" s="10"/>
      <c r="J179" s="10"/>
      <c r="K179" s="10"/>
      <c r="L179" s="10"/>
      <c r="M179" s="10"/>
      <c r="N179" s="11"/>
      <c r="O179" s="11"/>
      <c r="P179" s="11"/>
      <c r="Q179" s="11"/>
      <c r="R179" s="12"/>
      <c r="S179" s="11"/>
      <c r="T179" s="11"/>
      <c r="U179" s="11"/>
      <c r="V179" s="11"/>
      <c r="W179" s="11"/>
      <c r="X179" s="11"/>
      <c r="Y179" s="12"/>
      <c r="Z179" s="8"/>
      <c r="AA179" s="8"/>
      <c r="AB179" s="8"/>
      <c r="AC179" s="8"/>
      <c r="AD179" s="8"/>
      <c r="AE179" s="9"/>
      <c r="AF179" s="8"/>
      <c r="AG179" s="8"/>
      <c r="AH179" s="72"/>
      <c r="AI179" s="13"/>
      <c r="AJ179" s="13"/>
      <c r="AK179" s="13"/>
      <c r="AL179" s="13"/>
      <c r="AM179" s="9"/>
      <c r="AN179" s="9"/>
      <c r="AO179" s="9"/>
      <c r="AP179" s="9"/>
      <c r="AQ179" s="9"/>
      <c r="AR179" s="9"/>
      <c r="AS179" s="9"/>
      <c r="AT179" s="9"/>
      <c r="AU179" s="9"/>
      <c r="AV179" s="9"/>
      <c r="AW179" s="9"/>
      <c r="AX179" s="9"/>
      <c r="AY179" s="9"/>
      <c r="AZ179" s="9"/>
      <c r="BA179" s="9"/>
      <c r="BB179" s="9"/>
    </row>
    <row r="180" spans="1:54" x14ac:dyDescent="0.4">
      <c r="A180" s="59">
        <f t="shared" si="5"/>
        <v>0</v>
      </c>
      <c r="B180" s="9"/>
      <c r="C180" s="9"/>
      <c r="D180" s="9"/>
      <c r="E180" s="10"/>
      <c r="F180" s="9"/>
      <c r="I180" s="10"/>
      <c r="J180" s="10"/>
      <c r="K180" s="10"/>
      <c r="L180" s="10"/>
      <c r="M180" s="10"/>
      <c r="N180" s="11"/>
      <c r="O180" s="11"/>
      <c r="P180" s="11"/>
      <c r="Q180" s="11"/>
      <c r="R180" s="12"/>
      <c r="S180" s="11"/>
      <c r="T180" s="11"/>
      <c r="U180" s="11"/>
      <c r="V180" s="11"/>
      <c r="W180" s="11"/>
      <c r="X180" s="11"/>
      <c r="Y180" s="12"/>
      <c r="Z180" s="8"/>
      <c r="AA180" s="8"/>
      <c r="AB180" s="8"/>
      <c r="AC180" s="8"/>
      <c r="AD180" s="8"/>
      <c r="AE180" s="9"/>
      <c r="AF180" s="8"/>
      <c r="AG180" s="8"/>
      <c r="AH180" s="72"/>
      <c r="AI180" s="13"/>
      <c r="AJ180" s="13"/>
      <c r="AK180" s="13"/>
      <c r="AL180" s="13"/>
      <c r="AM180" s="9"/>
      <c r="AN180" s="9"/>
      <c r="AO180" s="9"/>
      <c r="AP180" s="9"/>
      <c r="AQ180" s="9"/>
      <c r="AR180" s="9"/>
      <c r="AS180" s="9"/>
      <c r="AT180" s="9"/>
      <c r="AU180" s="9"/>
      <c r="AV180" s="9"/>
      <c r="AW180" s="9"/>
      <c r="AX180" s="9"/>
      <c r="AY180" s="9"/>
      <c r="AZ180" s="9"/>
      <c r="BA180" s="9"/>
      <c r="BB180" s="9"/>
    </row>
    <row r="181" spans="1:54" x14ac:dyDescent="0.4">
      <c r="A181" s="59">
        <f t="shared" si="5"/>
        <v>0</v>
      </c>
      <c r="B181" s="9"/>
      <c r="C181" s="9"/>
      <c r="D181" s="9"/>
      <c r="E181" s="10"/>
      <c r="F181" s="9"/>
      <c r="I181" s="10"/>
      <c r="J181" s="10"/>
      <c r="K181" s="10"/>
      <c r="L181" s="10"/>
      <c r="M181" s="10"/>
      <c r="N181" s="11"/>
      <c r="O181" s="11"/>
      <c r="P181" s="11"/>
      <c r="Q181" s="11"/>
      <c r="R181" s="12"/>
      <c r="S181" s="11"/>
      <c r="T181" s="11"/>
      <c r="U181" s="11"/>
      <c r="V181" s="11"/>
      <c r="W181" s="11"/>
      <c r="X181" s="11"/>
      <c r="Y181" s="12"/>
      <c r="Z181" s="8"/>
      <c r="AA181" s="8"/>
      <c r="AB181" s="8"/>
      <c r="AC181" s="8"/>
      <c r="AD181" s="8"/>
      <c r="AE181" s="9"/>
      <c r="AF181" s="8"/>
      <c r="AG181" s="8"/>
      <c r="AH181" s="72"/>
      <c r="AI181" s="13"/>
      <c r="AJ181" s="13"/>
      <c r="AK181" s="13"/>
      <c r="AL181" s="13"/>
      <c r="AM181" s="9"/>
      <c r="AN181" s="9"/>
      <c r="AO181" s="9"/>
      <c r="AP181" s="9"/>
      <c r="AQ181" s="9"/>
      <c r="AR181" s="9"/>
      <c r="AS181" s="9"/>
      <c r="AT181" s="9"/>
      <c r="AU181" s="9"/>
      <c r="AV181" s="9"/>
      <c r="AW181" s="9"/>
      <c r="AX181" s="9"/>
      <c r="AY181" s="9"/>
      <c r="AZ181" s="9"/>
      <c r="BA181" s="9"/>
      <c r="BB181" s="9"/>
    </row>
    <row r="182" spans="1:54" x14ac:dyDescent="0.4">
      <c r="A182" s="59">
        <f t="shared" si="5"/>
        <v>0</v>
      </c>
      <c r="B182" s="9"/>
      <c r="C182" s="9"/>
      <c r="D182" s="9"/>
      <c r="E182" s="10"/>
      <c r="F182" s="9"/>
      <c r="I182" s="10"/>
      <c r="J182" s="10"/>
      <c r="K182" s="10"/>
      <c r="L182" s="10"/>
      <c r="M182" s="10"/>
      <c r="N182" s="11"/>
      <c r="O182" s="11"/>
      <c r="P182" s="11"/>
      <c r="Q182" s="11"/>
      <c r="R182" s="12"/>
      <c r="S182" s="11"/>
      <c r="T182" s="11"/>
      <c r="U182" s="11"/>
      <c r="V182" s="11"/>
      <c r="W182" s="11"/>
      <c r="X182" s="11"/>
      <c r="Y182" s="12"/>
      <c r="Z182" s="8"/>
      <c r="AA182" s="8"/>
      <c r="AB182" s="8"/>
      <c r="AC182" s="8"/>
      <c r="AD182" s="8"/>
      <c r="AE182" s="9"/>
      <c r="AF182" s="8"/>
      <c r="AG182" s="8"/>
      <c r="AH182" s="72"/>
      <c r="AI182" s="13"/>
      <c r="AJ182" s="13"/>
      <c r="AK182" s="13"/>
      <c r="AL182" s="13"/>
      <c r="AM182" s="9"/>
      <c r="AN182" s="9"/>
      <c r="AO182" s="9"/>
      <c r="AP182" s="9"/>
      <c r="AQ182" s="9"/>
      <c r="AR182" s="9"/>
      <c r="AS182" s="9"/>
      <c r="AT182" s="9"/>
      <c r="AU182" s="9"/>
      <c r="AV182" s="9"/>
      <c r="AW182" s="9"/>
      <c r="AX182" s="9"/>
      <c r="AY182" s="9"/>
      <c r="AZ182" s="9"/>
      <c r="BA182" s="9"/>
      <c r="BB182" s="9"/>
    </row>
    <row r="183" spans="1:54" x14ac:dyDescent="0.4">
      <c r="A183" s="59">
        <f t="shared" si="5"/>
        <v>0</v>
      </c>
      <c r="B183" s="9"/>
      <c r="C183" s="9"/>
      <c r="D183" s="9"/>
      <c r="E183" s="10"/>
      <c r="F183" s="9"/>
      <c r="I183" s="10"/>
      <c r="J183" s="10"/>
      <c r="K183" s="10"/>
      <c r="L183" s="10"/>
      <c r="M183" s="10"/>
      <c r="N183" s="11"/>
      <c r="O183" s="11"/>
      <c r="P183" s="11"/>
      <c r="Q183" s="11"/>
      <c r="R183" s="12"/>
      <c r="S183" s="11"/>
      <c r="T183" s="11"/>
      <c r="U183" s="11"/>
      <c r="V183" s="11"/>
      <c r="W183" s="11"/>
      <c r="X183" s="11"/>
      <c r="Y183" s="12"/>
      <c r="Z183" s="8"/>
      <c r="AA183" s="8"/>
      <c r="AB183" s="8"/>
      <c r="AC183" s="8"/>
      <c r="AD183" s="8"/>
      <c r="AE183" s="9"/>
      <c r="AF183" s="8"/>
      <c r="AG183" s="8"/>
      <c r="AH183" s="72"/>
      <c r="AI183" s="13"/>
      <c r="AJ183" s="13"/>
      <c r="AK183" s="13"/>
      <c r="AL183" s="13"/>
      <c r="AM183" s="9"/>
      <c r="AN183" s="9"/>
      <c r="AO183" s="9"/>
      <c r="AP183" s="9"/>
      <c r="AQ183" s="9"/>
      <c r="AR183" s="9"/>
      <c r="AS183" s="9"/>
      <c r="AT183" s="9"/>
      <c r="AU183" s="9"/>
      <c r="AV183" s="9"/>
      <c r="AW183" s="9"/>
      <c r="AX183" s="9"/>
      <c r="AY183" s="9"/>
      <c r="AZ183" s="9"/>
      <c r="BA183" s="9"/>
      <c r="BB183" s="9"/>
    </row>
    <row r="184" spans="1:54" x14ac:dyDescent="0.4">
      <c r="A184" s="59">
        <f t="shared" si="5"/>
        <v>0</v>
      </c>
      <c r="B184" s="9"/>
      <c r="C184" s="9"/>
      <c r="D184" s="9"/>
      <c r="E184" s="10"/>
      <c r="F184" s="9"/>
      <c r="I184" s="10"/>
      <c r="J184" s="10"/>
      <c r="K184" s="10"/>
      <c r="L184" s="10"/>
      <c r="M184" s="10"/>
      <c r="N184" s="11"/>
      <c r="O184" s="11"/>
      <c r="P184" s="11"/>
      <c r="Q184" s="11"/>
      <c r="R184" s="12"/>
      <c r="S184" s="11"/>
      <c r="T184" s="11"/>
      <c r="U184" s="11"/>
      <c r="V184" s="11"/>
      <c r="W184" s="11"/>
      <c r="X184" s="11"/>
      <c r="Y184" s="12"/>
      <c r="Z184" s="8"/>
      <c r="AA184" s="8"/>
      <c r="AB184" s="8"/>
      <c r="AC184" s="8"/>
      <c r="AD184" s="8"/>
      <c r="AE184" s="9"/>
      <c r="AF184" s="8"/>
      <c r="AG184" s="8"/>
      <c r="AH184" s="72"/>
      <c r="AI184" s="13"/>
      <c r="AJ184" s="13"/>
      <c r="AK184" s="13"/>
      <c r="AL184" s="13"/>
      <c r="AM184" s="9"/>
      <c r="AN184" s="9"/>
      <c r="AO184" s="9"/>
      <c r="AP184" s="9"/>
      <c r="AQ184" s="9"/>
      <c r="AR184" s="9"/>
      <c r="AS184" s="9"/>
      <c r="AT184" s="9"/>
      <c r="AU184" s="9"/>
      <c r="AV184" s="9"/>
      <c r="AW184" s="9"/>
      <c r="AX184" s="9"/>
      <c r="AY184" s="9"/>
      <c r="AZ184" s="9"/>
      <c r="BA184" s="9"/>
      <c r="BB184" s="9"/>
    </row>
    <row r="185" spans="1:54" x14ac:dyDescent="0.4">
      <c r="A185" s="59">
        <f t="shared" si="5"/>
        <v>0</v>
      </c>
      <c r="B185" s="9"/>
      <c r="C185" s="9"/>
      <c r="D185" s="9"/>
      <c r="E185" s="10"/>
      <c r="F185" s="9"/>
      <c r="I185" s="10"/>
      <c r="J185" s="10"/>
      <c r="K185" s="10"/>
      <c r="L185" s="10"/>
      <c r="M185" s="10"/>
      <c r="N185" s="11"/>
      <c r="O185" s="11"/>
      <c r="P185" s="11"/>
      <c r="Q185" s="11"/>
      <c r="R185" s="12"/>
      <c r="S185" s="11"/>
      <c r="T185" s="11"/>
      <c r="U185" s="11"/>
      <c r="V185" s="11"/>
      <c r="W185" s="11"/>
      <c r="X185" s="11"/>
      <c r="Y185" s="12"/>
      <c r="Z185" s="8"/>
      <c r="AA185" s="8"/>
      <c r="AB185" s="8"/>
      <c r="AC185" s="8"/>
      <c r="AD185" s="8"/>
      <c r="AE185" s="9"/>
      <c r="AF185" s="8"/>
      <c r="AG185" s="8"/>
      <c r="AH185" s="72"/>
      <c r="AI185" s="13"/>
      <c r="AJ185" s="13"/>
      <c r="AK185" s="13"/>
      <c r="AL185" s="13"/>
      <c r="AM185" s="9"/>
      <c r="AN185" s="9"/>
      <c r="AO185" s="9"/>
      <c r="AP185" s="9"/>
      <c r="AQ185" s="9"/>
      <c r="AR185" s="9"/>
      <c r="AS185" s="9"/>
      <c r="AT185" s="9"/>
      <c r="AU185" s="9"/>
      <c r="AV185" s="9"/>
      <c r="AW185" s="9"/>
      <c r="AX185" s="9"/>
      <c r="AY185" s="9"/>
      <c r="AZ185" s="9"/>
      <c r="BA185" s="9"/>
      <c r="BB185" s="9"/>
    </row>
    <row r="188" spans="1:54" x14ac:dyDescent="0.4">
      <c r="R188" s="5"/>
    </row>
    <row r="189" spans="1:54" ht="16.3" customHeight="1" x14ac:dyDescent="0.4">
      <c r="R189" s="5"/>
    </row>
    <row r="197" spans="6:6" x14ac:dyDescent="0.4">
      <c r="F197" s="3"/>
    </row>
    <row r="198" spans="6:6" x14ac:dyDescent="0.4">
      <c r="F198" s="3"/>
    </row>
    <row r="199" spans="6:6" x14ac:dyDescent="0.4">
      <c r="F199" s="3"/>
    </row>
  </sheetData>
  <sheetProtection formatCells="0" formatColumns="0" formatRows="0" insertColumns="0" insertRows="0" insertHyperlinks="0" deleteColumns="0" deleteRows="0" sort="0" autoFilter="0" pivotTables="0"/>
  <autoFilter ref="A1:BC185" xr:uid="{B449FFF7-585F-4C17-B64D-58E484F07E86}"/>
  <phoneticPr fontId="1" type="noConversion"/>
  <conditionalFormatting sqref="A1:A1048576">
    <cfRule type="duplicateValues" dxfId="2" priority="1"/>
  </conditionalFormatting>
  <pageMargins left="0.7" right="0.7" top="0.75" bottom="0.75" header="0.3" footer="0.3"/>
  <pageSetup orientation="portrait" r:id="rId1"/>
  <ignoredErrors>
    <ignoredError sqref="AH7"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B9B7F7B3-E003-4A0E-8A6C-3BEBA8635C4D}">
          <x14:formula1>
            <xm:f>Meta!$A$2:$A$40</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295D-958B-4B97-8AF7-DD1EAFF8B74D}">
  <sheetPr codeName="Sheet3"/>
  <dimension ref="A1:Z772"/>
  <sheetViews>
    <sheetView zoomScaleNormal="100" workbookViewId="0">
      <pane xSplit="3" ySplit="2" topLeftCell="D3" activePane="bottomRight" state="frozen"/>
      <selection pane="topRight" activeCell="D1" sqref="D1"/>
      <selection pane="bottomLeft" activeCell="A3" sqref="A3"/>
      <selection pane="bottomRight" activeCell="V33" sqref="V33"/>
    </sheetView>
  </sheetViews>
  <sheetFormatPr defaultRowHeight="14.6" x14ac:dyDescent="0.4"/>
  <cols>
    <col min="1" max="1" width="17.84375" bestFit="1" customWidth="1"/>
    <col min="2" max="4" width="13.84375" customWidth="1"/>
    <col min="5" max="5" width="12.84375" customWidth="1"/>
    <col min="6" max="9" width="9.15234375" style="50"/>
    <col min="10" max="10" width="11.15234375" style="53" customWidth="1"/>
    <col min="11" max="11" width="12.84375" style="52" customWidth="1"/>
    <col min="12" max="15" width="9.15234375" style="50"/>
    <col min="16" max="16" width="18" style="53" bestFit="1" customWidth="1"/>
    <col min="17" max="20" width="9.15234375" style="50"/>
    <col min="21" max="21" width="9.15234375" style="52"/>
    <col min="22" max="25" width="9.15234375" style="50"/>
    <col min="26" max="26" width="13.3046875" customWidth="1"/>
  </cols>
  <sheetData>
    <row r="1" spans="1:26" x14ac:dyDescent="0.4">
      <c r="A1" s="63"/>
      <c r="B1" s="63"/>
      <c r="C1" s="63"/>
      <c r="D1" s="63"/>
      <c r="E1" s="32" t="s">
        <v>613</v>
      </c>
      <c r="F1" s="34"/>
      <c r="G1" s="34"/>
      <c r="H1" s="34"/>
      <c r="I1" s="34"/>
      <c r="J1" s="35"/>
      <c r="K1" s="36"/>
      <c r="L1" s="37"/>
      <c r="M1" s="37"/>
      <c r="N1" s="37"/>
      <c r="O1" s="37"/>
      <c r="P1" s="38" t="s">
        <v>614</v>
      </c>
      <c r="Q1" s="39"/>
      <c r="R1" s="39"/>
      <c r="S1" s="39"/>
      <c r="T1" s="39"/>
      <c r="U1" s="40"/>
      <c r="V1" s="41"/>
      <c r="W1" s="41"/>
      <c r="X1" s="41"/>
      <c r="Y1" s="41"/>
      <c r="Z1" s="61"/>
    </row>
    <row r="2" spans="1:26" s="31" customFormat="1" ht="42" customHeight="1" x14ac:dyDescent="0.4">
      <c r="A2" s="64" t="s">
        <v>615</v>
      </c>
      <c r="B2" s="64" t="s">
        <v>5</v>
      </c>
      <c r="C2" s="64" t="s">
        <v>6</v>
      </c>
      <c r="D2" s="64" t="s">
        <v>7</v>
      </c>
      <c r="E2" s="33" t="s">
        <v>616</v>
      </c>
      <c r="F2" s="42" t="s">
        <v>617</v>
      </c>
      <c r="G2" s="42" t="s">
        <v>618</v>
      </c>
      <c r="H2" s="42" t="s">
        <v>619</v>
      </c>
      <c r="I2" s="42" t="s">
        <v>620</v>
      </c>
      <c r="J2" s="43" t="s">
        <v>621</v>
      </c>
      <c r="K2" s="44" t="s">
        <v>622</v>
      </c>
      <c r="L2" s="45" t="s">
        <v>623</v>
      </c>
      <c r="M2" s="45" t="s">
        <v>624</v>
      </c>
      <c r="N2" s="45" t="s">
        <v>625</v>
      </c>
      <c r="O2" s="45" t="s">
        <v>626</v>
      </c>
      <c r="P2" s="46" t="s">
        <v>616</v>
      </c>
      <c r="Q2" s="47" t="s">
        <v>617</v>
      </c>
      <c r="R2" s="47" t="s">
        <v>618</v>
      </c>
      <c r="S2" s="47" t="s">
        <v>619</v>
      </c>
      <c r="T2" s="47" t="s">
        <v>620</v>
      </c>
      <c r="U2" s="48" t="s">
        <v>622</v>
      </c>
      <c r="V2" s="49" t="s">
        <v>623</v>
      </c>
      <c r="W2" s="49" t="s">
        <v>624</v>
      </c>
      <c r="X2" s="49" t="s">
        <v>625</v>
      </c>
      <c r="Y2" s="49" t="s">
        <v>626</v>
      </c>
      <c r="Z2" s="62" t="s">
        <v>627</v>
      </c>
    </row>
    <row r="3" spans="1:26" x14ac:dyDescent="0.4">
      <c r="A3" t="e">
        <f>'Product info'!#REF!</f>
        <v>#REF!</v>
      </c>
      <c r="B3" t="e">
        <f>'Product info'!#REF!</f>
        <v>#REF!</v>
      </c>
      <c r="C3" s="6" t="e">
        <f>'Product info'!#REF!</f>
        <v>#REF!</v>
      </c>
      <c r="D3" s="6" t="e">
        <f>'Product info'!#REF!</f>
        <v>#REF!</v>
      </c>
      <c r="E3" t="e">
        <f>F3&amp;"*"&amp;G3&amp;"*"&amp;H3</f>
        <v>#REF!</v>
      </c>
      <c r="F3" s="50" t="e">
        <f>'Product info'!#REF!</f>
        <v>#REF!</v>
      </c>
      <c r="G3" s="50" t="e">
        <f>'Product info'!#REF!</f>
        <v>#REF!</v>
      </c>
      <c r="H3" s="50" t="e">
        <f>'Product info'!#REF!</f>
        <v>#REF!</v>
      </c>
      <c r="I3" s="50" t="e">
        <f>'Product info'!#REF!</f>
        <v>#REF!</v>
      </c>
      <c r="J3" s="51" t="e">
        <f>'Product info'!#REF!</f>
        <v>#REF!</v>
      </c>
      <c r="K3" s="52" t="e">
        <f>F3*G3*H3/(100*100*100)</f>
        <v>#REF!</v>
      </c>
      <c r="L3" s="50" t="e">
        <f>F3*0.393701</f>
        <v>#REF!</v>
      </c>
      <c r="M3" s="50" t="e">
        <f t="shared" ref="M3:N3" si="0">G3*0.393701</f>
        <v>#REF!</v>
      </c>
      <c r="N3" s="50" t="e">
        <f t="shared" si="0"/>
        <v>#REF!</v>
      </c>
      <c r="O3" s="50" t="e">
        <f>I3*2.20462</f>
        <v>#REF!</v>
      </c>
      <c r="P3" s="53" t="e">
        <f>Q3&amp;"*"&amp;R3&amp;"*"&amp;S3</f>
        <v>#REF!</v>
      </c>
      <c r="Q3" s="54" t="e">
        <f>'Product info'!#REF!</f>
        <v>#REF!</v>
      </c>
      <c r="R3" s="54" t="e">
        <f>'Product info'!#REF!</f>
        <v>#REF!</v>
      </c>
      <c r="S3" s="54" t="e">
        <f>'Product info'!#REF!</f>
        <v>#REF!</v>
      </c>
      <c r="T3" s="50" t="e">
        <f>'Product info'!#REF!</f>
        <v>#REF!</v>
      </c>
      <c r="U3" s="52" t="e">
        <f>Q3*R3*S3/(100*100*100)</f>
        <v>#REF!</v>
      </c>
      <c r="V3" s="50" t="e">
        <f>Q3*0.393701</f>
        <v>#REF!</v>
      </c>
      <c r="W3" s="50" t="e">
        <f t="shared" ref="W3:X3" si="1">R3*0.393701</f>
        <v>#REF!</v>
      </c>
      <c r="X3" s="50" t="e">
        <f t="shared" si="1"/>
        <v>#REF!</v>
      </c>
      <c r="Y3" s="50" t="e">
        <f>T3*2.20462</f>
        <v>#REF!</v>
      </c>
      <c r="Z3" t="e">
        <f>K3/J3</f>
        <v>#REF!</v>
      </c>
    </row>
    <row r="4" spans="1:26" x14ac:dyDescent="0.4">
      <c r="A4" t="e">
        <f>'Product info'!#REF!</f>
        <v>#REF!</v>
      </c>
      <c r="B4" t="e">
        <f>'Product info'!#REF!</f>
        <v>#REF!</v>
      </c>
      <c r="C4" t="e">
        <f>'Product info'!#REF!</f>
        <v>#REF!</v>
      </c>
      <c r="D4" s="6" t="e">
        <f>'Product info'!#REF!</f>
        <v>#REF!</v>
      </c>
      <c r="E4" t="e">
        <f t="shared" ref="E4:E67" si="2">F4&amp;"*"&amp;G4&amp;"*"&amp;H4</f>
        <v>#REF!</v>
      </c>
      <c r="F4" s="50" t="e">
        <f>'Product info'!#REF!</f>
        <v>#REF!</v>
      </c>
      <c r="G4" s="50" t="e">
        <f>'Product info'!#REF!</f>
        <v>#REF!</v>
      </c>
      <c r="H4" s="50" t="e">
        <f>'Product info'!#REF!</f>
        <v>#REF!</v>
      </c>
      <c r="I4" s="50" t="e">
        <f>'Product info'!#REF!</f>
        <v>#REF!</v>
      </c>
      <c r="J4" s="51" t="e">
        <f>'Product info'!#REF!</f>
        <v>#REF!</v>
      </c>
      <c r="K4" s="52" t="e">
        <f t="shared" ref="K4:K67" si="3">F4*G4*H4/(100*100*100)</f>
        <v>#REF!</v>
      </c>
      <c r="L4" s="50" t="e">
        <f t="shared" ref="L4:L67" si="4">F4*0.393701</f>
        <v>#REF!</v>
      </c>
      <c r="M4" s="50" t="e">
        <f t="shared" ref="M4:M67" si="5">G4*0.393701</f>
        <v>#REF!</v>
      </c>
      <c r="N4" s="50" t="e">
        <f t="shared" ref="N4:N67" si="6">H4*0.393701</f>
        <v>#REF!</v>
      </c>
      <c r="O4" s="50" t="e">
        <f t="shared" ref="O4:O67" si="7">I4*2.20462</f>
        <v>#REF!</v>
      </c>
      <c r="P4" s="53" t="e">
        <f t="shared" ref="P4:P67" si="8">Q4&amp;"*"&amp;R4&amp;"*"&amp;S4</f>
        <v>#REF!</v>
      </c>
      <c r="Q4" s="54" t="e">
        <f>'Product info'!#REF!</f>
        <v>#REF!</v>
      </c>
      <c r="R4" s="54" t="e">
        <f>'Product info'!#REF!</f>
        <v>#REF!</v>
      </c>
      <c r="S4" s="54" t="e">
        <f>'Product info'!#REF!</f>
        <v>#REF!</v>
      </c>
      <c r="T4" s="50" t="e">
        <f>'Product info'!#REF!</f>
        <v>#REF!</v>
      </c>
      <c r="U4" s="52" t="e">
        <f t="shared" ref="U4:U67" si="9">Q4*R4*S4/(100*100*100)</f>
        <v>#REF!</v>
      </c>
      <c r="V4" s="50" t="e">
        <f t="shared" ref="V4:V67" si="10">Q4*0.393701</f>
        <v>#REF!</v>
      </c>
      <c r="W4" s="50" t="e">
        <f t="shared" ref="W4:W67" si="11">R4*0.393701</f>
        <v>#REF!</v>
      </c>
      <c r="X4" s="50" t="e">
        <f t="shared" ref="X4:X67" si="12">S4*0.393701</f>
        <v>#REF!</v>
      </c>
      <c r="Y4" s="50" t="e">
        <f t="shared" ref="Y4:Y67" si="13">T4*2.20462</f>
        <v>#REF!</v>
      </c>
      <c r="Z4" t="e">
        <f t="shared" ref="Z4:Z67" si="14">K4/J4</f>
        <v>#REF!</v>
      </c>
    </row>
    <row r="5" spans="1:26" x14ac:dyDescent="0.4">
      <c r="A5" t="e">
        <f>'Product info'!#REF!</f>
        <v>#REF!</v>
      </c>
      <c r="B5" t="e">
        <f>'Product info'!#REF!</f>
        <v>#REF!</v>
      </c>
      <c r="C5" t="e">
        <f>'Product info'!#REF!</f>
        <v>#REF!</v>
      </c>
      <c r="D5" s="6" t="e">
        <f>'Product info'!#REF!</f>
        <v>#REF!</v>
      </c>
      <c r="E5" t="e">
        <f t="shared" si="2"/>
        <v>#REF!</v>
      </c>
      <c r="F5" s="50" t="e">
        <f>'Product info'!#REF!</f>
        <v>#REF!</v>
      </c>
      <c r="G5" s="50" t="e">
        <f>'Product info'!#REF!</f>
        <v>#REF!</v>
      </c>
      <c r="H5" s="50" t="e">
        <f>'Product info'!#REF!</f>
        <v>#REF!</v>
      </c>
      <c r="I5" s="50" t="e">
        <f>'Product info'!#REF!</f>
        <v>#REF!</v>
      </c>
      <c r="J5" s="51" t="e">
        <f>'Product info'!#REF!</f>
        <v>#REF!</v>
      </c>
      <c r="K5" s="52" t="e">
        <f t="shared" si="3"/>
        <v>#REF!</v>
      </c>
      <c r="L5" s="50" t="e">
        <f t="shared" si="4"/>
        <v>#REF!</v>
      </c>
      <c r="M5" s="50" t="e">
        <f t="shared" si="5"/>
        <v>#REF!</v>
      </c>
      <c r="N5" s="50" t="e">
        <f t="shared" si="6"/>
        <v>#REF!</v>
      </c>
      <c r="O5" s="50" t="e">
        <f t="shared" si="7"/>
        <v>#REF!</v>
      </c>
      <c r="P5" s="53" t="e">
        <f t="shared" si="8"/>
        <v>#REF!</v>
      </c>
      <c r="Q5" s="54" t="e">
        <f>'Product info'!#REF!</f>
        <v>#REF!</v>
      </c>
      <c r="R5" s="54" t="e">
        <f>'Product info'!#REF!</f>
        <v>#REF!</v>
      </c>
      <c r="S5" s="54" t="e">
        <f>'Product info'!#REF!</f>
        <v>#REF!</v>
      </c>
      <c r="T5" s="50" t="e">
        <f>'Product info'!#REF!</f>
        <v>#REF!</v>
      </c>
      <c r="U5" s="52" t="e">
        <f t="shared" si="9"/>
        <v>#REF!</v>
      </c>
      <c r="V5" s="50" t="e">
        <f t="shared" si="10"/>
        <v>#REF!</v>
      </c>
      <c r="W5" s="50" t="e">
        <f t="shared" si="11"/>
        <v>#REF!</v>
      </c>
      <c r="X5" s="50" t="e">
        <f t="shared" si="12"/>
        <v>#REF!</v>
      </c>
      <c r="Y5" s="50" t="e">
        <f t="shared" si="13"/>
        <v>#REF!</v>
      </c>
      <c r="Z5" t="e">
        <f t="shared" si="14"/>
        <v>#REF!</v>
      </c>
    </row>
    <row r="6" spans="1:26" x14ac:dyDescent="0.4">
      <c r="A6" t="e">
        <f>'Product info'!#REF!</f>
        <v>#REF!</v>
      </c>
      <c r="B6" t="e">
        <f>'Product info'!#REF!</f>
        <v>#REF!</v>
      </c>
      <c r="C6" t="e">
        <f>'Product info'!#REF!</f>
        <v>#REF!</v>
      </c>
      <c r="D6" s="6" t="e">
        <f>'Product info'!#REF!</f>
        <v>#REF!</v>
      </c>
      <c r="E6" t="e">
        <f t="shared" si="2"/>
        <v>#REF!</v>
      </c>
      <c r="F6" s="50" t="e">
        <f>'Product info'!#REF!</f>
        <v>#REF!</v>
      </c>
      <c r="G6" s="50" t="e">
        <f>'Product info'!#REF!</f>
        <v>#REF!</v>
      </c>
      <c r="H6" s="50" t="e">
        <f>'Product info'!#REF!</f>
        <v>#REF!</v>
      </c>
      <c r="I6" s="50" t="e">
        <f>'Product info'!#REF!</f>
        <v>#REF!</v>
      </c>
      <c r="J6" s="51" t="e">
        <f>'Product info'!#REF!</f>
        <v>#REF!</v>
      </c>
      <c r="K6" s="52" t="e">
        <f t="shared" si="3"/>
        <v>#REF!</v>
      </c>
      <c r="L6" s="50" t="e">
        <f t="shared" si="4"/>
        <v>#REF!</v>
      </c>
      <c r="M6" s="50" t="e">
        <f t="shared" si="5"/>
        <v>#REF!</v>
      </c>
      <c r="N6" s="50" t="e">
        <f t="shared" si="6"/>
        <v>#REF!</v>
      </c>
      <c r="O6" s="50" t="e">
        <f t="shared" si="7"/>
        <v>#REF!</v>
      </c>
      <c r="P6" s="53" t="e">
        <f t="shared" si="8"/>
        <v>#REF!</v>
      </c>
      <c r="Q6" s="54" t="e">
        <f>'Product info'!#REF!</f>
        <v>#REF!</v>
      </c>
      <c r="R6" s="54" t="e">
        <f>'Product info'!#REF!</f>
        <v>#REF!</v>
      </c>
      <c r="S6" s="54" t="e">
        <f>'Product info'!#REF!</f>
        <v>#REF!</v>
      </c>
      <c r="T6" s="50" t="e">
        <f>'Product info'!#REF!</f>
        <v>#REF!</v>
      </c>
      <c r="U6" s="52" t="e">
        <f t="shared" si="9"/>
        <v>#REF!</v>
      </c>
      <c r="V6" s="50" t="e">
        <f t="shared" si="10"/>
        <v>#REF!</v>
      </c>
      <c r="W6" s="50" t="e">
        <f t="shared" si="11"/>
        <v>#REF!</v>
      </c>
      <c r="X6" s="50" t="e">
        <f t="shared" si="12"/>
        <v>#REF!</v>
      </c>
      <c r="Y6" s="50" t="e">
        <f t="shared" si="13"/>
        <v>#REF!</v>
      </c>
      <c r="Z6" t="e">
        <f t="shared" si="14"/>
        <v>#REF!</v>
      </c>
    </row>
    <row r="7" spans="1:26" x14ac:dyDescent="0.4">
      <c r="A7" t="e">
        <f>'Product info'!#REF!</f>
        <v>#REF!</v>
      </c>
      <c r="B7" t="e">
        <f>'Product info'!#REF!</f>
        <v>#REF!</v>
      </c>
      <c r="C7" t="e">
        <f>'Product info'!#REF!</f>
        <v>#REF!</v>
      </c>
      <c r="D7" s="6" t="e">
        <f>'Product info'!#REF!</f>
        <v>#REF!</v>
      </c>
      <c r="E7" t="e">
        <f t="shared" si="2"/>
        <v>#REF!</v>
      </c>
      <c r="F7" s="50" t="e">
        <f>'Product info'!#REF!</f>
        <v>#REF!</v>
      </c>
      <c r="G7" s="50" t="e">
        <f>'Product info'!#REF!</f>
        <v>#REF!</v>
      </c>
      <c r="H7" s="50" t="e">
        <f>'Product info'!#REF!</f>
        <v>#REF!</v>
      </c>
      <c r="I7" s="50" t="e">
        <f>'Product info'!#REF!</f>
        <v>#REF!</v>
      </c>
      <c r="J7" s="51" t="e">
        <f>'Product info'!#REF!</f>
        <v>#REF!</v>
      </c>
      <c r="K7" s="52" t="e">
        <f t="shared" si="3"/>
        <v>#REF!</v>
      </c>
      <c r="L7" s="50" t="e">
        <f t="shared" si="4"/>
        <v>#REF!</v>
      </c>
      <c r="M7" s="50" t="e">
        <f t="shared" si="5"/>
        <v>#REF!</v>
      </c>
      <c r="N7" s="50" t="e">
        <f t="shared" si="6"/>
        <v>#REF!</v>
      </c>
      <c r="O7" s="50" t="e">
        <f t="shared" si="7"/>
        <v>#REF!</v>
      </c>
      <c r="P7" s="53" t="e">
        <f t="shared" si="8"/>
        <v>#REF!</v>
      </c>
      <c r="Q7" s="54" t="e">
        <f>'Product info'!#REF!</f>
        <v>#REF!</v>
      </c>
      <c r="R7" s="54" t="e">
        <f>'Product info'!#REF!</f>
        <v>#REF!</v>
      </c>
      <c r="S7" s="54" t="e">
        <f>'Product info'!#REF!</f>
        <v>#REF!</v>
      </c>
      <c r="T7" s="50" t="e">
        <f>'Product info'!#REF!</f>
        <v>#REF!</v>
      </c>
      <c r="U7" s="52" t="e">
        <f t="shared" si="9"/>
        <v>#REF!</v>
      </c>
      <c r="V7" s="50" t="e">
        <f t="shared" si="10"/>
        <v>#REF!</v>
      </c>
      <c r="W7" s="50" t="e">
        <f t="shared" si="11"/>
        <v>#REF!</v>
      </c>
      <c r="X7" s="50" t="e">
        <f t="shared" si="12"/>
        <v>#REF!</v>
      </c>
      <c r="Y7" s="50" t="e">
        <f t="shared" si="13"/>
        <v>#REF!</v>
      </c>
      <c r="Z7" t="e">
        <f t="shared" si="14"/>
        <v>#REF!</v>
      </c>
    </row>
    <row r="8" spans="1:26" x14ac:dyDescent="0.4">
      <c r="A8" t="e">
        <f>'Product info'!#REF!</f>
        <v>#REF!</v>
      </c>
      <c r="B8" t="e">
        <f>'Product info'!#REF!</f>
        <v>#REF!</v>
      </c>
      <c r="C8" t="e">
        <f>'Product info'!#REF!</f>
        <v>#REF!</v>
      </c>
      <c r="D8" s="6" t="e">
        <f>'Product info'!#REF!</f>
        <v>#REF!</v>
      </c>
      <c r="E8" t="e">
        <f t="shared" si="2"/>
        <v>#REF!</v>
      </c>
      <c r="F8" s="50" t="e">
        <f>'Product info'!#REF!</f>
        <v>#REF!</v>
      </c>
      <c r="G8" s="50" t="e">
        <f>'Product info'!#REF!</f>
        <v>#REF!</v>
      </c>
      <c r="H8" s="50" t="e">
        <f>'Product info'!#REF!</f>
        <v>#REF!</v>
      </c>
      <c r="I8" s="50" t="e">
        <f>'Product info'!#REF!</f>
        <v>#REF!</v>
      </c>
      <c r="J8" s="51" t="e">
        <f>'Product info'!#REF!</f>
        <v>#REF!</v>
      </c>
      <c r="K8" s="52" t="e">
        <f t="shared" si="3"/>
        <v>#REF!</v>
      </c>
      <c r="L8" s="50" t="e">
        <f t="shared" si="4"/>
        <v>#REF!</v>
      </c>
      <c r="M8" s="50" t="e">
        <f t="shared" si="5"/>
        <v>#REF!</v>
      </c>
      <c r="N8" s="50" t="e">
        <f t="shared" si="6"/>
        <v>#REF!</v>
      </c>
      <c r="O8" s="50" t="e">
        <f t="shared" si="7"/>
        <v>#REF!</v>
      </c>
      <c r="P8" s="53" t="e">
        <f t="shared" si="8"/>
        <v>#REF!</v>
      </c>
      <c r="Q8" s="54" t="e">
        <f>'Product info'!#REF!</f>
        <v>#REF!</v>
      </c>
      <c r="R8" s="54" t="e">
        <f>'Product info'!#REF!</f>
        <v>#REF!</v>
      </c>
      <c r="S8" s="54" t="e">
        <f>'Product info'!#REF!</f>
        <v>#REF!</v>
      </c>
      <c r="T8" s="50" t="e">
        <f>'Product info'!#REF!</f>
        <v>#REF!</v>
      </c>
      <c r="U8" s="52" t="e">
        <f t="shared" si="9"/>
        <v>#REF!</v>
      </c>
      <c r="V8" s="50" t="e">
        <f t="shared" si="10"/>
        <v>#REF!</v>
      </c>
      <c r="W8" s="50" t="e">
        <f t="shared" si="11"/>
        <v>#REF!</v>
      </c>
      <c r="X8" s="50" t="e">
        <f t="shared" si="12"/>
        <v>#REF!</v>
      </c>
      <c r="Y8" s="50" t="e">
        <f t="shared" si="13"/>
        <v>#REF!</v>
      </c>
      <c r="Z8" t="e">
        <f t="shared" si="14"/>
        <v>#REF!</v>
      </c>
    </row>
    <row r="9" spans="1:26" x14ac:dyDescent="0.4">
      <c r="A9" t="e">
        <f>'Product info'!#REF!</f>
        <v>#REF!</v>
      </c>
      <c r="B9" t="e">
        <f>'Product info'!#REF!</f>
        <v>#REF!</v>
      </c>
      <c r="C9" t="e">
        <f>'Product info'!#REF!</f>
        <v>#REF!</v>
      </c>
      <c r="D9" s="6" t="e">
        <f>'Product info'!#REF!</f>
        <v>#REF!</v>
      </c>
      <c r="E9" t="e">
        <f t="shared" si="2"/>
        <v>#REF!</v>
      </c>
      <c r="F9" s="50" t="e">
        <f>'Product info'!#REF!</f>
        <v>#REF!</v>
      </c>
      <c r="G9" s="50" t="e">
        <f>'Product info'!#REF!</f>
        <v>#REF!</v>
      </c>
      <c r="H9" s="50" t="e">
        <f>'Product info'!#REF!</f>
        <v>#REF!</v>
      </c>
      <c r="I9" s="50" t="e">
        <f>'Product info'!#REF!</f>
        <v>#REF!</v>
      </c>
      <c r="J9" s="51" t="e">
        <f>'Product info'!#REF!</f>
        <v>#REF!</v>
      </c>
      <c r="K9" s="52" t="e">
        <f t="shared" si="3"/>
        <v>#REF!</v>
      </c>
      <c r="L9" s="50" t="e">
        <f t="shared" si="4"/>
        <v>#REF!</v>
      </c>
      <c r="M9" s="50" t="e">
        <f t="shared" si="5"/>
        <v>#REF!</v>
      </c>
      <c r="N9" s="50" t="e">
        <f t="shared" si="6"/>
        <v>#REF!</v>
      </c>
      <c r="O9" s="50" t="e">
        <f t="shared" si="7"/>
        <v>#REF!</v>
      </c>
      <c r="P9" s="53" t="e">
        <f t="shared" si="8"/>
        <v>#REF!</v>
      </c>
      <c r="Q9" s="54" t="e">
        <f>'Product info'!#REF!</f>
        <v>#REF!</v>
      </c>
      <c r="R9" s="54" t="e">
        <f>'Product info'!#REF!</f>
        <v>#REF!</v>
      </c>
      <c r="S9" s="54" t="e">
        <f>'Product info'!#REF!</f>
        <v>#REF!</v>
      </c>
      <c r="T9" s="50" t="e">
        <f>'Product info'!#REF!</f>
        <v>#REF!</v>
      </c>
      <c r="U9" s="52" t="e">
        <f t="shared" si="9"/>
        <v>#REF!</v>
      </c>
      <c r="V9" s="50" t="e">
        <f t="shared" si="10"/>
        <v>#REF!</v>
      </c>
      <c r="W9" s="50" t="e">
        <f t="shared" si="11"/>
        <v>#REF!</v>
      </c>
      <c r="X9" s="50" t="e">
        <f t="shared" si="12"/>
        <v>#REF!</v>
      </c>
      <c r="Y9" s="50" t="e">
        <f t="shared" si="13"/>
        <v>#REF!</v>
      </c>
      <c r="Z9" t="e">
        <f t="shared" si="14"/>
        <v>#REF!</v>
      </c>
    </row>
    <row r="10" spans="1:26" x14ac:dyDescent="0.4">
      <c r="A10" t="e">
        <f>'Product info'!#REF!</f>
        <v>#REF!</v>
      </c>
      <c r="B10" t="e">
        <f>'Product info'!#REF!</f>
        <v>#REF!</v>
      </c>
      <c r="C10" t="e">
        <f>'Product info'!#REF!</f>
        <v>#REF!</v>
      </c>
      <c r="D10" s="6" t="e">
        <f>'Product info'!#REF!</f>
        <v>#REF!</v>
      </c>
      <c r="E10" t="e">
        <f t="shared" si="2"/>
        <v>#REF!</v>
      </c>
      <c r="F10" s="50" t="e">
        <f>'Product info'!#REF!</f>
        <v>#REF!</v>
      </c>
      <c r="G10" s="50" t="e">
        <f>'Product info'!#REF!</f>
        <v>#REF!</v>
      </c>
      <c r="H10" s="50" t="e">
        <f>'Product info'!#REF!</f>
        <v>#REF!</v>
      </c>
      <c r="I10" s="50" t="e">
        <f>'Product info'!#REF!</f>
        <v>#REF!</v>
      </c>
      <c r="J10" s="51" t="e">
        <f>'Product info'!#REF!</f>
        <v>#REF!</v>
      </c>
      <c r="K10" s="52" t="e">
        <f t="shared" si="3"/>
        <v>#REF!</v>
      </c>
      <c r="L10" s="50" t="e">
        <f t="shared" si="4"/>
        <v>#REF!</v>
      </c>
      <c r="M10" s="50" t="e">
        <f t="shared" si="5"/>
        <v>#REF!</v>
      </c>
      <c r="N10" s="50" t="e">
        <f t="shared" si="6"/>
        <v>#REF!</v>
      </c>
      <c r="O10" s="50" t="e">
        <f t="shared" si="7"/>
        <v>#REF!</v>
      </c>
      <c r="P10" s="53" t="e">
        <f t="shared" si="8"/>
        <v>#REF!</v>
      </c>
      <c r="Q10" s="54" t="e">
        <f>'Product info'!#REF!</f>
        <v>#REF!</v>
      </c>
      <c r="R10" s="54" t="e">
        <f>'Product info'!#REF!</f>
        <v>#REF!</v>
      </c>
      <c r="S10" s="54" t="e">
        <f>'Product info'!#REF!</f>
        <v>#REF!</v>
      </c>
      <c r="T10" s="50" t="e">
        <f>'Product info'!#REF!</f>
        <v>#REF!</v>
      </c>
      <c r="U10" s="52" t="e">
        <f t="shared" si="9"/>
        <v>#REF!</v>
      </c>
      <c r="V10" s="50" t="e">
        <f t="shared" si="10"/>
        <v>#REF!</v>
      </c>
      <c r="W10" s="50" t="e">
        <f t="shared" si="11"/>
        <v>#REF!</v>
      </c>
      <c r="X10" s="50" t="e">
        <f t="shared" si="12"/>
        <v>#REF!</v>
      </c>
      <c r="Y10" s="50" t="e">
        <f t="shared" si="13"/>
        <v>#REF!</v>
      </c>
      <c r="Z10" t="e">
        <f t="shared" si="14"/>
        <v>#REF!</v>
      </c>
    </row>
    <row r="11" spans="1:26" x14ac:dyDescent="0.4">
      <c r="A11" t="e">
        <f>'Product info'!#REF!</f>
        <v>#REF!</v>
      </c>
      <c r="B11" t="e">
        <f>'Product info'!#REF!</f>
        <v>#REF!</v>
      </c>
      <c r="C11" t="e">
        <f>'Product info'!#REF!</f>
        <v>#REF!</v>
      </c>
      <c r="D11" s="6" t="e">
        <f>'Product info'!#REF!</f>
        <v>#REF!</v>
      </c>
      <c r="E11" t="e">
        <f t="shared" si="2"/>
        <v>#REF!</v>
      </c>
      <c r="F11" s="50" t="e">
        <f>'Product info'!#REF!</f>
        <v>#REF!</v>
      </c>
      <c r="G11" s="50" t="e">
        <f>'Product info'!#REF!</f>
        <v>#REF!</v>
      </c>
      <c r="H11" s="50" t="e">
        <f>'Product info'!#REF!</f>
        <v>#REF!</v>
      </c>
      <c r="I11" s="50" t="e">
        <f>'Product info'!#REF!</f>
        <v>#REF!</v>
      </c>
      <c r="J11" s="51" t="e">
        <f>'Product info'!#REF!</f>
        <v>#REF!</v>
      </c>
      <c r="K11" s="52" t="e">
        <f t="shared" si="3"/>
        <v>#REF!</v>
      </c>
      <c r="L11" s="50" t="e">
        <f t="shared" si="4"/>
        <v>#REF!</v>
      </c>
      <c r="M11" s="50" t="e">
        <f t="shared" si="5"/>
        <v>#REF!</v>
      </c>
      <c r="N11" s="50" t="e">
        <f t="shared" si="6"/>
        <v>#REF!</v>
      </c>
      <c r="O11" s="50" t="e">
        <f t="shared" si="7"/>
        <v>#REF!</v>
      </c>
      <c r="P11" s="53" t="e">
        <f t="shared" si="8"/>
        <v>#REF!</v>
      </c>
      <c r="Q11" s="54" t="e">
        <f>'Product info'!#REF!</f>
        <v>#REF!</v>
      </c>
      <c r="R11" s="54" t="e">
        <f>'Product info'!#REF!</f>
        <v>#REF!</v>
      </c>
      <c r="S11" s="54" t="e">
        <f>'Product info'!#REF!</f>
        <v>#REF!</v>
      </c>
      <c r="T11" s="50" t="e">
        <f>'Product info'!#REF!</f>
        <v>#REF!</v>
      </c>
      <c r="U11" s="52" t="e">
        <f t="shared" si="9"/>
        <v>#REF!</v>
      </c>
      <c r="V11" s="50" t="e">
        <f t="shared" si="10"/>
        <v>#REF!</v>
      </c>
      <c r="W11" s="50" t="e">
        <f t="shared" si="11"/>
        <v>#REF!</v>
      </c>
      <c r="X11" s="50" t="e">
        <f t="shared" si="12"/>
        <v>#REF!</v>
      </c>
      <c r="Y11" s="50" t="e">
        <f t="shared" si="13"/>
        <v>#REF!</v>
      </c>
      <c r="Z11" t="e">
        <f t="shared" si="14"/>
        <v>#REF!</v>
      </c>
    </row>
    <row r="12" spans="1:26" x14ac:dyDescent="0.4">
      <c r="A12" t="e">
        <f>'Product info'!#REF!</f>
        <v>#REF!</v>
      </c>
      <c r="B12" t="e">
        <f>'Product info'!#REF!</f>
        <v>#REF!</v>
      </c>
      <c r="C12" t="e">
        <f>'Product info'!#REF!</f>
        <v>#REF!</v>
      </c>
      <c r="D12" s="6" t="e">
        <f>'Product info'!#REF!</f>
        <v>#REF!</v>
      </c>
      <c r="E12" t="e">
        <f t="shared" si="2"/>
        <v>#REF!</v>
      </c>
      <c r="F12" s="50" t="e">
        <f>'Product info'!#REF!</f>
        <v>#REF!</v>
      </c>
      <c r="G12" s="50" t="e">
        <f>'Product info'!#REF!</f>
        <v>#REF!</v>
      </c>
      <c r="H12" s="50" t="e">
        <f>'Product info'!#REF!</f>
        <v>#REF!</v>
      </c>
      <c r="I12" s="50" t="e">
        <f>'Product info'!#REF!</f>
        <v>#REF!</v>
      </c>
      <c r="J12" s="51" t="e">
        <f>'Product info'!#REF!</f>
        <v>#REF!</v>
      </c>
      <c r="K12" s="52" t="e">
        <f t="shared" si="3"/>
        <v>#REF!</v>
      </c>
      <c r="L12" s="50" t="e">
        <f t="shared" si="4"/>
        <v>#REF!</v>
      </c>
      <c r="M12" s="50" t="e">
        <f t="shared" si="5"/>
        <v>#REF!</v>
      </c>
      <c r="N12" s="50" t="e">
        <f t="shared" si="6"/>
        <v>#REF!</v>
      </c>
      <c r="O12" s="50" t="e">
        <f t="shared" si="7"/>
        <v>#REF!</v>
      </c>
      <c r="P12" s="53" t="e">
        <f t="shared" si="8"/>
        <v>#REF!</v>
      </c>
      <c r="Q12" s="54" t="e">
        <f>'Product info'!#REF!</f>
        <v>#REF!</v>
      </c>
      <c r="R12" s="54" t="e">
        <f>'Product info'!#REF!</f>
        <v>#REF!</v>
      </c>
      <c r="S12" s="54" t="e">
        <f>'Product info'!#REF!</f>
        <v>#REF!</v>
      </c>
      <c r="T12" s="50" t="e">
        <f>'Product info'!#REF!</f>
        <v>#REF!</v>
      </c>
      <c r="U12" s="52" t="e">
        <f t="shared" si="9"/>
        <v>#REF!</v>
      </c>
      <c r="V12" s="50" t="e">
        <f t="shared" si="10"/>
        <v>#REF!</v>
      </c>
      <c r="W12" s="50" t="e">
        <f t="shared" si="11"/>
        <v>#REF!</v>
      </c>
      <c r="X12" s="50" t="e">
        <f t="shared" si="12"/>
        <v>#REF!</v>
      </c>
      <c r="Y12" s="50" t="e">
        <f t="shared" si="13"/>
        <v>#REF!</v>
      </c>
      <c r="Z12" t="e">
        <f t="shared" si="14"/>
        <v>#REF!</v>
      </c>
    </row>
    <row r="13" spans="1:26" x14ac:dyDescent="0.4">
      <c r="A13" t="e">
        <f>'Product info'!#REF!</f>
        <v>#REF!</v>
      </c>
      <c r="B13" t="e">
        <f>'Product info'!#REF!</f>
        <v>#REF!</v>
      </c>
      <c r="C13" t="e">
        <f>'Product info'!#REF!</f>
        <v>#REF!</v>
      </c>
      <c r="D13" s="6" t="e">
        <f>'Product info'!#REF!</f>
        <v>#REF!</v>
      </c>
      <c r="E13" t="e">
        <f t="shared" si="2"/>
        <v>#REF!</v>
      </c>
      <c r="F13" s="50" t="e">
        <f>'Product info'!#REF!</f>
        <v>#REF!</v>
      </c>
      <c r="G13" s="50" t="e">
        <f>'Product info'!#REF!</f>
        <v>#REF!</v>
      </c>
      <c r="H13" s="50" t="e">
        <f>'Product info'!#REF!</f>
        <v>#REF!</v>
      </c>
      <c r="I13" s="50" t="e">
        <f>'Product info'!#REF!</f>
        <v>#REF!</v>
      </c>
      <c r="J13" s="51" t="e">
        <f>'Product info'!#REF!</f>
        <v>#REF!</v>
      </c>
      <c r="K13" s="52" t="e">
        <f t="shared" si="3"/>
        <v>#REF!</v>
      </c>
      <c r="L13" s="50" t="e">
        <f t="shared" si="4"/>
        <v>#REF!</v>
      </c>
      <c r="M13" s="50" t="e">
        <f t="shared" si="5"/>
        <v>#REF!</v>
      </c>
      <c r="N13" s="50" t="e">
        <f t="shared" si="6"/>
        <v>#REF!</v>
      </c>
      <c r="O13" s="50" t="e">
        <f t="shared" si="7"/>
        <v>#REF!</v>
      </c>
      <c r="P13" s="53" t="e">
        <f t="shared" si="8"/>
        <v>#REF!</v>
      </c>
      <c r="Q13" s="54" t="e">
        <f>'Product info'!#REF!</f>
        <v>#REF!</v>
      </c>
      <c r="R13" s="54" t="e">
        <f>'Product info'!#REF!</f>
        <v>#REF!</v>
      </c>
      <c r="S13" s="54" t="e">
        <f>'Product info'!#REF!</f>
        <v>#REF!</v>
      </c>
      <c r="T13" s="50" t="e">
        <f>'Product info'!#REF!</f>
        <v>#REF!</v>
      </c>
      <c r="U13" s="52" t="e">
        <f t="shared" si="9"/>
        <v>#REF!</v>
      </c>
      <c r="V13" s="50" t="e">
        <f t="shared" si="10"/>
        <v>#REF!</v>
      </c>
      <c r="W13" s="50" t="e">
        <f t="shared" si="11"/>
        <v>#REF!</v>
      </c>
      <c r="X13" s="50" t="e">
        <f t="shared" si="12"/>
        <v>#REF!</v>
      </c>
      <c r="Y13" s="50" t="e">
        <f t="shared" si="13"/>
        <v>#REF!</v>
      </c>
      <c r="Z13" t="e">
        <f t="shared" si="14"/>
        <v>#REF!</v>
      </c>
    </row>
    <row r="14" spans="1:26" x14ac:dyDescent="0.4">
      <c r="A14" t="e">
        <f>'Product info'!#REF!</f>
        <v>#REF!</v>
      </c>
      <c r="B14" t="e">
        <f>'Product info'!#REF!</f>
        <v>#REF!</v>
      </c>
      <c r="C14" t="e">
        <f>'Product info'!#REF!</f>
        <v>#REF!</v>
      </c>
      <c r="D14" s="6" t="e">
        <f>'Product info'!#REF!</f>
        <v>#REF!</v>
      </c>
      <c r="E14" t="e">
        <f t="shared" si="2"/>
        <v>#REF!</v>
      </c>
      <c r="F14" s="50" t="e">
        <f>'Product info'!#REF!</f>
        <v>#REF!</v>
      </c>
      <c r="G14" s="50" t="e">
        <f>'Product info'!#REF!</f>
        <v>#REF!</v>
      </c>
      <c r="H14" s="50" t="e">
        <f>'Product info'!#REF!</f>
        <v>#REF!</v>
      </c>
      <c r="I14" s="50" t="e">
        <f>'Product info'!#REF!</f>
        <v>#REF!</v>
      </c>
      <c r="J14" s="51" t="e">
        <f>'Product info'!#REF!</f>
        <v>#REF!</v>
      </c>
      <c r="K14" s="52" t="e">
        <f t="shared" si="3"/>
        <v>#REF!</v>
      </c>
      <c r="L14" s="50" t="e">
        <f t="shared" si="4"/>
        <v>#REF!</v>
      </c>
      <c r="M14" s="50" t="e">
        <f t="shared" si="5"/>
        <v>#REF!</v>
      </c>
      <c r="N14" s="50" t="e">
        <f t="shared" si="6"/>
        <v>#REF!</v>
      </c>
      <c r="O14" s="50" t="e">
        <f t="shared" si="7"/>
        <v>#REF!</v>
      </c>
      <c r="P14" s="53" t="e">
        <f t="shared" si="8"/>
        <v>#REF!</v>
      </c>
      <c r="Q14" s="54" t="e">
        <f>'Product info'!#REF!</f>
        <v>#REF!</v>
      </c>
      <c r="R14" s="54" t="e">
        <f>'Product info'!#REF!</f>
        <v>#REF!</v>
      </c>
      <c r="S14" s="54" t="e">
        <f>'Product info'!#REF!</f>
        <v>#REF!</v>
      </c>
      <c r="T14" s="50" t="e">
        <f>'Product info'!#REF!</f>
        <v>#REF!</v>
      </c>
      <c r="U14" s="52" t="e">
        <f t="shared" si="9"/>
        <v>#REF!</v>
      </c>
      <c r="V14" s="50" t="e">
        <f t="shared" si="10"/>
        <v>#REF!</v>
      </c>
      <c r="W14" s="50" t="e">
        <f t="shared" si="11"/>
        <v>#REF!</v>
      </c>
      <c r="X14" s="50" t="e">
        <f t="shared" si="12"/>
        <v>#REF!</v>
      </c>
      <c r="Y14" s="50" t="e">
        <f t="shared" si="13"/>
        <v>#REF!</v>
      </c>
      <c r="Z14" t="e">
        <f t="shared" si="14"/>
        <v>#REF!</v>
      </c>
    </row>
    <row r="15" spans="1:26" x14ac:dyDescent="0.4">
      <c r="A15" t="e">
        <f>'Product info'!#REF!</f>
        <v>#REF!</v>
      </c>
      <c r="B15" t="e">
        <f>'Product info'!#REF!</f>
        <v>#REF!</v>
      </c>
      <c r="C15" t="e">
        <f>'Product info'!#REF!</f>
        <v>#REF!</v>
      </c>
      <c r="D15" s="6" t="e">
        <f>'Product info'!#REF!</f>
        <v>#REF!</v>
      </c>
      <c r="E15" t="e">
        <f t="shared" si="2"/>
        <v>#REF!</v>
      </c>
      <c r="F15" s="50" t="e">
        <f>'Product info'!#REF!</f>
        <v>#REF!</v>
      </c>
      <c r="G15" s="50" t="e">
        <f>'Product info'!#REF!</f>
        <v>#REF!</v>
      </c>
      <c r="H15" s="50" t="e">
        <f>'Product info'!#REF!</f>
        <v>#REF!</v>
      </c>
      <c r="I15" s="50" t="e">
        <f>'Product info'!#REF!</f>
        <v>#REF!</v>
      </c>
      <c r="J15" s="51" t="e">
        <f>'Product info'!#REF!</f>
        <v>#REF!</v>
      </c>
      <c r="K15" s="52" t="e">
        <f t="shared" si="3"/>
        <v>#REF!</v>
      </c>
      <c r="L15" s="50" t="e">
        <f t="shared" si="4"/>
        <v>#REF!</v>
      </c>
      <c r="M15" s="50" t="e">
        <f t="shared" si="5"/>
        <v>#REF!</v>
      </c>
      <c r="N15" s="50" t="e">
        <f t="shared" si="6"/>
        <v>#REF!</v>
      </c>
      <c r="O15" s="50" t="e">
        <f t="shared" si="7"/>
        <v>#REF!</v>
      </c>
      <c r="P15" s="53" t="e">
        <f t="shared" si="8"/>
        <v>#REF!</v>
      </c>
      <c r="Q15" s="54" t="e">
        <f>'Product info'!#REF!</f>
        <v>#REF!</v>
      </c>
      <c r="R15" s="54" t="e">
        <f>'Product info'!#REF!</f>
        <v>#REF!</v>
      </c>
      <c r="S15" s="54" t="e">
        <f>'Product info'!#REF!</f>
        <v>#REF!</v>
      </c>
      <c r="T15" s="50" t="e">
        <f>'Product info'!#REF!</f>
        <v>#REF!</v>
      </c>
      <c r="U15" s="52" t="e">
        <f t="shared" si="9"/>
        <v>#REF!</v>
      </c>
      <c r="V15" s="50" t="e">
        <f t="shared" si="10"/>
        <v>#REF!</v>
      </c>
      <c r="W15" s="50" t="e">
        <f t="shared" si="11"/>
        <v>#REF!</v>
      </c>
      <c r="X15" s="50" t="e">
        <f t="shared" si="12"/>
        <v>#REF!</v>
      </c>
      <c r="Y15" s="50" t="e">
        <f t="shared" si="13"/>
        <v>#REF!</v>
      </c>
      <c r="Z15" t="e">
        <f t="shared" si="14"/>
        <v>#REF!</v>
      </c>
    </row>
    <row r="16" spans="1:26" x14ac:dyDescent="0.4">
      <c r="A16" t="e">
        <f>'Product info'!#REF!</f>
        <v>#REF!</v>
      </c>
      <c r="B16" t="e">
        <f>'Product info'!#REF!</f>
        <v>#REF!</v>
      </c>
      <c r="C16" t="e">
        <f>'Product info'!#REF!</f>
        <v>#REF!</v>
      </c>
      <c r="D16" s="6" t="e">
        <f>'Product info'!#REF!</f>
        <v>#REF!</v>
      </c>
      <c r="E16" t="e">
        <f t="shared" si="2"/>
        <v>#REF!</v>
      </c>
      <c r="F16" s="50" t="e">
        <f>'Product info'!#REF!</f>
        <v>#REF!</v>
      </c>
      <c r="G16" s="50" t="e">
        <f>'Product info'!#REF!</f>
        <v>#REF!</v>
      </c>
      <c r="H16" s="50" t="e">
        <f>'Product info'!#REF!</f>
        <v>#REF!</v>
      </c>
      <c r="I16" s="50" t="e">
        <f>'Product info'!#REF!</f>
        <v>#REF!</v>
      </c>
      <c r="J16" s="51" t="e">
        <f>'Product info'!#REF!</f>
        <v>#REF!</v>
      </c>
      <c r="K16" s="52" t="e">
        <f t="shared" si="3"/>
        <v>#REF!</v>
      </c>
      <c r="L16" s="50" t="e">
        <f t="shared" si="4"/>
        <v>#REF!</v>
      </c>
      <c r="M16" s="50" t="e">
        <f t="shared" si="5"/>
        <v>#REF!</v>
      </c>
      <c r="N16" s="50" t="e">
        <f t="shared" si="6"/>
        <v>#REF!</v>
      </c>
      <c r="O16" s="50" t="e">
        <f t="shared" si="7"/>
        <v>#REF!</v>
      </c>
      <c r="P16" s="53" t="e">
        <f t="shared" si="8"/>
        <v>#REF!</v>
      </c>
      <c r="Q16" s="54" t="e">
        <f>'Product info'!#REF!</f>
        <v>#REF!</v>
      </c>
      <c r="R16" s="54" t="e">
        <f>'Product info'!#REF!</f>
        <v>#REF!</v>
      </c>
      <c r="S16" s="54" t="e">
        <f>'Product info'!#REF!</f>
        <v>#REF!</v>
      </c>
      <c r="T16" s="50" t="e">
        <f>'Product info'!#REF!</f>
        <v>#REF!</v>
      </c>
      <c r="U16" s="52" t="e">
        <f t="shared" si="9"/>
        <v>#REF!</v>
      </c>
      <c r="V16" s="50" t="e">
        <f t="shared" si="10"/>
        <v>#REF!</v>
      </c>
      <c r="W16" s="50" t="e">
        <f t="shared" si="11"/>
        <v>#REF!</v>
      </c>
      <c r="X16" s="50" t="e">
        <f t="shared" si="12"/>
        <v>#REF!</v>
      </c>
      <c r="Y16" s="50" t="e">
        <f t="shared" si="13"/>
        <v>#REF!</v>
      </c>
      <c r="Z16" t="e">
        <f t="shared" si="14"/>
        <v>#REF!</v>
      </c>
    </row>
    <row r="17" spans="1:26" x14ac:dyDescent="0.4">
      <c r="A17" t="e">
        <f>'Product info'!#REF!</f>
        <v>#REF!</v>
      </c>
      <c r="B17" t="e">
        <f>'Product info'!#REF!</f>
        <v>#REF!</v>
      </c>
      <c r="C17" t="e">
        <f>'Product info'!#REF!</f>
        <v>#REF!</v>
      </c>
      <c r="D17" s="6" t="e">
        <f>'Product info'!#REF!</f>
        <v>#REF!</v>
      </c>
      <c r="E17" t="e">
        <f t="shared" si="2"/>
        <v>#REF!</v>
      </c>
      <c r="F17" s="50" t="e">
        <f>'Product info'!#REF!</f>
        <v>#REF!</v>
      </c>
      <c r="G17" s="50" t="e">
        <f>'Product info'!#REF!</f>
        <v>#REF!</v>
      </c>
      <c r="H17" s="50" t="e">
        <f>'Product info'!#REF!</f>
        <v>#REF!</v>
      </c>
      <c r="I17" s="50" t="e">
        <f>'Product info'!#REF!</f>
        <v>#REF!</v>
      </c>
      <c r="J17" s="51" t="e">
        <f>'Product info'!#REF!</f>
        <v>#REF!</v>
      </c>
      <c r="K17" s="52" t="e">
        <f t="shared" si="3"/>
        <v>#REF!</v>
      </c>
      <c r="L17" s="50" t="e">
        <f t="shared" si="4"/>
        <v>#REF!</v>
      </c>
      <c r="M17" s="50" t="e">
        <f t="shared" si="5"/>
        <v>#REF!</v>
      </c>
      <c r="N17" s="50" t="e">
        <f t="shared" si="6"/>
        <v>#REF!</v>
      </c>
      <c r="O17" s="50" t="e">
        <f t="shared" si="7"/>
        <v>#REF!</v>
      </c>
      <c r="P17" s="53" t="e">
        <f t="shared" si="8"/>
        <v>#REF!</v>
      </c>
      <c r="Q17" s="54" t="e">
        <f>'Product info'!#REF!</f>
        <v>#REF!</v>
      </c>
      <c r="R17" s="54" t="e">
        <f>'Product info'!#REF!</f>
        <v>#REF!</v>
      </c>
      <c r="S17" s="54" t="e">
        <f>'Product info'!#REF!</f>
        <v>#REF!</v>
      </c>
      <c r="T17" s="50" t="e">
        <f>'Product info'!#REF!</f>
        <v>#REF!</v>
      </c>
      <c r="U17" s="52" t="e">
        <f t="shared" si="9"/>
        <v>#REF!</v>
      </c>
      <c r="V17" s="50" t="e">
        <f t="shared" si="10"/>
        <v>#REF!</v>
      </c>
      <c r="W17" s="50" t="e">
        <f t="shared" si="11"/>
        <v>#REF!</v>
      </c>
      <c r="X17" s="50" t="e">
        <f t="shared" si="12"/>
        <v>#REF!</v>
      </c>
      <c r="Y17" s="50" t="e">
        <f t="shared" si="13"/>
        <v>#REF!</v>
      </c>
      <c r="Z17" t="e">
        <f t="shared" si="14"/>
        <v>#REF!</v>
      </c>
    </row>
    <row r="18" spans="1:26" x14ac:dyDescent="0.4">
      <c r="A18" t="e">
        <f>'Product info'!#REF!</f>
        <v>#REF!</v>
      </c>
      <c r="B18" t="e">
        <f>'Product info'!#REF!</f>
        <v>#REF!</v>
      </c>
      <c r="C18" t="e">
        <f>'Product info'!#REF!</f>
        <v>#REF!</v>
      </c>
      <c r="D18" s="6" t="e">
        <f>'Product info'!#REF!</f>
        <v>#REF!</v>
      </c>
      <c r="E18" t="e">
        <f t="shared" si="2"/>
        <v>#REF!</v>
      </c>
      <c r="F18" s="50" t="e">
        <f>'Product info'!#REF!</f>
        <v>#REF!</v>
      </c>
      <c r="G18" s="50" t="e">
        <f>'Product info'!#REF!</f>
        <v>#REF!</v>
      </c>
      <c r="H18" s="50" t="e">
        <f>'Product info'!#REF!</f>
        <v>#REF!</v>
      </c>
      <c r="I18" s="50" t="e">
        <f>'Product info'!#REF!</f>
        <v>#REF!</v>
      </c>
      <c r="J18" s="51" t="e">
        <f>'Product info'!#REF!</f>
        <v>#REF!</v>
      </c>
      <c r="K18" s="52" t="e">
        <f t="shared" si="3"/>
        <v>#REF!</v>
      </c>
      <c r="L18" s="50" t="e">
        <f t="shared" si="4"/>
        <v>#REF!</v>
      </c>
      <c r="M18" s="50" t="e">
        <f t="shared" si="5"/>
        <v>#REF!</v>
      </c>
      <c r="N18" s="50" t="e">
        <f t="shared" si="6"/>
        <v>#REF!</v>
      </c>
      <c r="O18" s="50" t="e">
        <f t="shared" si="7"/>
        <v>#REF!</v>
      </c>
      <c r="P18" s="53" t="e">
        <f t="shared" si="8"/>
        <v>#REF!</v>
      </c>
      <c r="Q18" s="54" t="e">
        <f>'Product info'!#REF!</f>
        <v>#REF!</v>
      </c>
      <c r="R18" s="54" t="e">
        <f>'Product info'!#REF!</f>
        <v>#REF!</v>
      </c>
      <c r="S18" s="54" t="e">
        <f>'Product info'!#REF!</f>
        <v>#REF!</v>
      </c>
      <c r="T18" s="50" t="e">
        <f>'Product info'!#REF!</f>
        <v>#REF!</v>
      </c>
      <c r="U18" s="52" t="e">
        <f t="shared" si="9"/>
        <v>#REF!</v>
      </c>
      <c r="V18" s="50" t="e">
        <f t="shared" si="10"/>
        <v>#REF!</v>
      </c>
      <c r="W18" s="50" t="e">
        <f t="shared" si="11"/>
        <v>#REF!</v>
      </c>
      <c r="X18" s="50" t="e">
        <f t="shared" si="12"/>
        <v>#REF!</v>
      </c>
      <c r="Y18" s="50" t="e">
        <f t="shared" si="13"/>
        <v>#REF!</v>
      </c>
      <c r="Z18" t="e">
        <f t="shared" si="14"/>
        <v>#REF!</v>
      </c>
    </row>
    <row r="19" spans="1:26" x14ac:dyDescent="0.4">
      <c r="A19" t="e">
        <f>'Product info'!#REF!</f>
        <v>#REF!</v>
      </c>
      <c r="B19" t="e">
        <f>'Product info'!#REF!</f>
        <v>#REF!</v>
      </c>
      <c r="C19" t="e">
        <f>'Product info'!#REF!</f>
        <v>#REF!</v>
      </c>
      <c r="D19" s="6" t="e">
        <f>'Product info'!#REF!</f>
        <v>#REF!</v>
      </c>
      <c r="E19" t="e">
        <f t="shared" si="2"/>
        <v>#REF!</v>
      </c>
      <c r="F19" s="50" t="e">
        <f>'Product info'!#REF!</f>
        <v>#REF!</v>
      </c>
      <c r="G19" s="50" t="e">
        <f>'Product info'!#REF!</f>
        <v>#REF!</v>
      </c>
      <c r="H19" s="50" t="e">
        <f>'Product info'!#REF!</f>
        <v>#REF!</v>
      </c>
      <c r="I19" s="50" t="e">
        <f>'Product info'!#REF!</f>
        <v>#REF!</v>
      </c>
      <c r="J19" s="51" t="e">
        <f>'Product info'!#REF!</f>
        <v>#REF!</v>
      </c>
      <c r="K19" s="52" t="e">
        <f t="shared" si="3"/>
        <v>#REF!</v>
      </c>
      <c r="L19" s="50" t="e">
        <f t="shared" si="4"/>
        <v>#REF!</v>
      </c>
      <c r="M19" s="50" t="e">
        <f t="shared" si="5"/>
        <v>#REF!</v>
      </c>
      <c r="N19" s="50" t="e">
        <f t="shared" si="6"/>
        <v>#REF!</v>
      </c>
      <c r="O19" s="50" t="e">
        <f t="shared" si="7"/>
        <v>#REF!</v>
      </c>
      <c r="P19" s="53" t="e">
        <f t="shared" si="8"/>
        <v>#REF!</v>
      </c>
      <c r="Q19" s="54" t="e">
        <f>'Product info'!#REF!</f>
        <v>#REF!</v>
      </c>
      <c r="R19" s="54" t="e">
        <f>'Product info'!#REF!</f>
        <v>#REF!</v>
      </c>
      <c r="S19" s="54" t="e">
        <f>'Product info'!#REF!</f>
        <v>#REF!</v>
      </c>
      <c r="T19" s="50" t="e">
        <f>'Product info'!#REF!</f>
        <v>#REF!</v>
      </c>
      <c r="U19" s="52" t="e">
        <f t="shared" si="9"/>
        <v>#REF!</v>
      </c>
      <c r="V19" s="50" t="e">
        <f t="shared" si="10"/>
        <v>#REF!</v>
      </c>
      <c r="W19" s="50" t="e">
        <f t="shared" si="11"/>
        <v>#REF!</v>
      </c>
      <c r="X19" s="50" t="e">
        <f t="shared" si="12"/>
        <v>#REF!</v>
      </c>
      <c r="Y19" s="50" t="e">
        <f t="shared" si="13"/>
        <v>#REF!</v>
      </c>
      <c r="Z19" t="e">
        <f t="shared" si="14"/>
        <v>#REF!</v>
      </c>
    </row>
    <row r="20" spans="1:26" x14ac:dyDescent="0.4">
      <c r="A20" t="e">
        <f>'Product info'!#REF!</f>
        <v>#REF!</v>
      </c>
      <c r="B20" t="e">
        <f>'Product info'!#REF!</f>
        <v>#REF!</v>
      </c>
      <c r="C20" t="e">
        <f>'Product info'!#REF!</f>
        <v>#REF!</v>
      </c>
      <c r="D20" s="6" t="e">
        <f>'Product info'!#REF!</f>
        <v>#REF!</v>
      </c>
      <c r="E20" t="e">
        <f t="shared" si="2"/>
        <v>#REF!</v>
      </c>
      <c r="F20" s="50" t="e">
        <f>'Product info'!#REF!</f>
        <v>#REF!</v>
      </c>
      <c r="G20" s="50" t="e">
        <f>'Product info'!#REF!</f>
        <v>#REF!</v>
      </c>
      <c r="H20" s="50" t="e">
        <f>'Product info'!#REF!</f>
        <v>#REF!</v>
      </c>
      <c r="I20" s="50" t="e">
        <f>'Product info'!#REF!</f>
        <v>#REF!</v>
      </c>
      <c r="J20" s="51" t="e">
        <f>'Product info'!#REF!</f>
        <v>#REF!</v>
      </c>
      <c r="K20" s="52" t="e">
        <f t="shared" si="3"/>
        <v>#REF!</v>
      </c>
      <c r="L20" s="50" t="e">
        <f t="shared" si="4"/>
        <v>#REF!</v>
      </c>
      <c r="M20" s="50" t="e">
        <f t="shared" si="5"/>
        <v>#REF!</v>
      </c>
      <c r="N20" s="50" t="e">
        <f t="shared" si="6"/>
        <v>#REF!</v>
      </c>
      <c r="O20" s="50" t="e">
        <f t="shared" si="7"/>
        <v>#REF!</v>
      </c>
      <c r="P20" s="53" t="e">
        <f t="shared" si="8"/>
        <v>#REF!</v>
      </c>
      <c r="Q20" s="54" t="e">
        <f>'Product info'!#REF!</f>
        <v>#REF!</v>
      </c>
      <c r="R20" s="54" t="e">
        <f>'Product info'!#REF!</f>
        <v>#REF!</v>
      </c>
      <c r="S20" s="54" t="e">
        <f>'Product info'!#REF!</f>
        <v>#REF!</v>
      </c>
      <c r="T20" s="50" t="e">
        <f>'Product info'!#REF!</f>
        <v>#REF!</v>
      </c>
      <c r="U20" s="52" t="e">
        <f t="shared" si="9"/>
        <v>#REF!</v>
      </c>
      <c r="V20" s="50" t="e">
        <f t="shared" si="10"/>
        <v>#REF!</v>
      </c>
      <c r="W20" s="50" t="e">
        <f t="shared" si="11"/>
        <v>#REF!</v>
      </c>
      <c r="X20" s="50" t="e">
        <f t="shared" si="12"/>
        <v>#REF!</v>
      </c>
      <c r="Y20" s="50" t="e">
        <f t="shared" si="13"/>
        <v>#REF!</v>
      </c>
      <c r="Z20" t="e">
        <f t="shared" si="14"/>
        <v>#REF!</v>
      </c>
    </row>
    <row r="21" spans="1:26" x14ac:dyDescent="0.4">
      <c r="A21" t="e">
        <f>'Product info'!#REF!</f>
        <v>#REF!</v>
      </c>
      <c r="B21" t="e">
        <f>'Product info'!#REF!</f>
        <v>#REF!</v>
      </c>
      <c r="C21" t="e">
        <f>'Product info'!#REF!</f>
        <v>#REF!</v>
      </c>
      <c r="D21" s="6" t="e">
        <f>'Product info'!#REF!</f>
        <v>#REF!</v>
      </c>
      <c r="E21" t="e">
        <f t="shared" si="2"/>
        <v>#REF!</v>
      </c>
      <c r="F21" s="50" t="e">
        <f>'Product info'!#REF!</f>
        <v>#REF!</v>
      </c>
      <c r="G21" s="50" t="e">
        <f>'Product info'!#REF!</f>
        <v>#REF!</v>
      </c>
      <c r="H21" s="50" t="e">
        <f>'Product info'!#REF!</f>
        <v>#REF!</v>
      </c>
      <c r="I21" s="50" t="e">
        <f>'Product info'!#REF!</f>
        <v>#REF!</v>
      </c>
      <c r="J21" s="51" t="e">
        <f>'Product info'!#REF!</f>
        <v>#REF!</v>
      </c>
      <c r="K21" s="52" t="e">
        <f t="shared" si="3"/>
        <v>#REF!</v>
      </c>
      <c r="L21" s="50" t="e">
        <f t="shared" si="4"/>
        <v>#REF!</v>
      </c>
      <c r="M21" s="50" t="e">
        <f t="shared" si="5"/>
        <v>#REF!</v>
      </c>
      <c r="N21" s="50" t="e">
        <f t="shared" si="6"/>
        <v>#REF!</v>
      </c>
      <c r="O21" s="50" t="e">
        <f t="shared" si="7"/>
        <v>#REF!</v>
      </c>
      <c r="P21" s="53" t="e">
        <f t="shared" si="8"/>
        <v>#REF!</v>
      </c>
      <c r="Q21" s="54" t="e">
        <f>'Product info'!#REF!</f>
        <v>#REF!</v>
      </c>
      <c r="R21" s="54" t="e">
        <f>'Product info'!#REF!</f>
        <v>#REF!</v>
      </c>
      <c r="S21" s="54" t="e">
        <f>'Product info'!#REF!</f>
        <v>#REF!</v>
      </c>
      <c r="T21" s="50" t="e">
        <f>'Product info'!#REF!</f>
        <v>#REF!</v>
      </c>
      <c r="U21" s="52" t="e">
        <f t="shared" si="9"/>
        <v>#REF!</v>
      </c>
      <c r="V21" s="50" t="e">
        <f t="shared" si="10"/>
        <v>#REF!</v>
      </c>
      <c r="W21" s="50" t="e">
        <f t="shared" si="11"/>
        <v>#REF!</v>
      </c>
      <c r="X21" s="50" t="e">
        <f t="shared" si="12"/>
        <v>#REF!</v>
      </c>
      <c r="Y21" s="50" t="e">
        <f t="shared" si="13"/>
        <v>#REF!</v>
      </c>
      <c r="Z21" t="e">
        <f t="shared" si="14"/>
        <v>#REF!</v>
      </c>
    </row>
    <row r="22" spans="1:26" x14ac:dyDescent="0.4">
      <c r="A22" t="e">
        <f>'Product info'!#REF!</f>
        <v>#REF!</v>
      </c>
      <c r="B22" t="e">
        <f>'Product info'!#REF!</f>
        <v>#REF!</v>
      </c>
      <c r="C22" t="e">
        <f>'Product info'!#REF!</f>
        <v>#REF!</v>
      </c>
      <c r="D22" s="6" t="e">
        <f>'Product info'!#REF!</f>
        <v>#REF!</v>
      </c>
      <c r="E22" t="e">
        <f t="shared" si="2"/>
        <v>#REF!</v>
      </c>
      <c r="F22" s="50" t="e">
        <f>'Product info'!#REF!</f>
        <v>#REF!</v>
      </c>
      <c r="G22" s="50" t="e">
        <f>'Product info'!#REF!</f>
        <v>#REF!</v>
      </c>
      <c r="H22" s="50" t="e">
        <f>'Product info'!#REF!</f>
        <v>#REF!</v>
      </c>
      <c r="I22" s="50" t="e">
        <f>'Product info'!#REF!</f>
        <v>#REF!</v>
      </c>
      <c r="J22" s="51" t="e">
        <f>'Product info'!#REF!</f>
        <v>#REF!</v>
      </c>
      <c r="K22" s="52" t="e">
        <f t="shared" si="3"/>
        <v>#REF!</v>
      </c>
      <c r="L22" s="50" t="e">
        <f t="shared" si="4"/>
        <v>#REF!</v>
      </c>
      <c r="M22" s="50" t="e">
        <f t="shared" si="5"/>
        <v>#REF!</v>
      </c>
      <c r="N22" s="50" t="e">
        <f t="shared" si="6"/>
        <v>#REF!</v>
      </c>
      <c r="O22" s="50" t="e">
        <f t="shared" si="7"/>
        <v>#REF!</v>
      </c>
      <c r="P22" s="53" t="e">
        <f t="shared" si="8"/>
        <v>#REF!</v>
      </c>
      <c r="Q22" s="54" t="e">
        <f>'Product info'!#REF!</f>
        <v>#REF!</v>
      </c>
      <c r="R22" s="54" t="e">
        <f>'Product info'!#REF!</f>
        <v>#REF!</v>
      </c>
      <c r="S22" s="54" t="e">
        <f>'Product info'!#REF!</f>
        <v>#REF!</v>
      </c>
      <c r="T22" s="50" t="e">
        <f>'Product info'!#REF!</f>
        <v>#REF!</v>
      </c>
      <c r="U22" s="52" t="e">
        <f t="shared" si="9"/>
        <v>#REF!</v>
      </c>
      <c r="V22" s="50" t="e">
        <f t="shared" si="10"/>
        <v>#REF!</v>
      </c>
      <c r="W22" s="50" t="e">
        <f t="shared" si="11"/>
        <v>#REF!</v>
      </c>
      <c r="X22" s="50" t="e">
        <f t="shared" si="12"/>
        <v>#REF!</v>
      </c>
      <c r="Y22" s="50" t="e">
        <f t="shared" si="13"/>
        <v>#REF!</v>
      </c>
      <c r="Z22" t="e">
        <f t="shared" si="14"/>
        <v>#REF!</v>
      </c>
    </row>
    <row r="23" spans="1:26" x14ac:dyDescent="0.4">
      <c r="A23" t="e">
        <f>'Product info'!#REF!</f>
        <v>#REF!</v>
      </c>
      <c r="B23" t="e">
        <f>'Product info'!#REF!</f>
        <v>#REF!</v>
      </c>
      <c r="C23" t="e">
        <f>'Product info'!#REF!</f>
        <v>#REF!</v>
      </c>
      <c r="D23" s="6" t="e">
        <f>'Product info'!#REF!</f>
        <v>#REF!</v>
      </c>
      <c r="E23" t="e">
        <f t="shared" si="2"/>
        <v>#REF!</v>
      </c>
      <c r="F23" s="50" t="e">
        <f>'Product info'!#REF!</f>
        <v>#REF!</v>
      </c>
      <c r="G23" s="50" t="e">
        <f>'Product info'!#REF!</f>
        <v>#REF!</v>
      </c>
      <c r="H23" s="50" t="e">
        <f>'Product info'!#REF!</f>
        <v>#REF!</v>
      </c>
      <c r="I23" s="50" t="e">
        <f>'Product info'!#REF!</f>
        <v>#REF!</v>
      </c>
      <c r="J23" s="51" t="e">
        <f>'Product info'!#REF!</f>
        <v>#REF!</v>
      </c>
      <c r="K23" s="52" t="e">
        <f t="shared" si="3"/>
        <v>#REF!</v>
      </c>
      <c r="L23" s="50" t="e">
        <f t="shared" si="4"/>
        <v>#REF!</v>
      </c>
      <c r="M23" s="50" t="e">
        <f t="shared" si="5"/>
        <v>#REF!</v>
      </c>
      <c r="N23" s="50" t="e">
        <f t="shared" si="6"/>
        <v>#REF!</v>
      </c>
      <c r="O23" s="50" t="e">
        <f t="shared" si="7"/>
        <v>#REF!</v>
      </c>
      <c r="P23" s="53" t="e">
        <f t="shared" si="8"/>
        <v>#REF!</v>
      </c>
      <c r="Q23" s="54" t="e">
        <f>'Product info'!#REF!</f>
        <v>#REF!</v>
      </c>
      <c r="R23" s="54" t="e">
        <f>'Product info'!#REF!</f>
        <v>#REF!</v>
      </c>
      <c r="S23" s="54" t="e">
        <f>'Product info'!#REF!</f>
        <v>#REF!</v>
      </c>
      <c r="T23" s="50" t="e">
        <f>'Product info'!#REF!</f>
        <v>#REF!</v>
      </c>
      <c r="U23" s="52" t="e">
        <f t="shared" si="9"/>
        <v>#REF!</v>
      </c>
      <c r="V23" s="50" t="e">
        <f t="shared" si="10"/>
        <v>#REF!</v>
      </c>
      <c r="W23" s="50" t="e">
        <f t="shared" si="11"/>
        <v>#REF!</v>
      </c>
      <c r="X23" s="50" t="e">
        <f t="shared" si="12"/>
        <v>#REF!</v>
      </c>
      <c r="Y23" s="50" t="e">
        <f t="shared" si="13"/>
        <v>#REF!</v>
      </c>
      <c r="Z23" t="e">
        <f t="shared" si="14"/>
        <v>#REF!</v>
      </c>
    </row>
    <row r="24" spans="1:26" x14ac:dyDescent="0.4">
      <c r="A24" t="e">
        <f>'Product info'!#REF!</f>
        <v>#REF!</v>
      </c>
      <c r="B24" t="e">
        <f>'Product info'!#REF!</f>
        <v>#REF!</v>
      </c>
      <c r="C24" t="e">
        <f>'Product info'!#REF!</f>
        <v>#REF!</v>
      </c>
      <c r="D24" s="6" t="e">
        <f>'Product info'!#REF!</f>
        <v>#REF!</v>
      </c>
      <c r="E24" t="e">
        <f t="shared" si="2"/>
        <v>#REF!</v>
      </c>
      <c r="F24" s="50" t="e">
        <f>'Product info'!#REF!</f>
        <v>#REF!</v>
      </c>
      <c r="G24" s="50" t="e">
        <f>'Product info'!#REF!</f>
        <v>#REF!</v>
      </c>
      <c r="H24" s="50" t="e">
        <f>'Product info'!#REF!</f>
        <v>#REF!</v>
      </c>
      <c r="I24" s="50" t="e">
        <f>'Product info'!#REF!</f>
        <v>#REF!</v>
      </c>
      <c r="J24" s="51" t="e">
        <f>'Product info'!#REF!</f>
        <v>#REF!</v>
      </c>
      <c r="K24" s="52" t="e">
        <f t="shared" si="3"/>
        <v>#REF!</v>
      </c>
      <c r="L24" s="50" t="e">
        <f t="shared" si="4"/>
        <v>#REF!</v>
      </c>
      <c r="M24" s="50" t="e">
        <f t="shared" si="5"/>
        <v>#REF!</v>
      </c>
      <c r="N24" s="50" t="e">
        <f t="shared" si="6"/>
        <v>#REF!</v>
      </c>
      <c r="O24" s="50" t="e">
        <f t="shared" si="7"/>
        <v>#REF!</v>
      </c>
      <c r="P24" s="53" t="e">
        <f t="shared" si="8"/>
        <v>#REF!</v>
      </c>
      <c r="Q24" s="54" t="e">
        <f>'Product info'!#REF!</f>
        <v>#REF!</v>
      </c>
      <c r="R24" s="54" t="e">
        <f>'Product info'!#REF!</f>
        <v>#REF!</v>
      </c>
      <c r="S24" s="54" t="e">
        <f>'Product info'!#REF!</f>
        <v>#REF!</v>
      </c>
      <c r="T24" s="50" t="e">
        <f>'Product info'!#REF!</f>
        <v>#REF!</v>
      </c>
      <c r="U24" s="52" t="e">
        <f t="shared" si="9"/>
        <v>#REF!</v>
      </c>
      <c r="V24" s="50" t="e">
        <f t="shared" si="10"/>
        <v>#REF!</v>
      </c>
      <c r="W24" s="50" t="e">
        <f t="shared" si="11"/>
        <v>#REF!</v>
      </c>
      <c r="X24" s="50" t="e">
        <f t="shared" si="12"/>
        <v>#REF!</v>
      </c>
      <c r="Y24" s="50" t="e">
        <f t="shared" si="13"/>
        <v>#REF!</v>
      </c>
      <c r="Z24" t="e">
        <f t="shared" si="14"/>
        <v>#REF!</v>
      </c>
    </row>
    <row r="25" spans="1:26" x14ac:dyDescent="0.4">
      <c r="A25" t="e">
        <f>'Product info'!#REF!</f>
        <v>#REF!</v>
      </c>
      <c r="B25" t="e">
        <f>'Product info'!#REF!</f>
        <v>#REF!</v>
      </c>
      <c r="C25" t="e">
        <f>'Product info'!#REF!</f>
        <v>#REF!</v>
      </c>
      <c r="D25" s="6" t="e">
        <f>'Product info'!#REF!</f>
        <v>#REF!</v>
      </c>
      <c r="E25" t="e">
        <f t="shared" si="2"/>
        <v>#REF!</v>
      </c>
      <c r="F25" s="50" t="e">
        <f>'Product info'!#REF!</f>
        <v>#REF!</v>
      </c>
      <c r="G25" s="50" t="e">
        <f>'Product info'!#REF!</f>
        <v>#REF!</v>
      </c>
      <c r="H25" s="50" t="e">
        <f>'Product info'!#REF!</f>
        <v>#REF!</v>
      </c>
      <c r="I25" s="50" t="e">
        <f>'Product info'!#REF!</f>
        <v>#REF!</v>
      </c>
      <c r="J25" s="51" t="e">
        <f>'Product info'!#REF!</f>
        <v>#REF!</v>
      </c>
      <c r="K25" s="52" t="e">
        <f t="shared" si="3"/>
        <v>#REF!</v>
      </c>
      <c r="L25" s="50" t="e">
        <f t="shared" si="4"/>
        <v>#REF!</v>
      </c>
      <c r="M25" s="50" t="e">
        <f t="shared" si="5"/>
        <v>#REF!</v>
      </c>
      <c r="N25" s="50" t="e">
        <f t="shared" si="6"/>
        <v>#REF!</v>
      </c>
      <c r="O25" s="50" t="e">
        <f t="shared" si="7"/>
        <v>#REF!</v>
      </c>
      <c r="P25" s="53" t="e">
        <f t="shared" si="8"/>
        <v>#REF!</v>
      </c>
      <c r="Q25" s="54" t="e">
        <f>'Product info'!#REF!</f>
        <v>#REF!</v>
      </c>
      <c r="R25" s="54" t="e">
        <f>'Product info'!#REF!</f>
        <v>#REF!</v>
      </c>
      <c r="S25" s="54" t="e">
        <f>'Product info'!#REF!</f>
        <v>#REF!</v>
      </c>
      <c r="T25" s="50" t="e">
        <f>'Product info'!#REF!</f>
        <v>#REF!</v>
      </c>
      <c r="U25" s="52" t="e">
        <f t="shared" si="9"/>
        <v>#REF!</v>
      </c>
      <c r="V25" s="50" t="e">
        <f t="shared" si="10"/>
        <v>#REF!</v>
      </c>
      <c r="W25" s="50" t="e">
        <f t="shared" si="11"/>
        <v>#REF!</v>
      </c>
      <c r="X25" s="50" t="e">
        <f t="shared" si="12"/>
        <v>#REF!</v>
      </c>
      <c r="Y25" s="50" t="e">
        <f t="shared" si="13"/>
        <v>#REF!</v>
      </c>
      <c r="Z25" t="e">
        <f t="shared" si="14"/>
        <v>#REF!</v>
      </c>
    </row>
    <row r="26" spans="1:26" x14ac:dyDescent="0.4">
      <c r="A26" t="e">
        <f>'Product info'!#REF!</f>
        <v>#REF!</v>
      </c>
      <c r="B26" t="e">
        <f>'Product info'!#REF!</f>
        <v>#REF!</v>
      </c>
      <c r="C26" t="e">
        <f>'Product info'!#REF!</f>
        <v>#REF!</v>
      </c>
      <c r="D26" s="6" t="e">
        <f>'Product info'!#REF!</f>
        <v>#REF!</v>
      </c>
      <c r="E26" t="e">
        <f t="shared" si="2"/>
        <v>#REF!</v>
      </c>
      <c r="F26" s="50" t="e">
        <f>'Product info'!#REF!</f>
        <v>#REF!</v>
      </c>
      <c r="G26" s="50" t="e">
        <f>'Product info'!#REF!</f>
        <v>#REF!</v>
      </c>
      <c r="H26" s="50" t="e">
        <f>'Product info'!#REF!</f>
        <v>#REF!</v>
      </c>
      <c r="I26" s="50" t="e">
        <f>'Product info'!#REF!</f>
        <v>#REF!</v>
      </c>
      <c r="J26" s="51" t="e">
        <f>'Product info'!#REF!</f>
        <v>#REF!</v>
      </c>
      <c r="K26" s="52" t="e">
        <f t="shared" si="3"/>
        <v>#REF!</v>
      </c>
      <c r="L26" s="50" t="e">
        <f t="shared" si="4"/>
        <v>#REF!</v>
      </c>
      <c r="M26" s="50" t="e">
        <f t="shared" si="5"/>
        <v>#REF!</v>
      </c>
      <c r="N26" s="50" t="e">
        <f t="shared" si="6"/>
        <v>#REF!</v>
      </c>
      <c r="O26" s="50" t="e">
        <f t="shared" si="7"/>
        <v>#REF!</v>
      </c>
      <c r="P26" s="53" t="e">
        <f t="shared" si="8"/>
        <v>#REF!</v>
      </c>
      <c r="Q26" s="54" t="e">
        <f>'Product info'!#REF!</f>
        <v>#REF!</v>
      </c>
      <c r="R26" s="54" t="e">
        <f>'Product info'!#REF!</f>
        <v>#REF!</v>
      </c>
      <c r="S26" s="54" t="e">
        <f>'Product info'!#REF!</f>
        <v>#REF!</v>
      </c>
      <c r="T26" s="50" t="e">
        <f>'Product info'!#REF!</f>
        <v>#REF!</v>
      </c>
      <c r="U26" s="52" t="e">
        <f t="shared" si="9"/>
        <v>#REF!</v>
      </c>
      <c r="V26" s="50" t="e">
        <f t="shared" si="10"/>
        <v>#REF!</v>
      </c>
      <c r="W26" s="50" t="e">
        <f t="shared" si="11"/>
        <v>#REF!</v>
      </c>
      <c r="X26" s="50" t="e">
        <f t="shared" si="12"/>
        <v>#REF!</v>
      </c>
      <c r="Y26" s="50" t="e">
        <f t="shared" si="13"/>
        <v>#REF!</v>
      </c>
      <c r="Z26" t="e">
        <f t="shared" si="14"/>
        <v>#REF!</v>
      </c>
    </row>
    <row r="27" spans="1:26" x14ac:dyDescent="0.4">
      <c r="A27" t="e">
        <f>'Product info'!#REF!</f>
        <v>#REF!</v>
      </c>
      <c r="B27" t="e">
        <f>'Product info'!#REF!</f>
        <v>#REF!</v>
      </c>
      <c r="C27" t="e">
        <f>'Product info'!#REF!</f>
        <v>#REF!</v>
      </c>
      <c r="D27" s="6" t="e">
        <f>'Product info'!#REF!</f>
        <v>#REF!</v>
      </c>
      <c r="E27" t="e">
        <f t="shared" si="2"/>
        <v>#REF!</v>
      </c>
      <c r="F27" s="50" t="e">
        <f>'Product info'!#REF!</f>
        <v>#REF!</v>
      </c>
      <c r="G27" s="50" t="e">
        <f>'Product info'!#REF!</f>
        <v>#REF!</v>
      </c>
      <c r="H27" s="50" t="e">
        <f>'Product info'!#REF!</f>
        <v>#REF!</v>
      </c>
      <c r="I27" s="50" t="e">
        <f>'Product info'!#REF!</f>
        <v>#REF!</v>
      </c>
      <c r="J27" s="51" t="e">
        <f>'Product info'!#REF!</f>
        <v>#REF!</v>
      </c>
      <c r="K27" s="52" t="e">
        <f t="shared" si="3"/>
        <v>#REF!</v>
      </c>
      <c r="L27" s="50" t="e">
        <f t="shared" si="4"/>
        <v>#REF!</v>
      </c>
      <c r="M27" s="50" t="e">
        <f t="shared" si="5"/>
        <v>#REF!</v>
      </c>
      <c r="N27" s="50" t="e">
        <f t="shared" si="6"/>
        <v>#REF!</v>
      </c>
      <c r="O27" s="50" t="e">
        <f t="shared" si="7"/>
        <v>#REF!</v>
      </c>
      <c r="P27" s="53" t="e">
        <f t="shared" si="8"/>
        <v>#REF!</v>
      </c>
      <c r="Q27" s="54" t="e">
        <f>'Product info'!#REF!</f>
        <v>#REF!</v>
      </c>
      <c r="R27" s="54" t="e">
        <f>'Product info'!#REF!</f>
        <v>#REF!</v>
      </c>
      <c r="S27" s="54" t="e">
        <f>'Product info'!#REF!</f>
        <v>#REF!</v>
      </c>
      <c r="T27" s="50" t="e">
        <f>'Product info'!#REF!</f>
        <v>#REF!</v>
      </c>
      <c r="U27" s="52" t="e">
        <f t="shared" si="9"/>
        <v>#REF!</v>
      </c>
      <c r="V27" s="50" t="e">
        <f t="shared" si="10"/>
        <v>#REF!</v>
      </c>
      <c r="W27" s="50" t="e">
        <f t="shared" si="11"/>
        <v>#REF!</v>
      </c>
      <c r="X27" s="50" t="e">
        <f t="shared" si="12"/>
        <v>#REF!</v>
      </c>
      <c r="Y27" s="50" t="e">
        <f t="shared" si="13"/>
        <v>#REF!</v>
      </c>
      <c r="Z27" t="e">
        <f t="shared" si="14"/>
        <v>#REF!</v>
      </c>
    </row>
    <row r="28" spans="1:26" x14ac:dyDescent="0.4">
      <c r="A28" t="e">
        <f>'Product info'!#REF!</f>
        <v>#REF!</v>
      </c>
      <c r="B28" t="e">
        <f>'Product info'!#REF!</f>
        <v>#REF!</v>
      </c>
      <c r="C28" t="e">
        <f>'Product info'!#REF!</f>
        <v>#REF!</v>
      </c>
      <c r="D28" s="6" t="e">
        <f>'Product info'!#REF!</f>
        <v>#REF!</v>
      </c>
      <c r="E28" t="e">
        <f t="shared" si="2"/>
        <v>#REF!</v>
      </c>
      <c r="F28" s="50" t="e">
        <f>'Product info'!#REF!</f>
        <v>#REF!</v>
      </c>
      <c r="G28" s="50" t="e">
        <f>'Product info'!#REF!</f>
        <v>#REF!</v>
      </c>
      <c r="H28" s="50" t="e">
        <f>'Product info'!#REF!</f>
        <v>#REF!</v>
      </c>
      <c r="I28" s="50" t="e">
        <f>'Product info'!#REF!</f>
        <v>#REF!</v>
      </c>
      <c r="J28" s="51" t="e">
        <f>'Product info'!#REF!</f>
        <v>#REF!</v>
      </c>
      <c r="K28" s="52" t="e">
        <f t="shared" si="3"/>
        <v>#REF!</v>
      </c>
      <c r="L28" s="50" t="e">
        <f t="shared" si="4"/>
        <v>#REF!</v>
      </c>
      <c r="M28" s="50" t="e">
        <f t="shared" si="5"/>
        <v>#REF!</v>
      </c>
      <c r="N28" s="50" t="e">
        <f t="shared" si="6"/>
        <v>#REF!</v>
      </c>
      <c r="O28" s="50" t="e">
        <f t="shared" si="7"/>
        <v>#REF!</v>
      </c>
      <c r="P28" s="53" t="e">
        <f t="shared" si="8"/>
        <v>#REF!</v>
      </c>
      <c r="Q28" s="54" t="e">
        <f>'Product info'!#REF!</f>
        <v>#REF!</v>
      </c>
      <c r="R28" s="54" t="e">
        <f>'Product info'!#REF!</f>
        <v>#REF!</v>
      </c>
      <c r="S28" s="54" t="e">
        <f>'Product info'!#REF!</f>
        <v>#REF!</v>
      </c>
      <c r="T28" s="50" t="e">
        <f>'Product info'!#REF!</f>
        <v>#REF!</v>
      </c>
      <c r="U28" s="52" t="e">
        <f t="shared" si="9"/>
        <v>#REF!</v>
      </c>
      <c r="V28" s="50" t="e">
        <f t="shared" si="10"/>
        <v>#REF!</v>
      </c>
      <c r="W28" s="50" t="e">
        <f t="shared" si="11"/>
        <v>#REF!</v>
      </c>
      <c r="X28" s="50" t="e">
        <f t="shared" si="12"/>
        <v>#REF!</v>
      </c>
      <c r="Y28" s="50" t="e">
        <f t="shared" si="13"/>
        <v>#REF!</v>
      </c>
      <c r="Z28" t="e">
        <f t="shared" si="14"/>
        <v>#REF!</v>
      </c>
    </row>
    <row r="29" spans="1:26" x14ac:dyDescent="0.4">
      <c r="A29" t="e">
        <f>'Product info'!#REF!</f>
        <v>#REF!</v>
      </c>
      <c r="B29" t="e">
        <f>'Product info'!#REF!</f>
        <v>#REF!</v>
      </c>
      <c r="C29" t="e">
        <f>'Product info'!#REF!</f>
        <v>#REF!</v>
      </c>
      <c r="D29" s="6" t="e">
        <f>'Product info'!#REF!</f>
        <v>#REF!</v>
      </c>
      <c r="E29" t="e">
        <f t="shared" si="2"/>
        <v>#REF!</v>
      </c>
      <c r="F29" s="50" t="e">
        <f>'Product info'!#REF!</f>
        <v>#REF!</v>
      </c>
      <c r="G29" s="50" t="e">
        <f>'Product info'!#REF!</f>
        <v>#REF!</v>
      </c>
      <c r="H29" s="50" t="e">
        <f>'Product info'!#REF!</f>
        <v>#REF!</v>
      </c>
      <c r="I29" s="50" t="e">
        <f>'Product info'!#REF!</f>
        <v>#REF!</v>
      </c>
      <c r="J29" s="51" t="e">
        <f>'Product info'!#REF!</f>
        <v>#REF!</v>
      </c>
      <c r="K29" s="52" t="e">
        <f t="shared" si="3"/>
        <v>#REF!</v>
      </c>
      <c r="L29" s="50" t="e">
        <f t="shared" si="4"/>
        <v>#REF!</v>
      </c>
      <c r="M29" s="50" t="e">
        <f t="shared" si="5"/>
        <v>#REF!</v>
      </c>
      <c r="N29" s="50" t="e">
        <f t="shared" si="6"/>
        <v>#REF!</v>
      </c>
      <c r="O29" s="50" t="e">
        <f t="shared" si="7"/>
        <v>#REF!</v>
      </c>
      <c r="P29" s="53" t="e">
        <f t="shared" si="8"/>
        <v>#REF!</v>
      </c>
      <c r="Q29" s="54" t="e">
        <f>'Product info'!#REF!</f>
        <v>#REF!</v>
      </c>
      <c r="R29" s="54" t="e">
        <f>'Product info'!#REF!</f>
        <v>#REF!</v>
      </c>
      <c r="S29" s="54" t="e">
        <f>'Product info'!#REF!</f>
        <v>#REF!</v>
      </c>
      <c r="T29" s="50" t="e">
        <f>'Product info'!#REF!</f>
        <v>#REF!</v>
      </c>
      <c r="U29" s="52" t="e">
        <f t="shared" si="9"/>
        <v>#REF!</v>
      </c>
      <c r="V29" s="50" t="e">
        <f t="shared" si="10"/>
        <v>#REF!</v>
      </c>
      <c r="W29" s="50" t="e">
        <f t="shared" si="11"/>
        <v>#REF!</v>
      </c>
      <c r="X29" s="50" t="e">
        <f t="shared" si="12"/>
        <v>#REF!</v>
      </c>
      <c r="Y29" s="50" t="e">
        <f t="shared" si="13"/>
        <v>#REF!</v>
      </c>
      <c r="Z29" t="e">
        <f t="shared" si="14"/>
        <v>#REF!</v>
      </c>
    </row>
    <row r="30" spans="1:26" x14ac:dyDescent="0.4">
      <c r="A30" t="e">
        <f>'Product info'!#REF!</f>
        <v>#REF!</v>
      </c>
      <c r="B30" t="e">
        <f>'Product info'!#REF!</f>
        <v>#REF!</v>
      </c>
      <c r="C30" t="e">
        <f>'Product info'!#REF!</f>
        <v>#REF!</v>
      </c>
      <c r="D30" s="6" t="e">
        <f>'Product info'!#REF!</f>
        <v>#REF!</v>
      </c>
      <c r="E30" t="e">
        <f t="shared" si="2"/>
        <v>#REF!</v>
      </c>
      <c r="F30" s="50" t="e">
        <f>'Product info'!#REF!</f>
        <v>#REF!</v>
      </c>
      <c r="G30" s="50" t="e">
        <f>'Product info'!#REF!</f>
        <v>#REF!</v>
      </c>
      <c r="H30" s="50" t="e">
        <f>'Product info'!#REF!</f>
        <v>#REF!</v>
      </c>
      <c r="I30" s="50" t="e">
        <f>'Product info'!#REF!</f>
        <v>#REF!</v>
      </c>
      <c r="J30" s="51" t="e">
        <f>'Product info'!#REF!</f>
        <v>#REF!</v>
      </c>
      <c r="K30" s="52" t="e">
        <f t="shared" si="3"/>
        <v>#REF!</v>
      </c>
      <c r="L30" s="50" t="e">
        <f t="shared" si="4"/>
        <v>#REF!</v>
      </c>
      <c r="M30" s="50" t="e">
        <f t="shared" si="5"/>
        <v>#REF!</v>
      </c>
      <c r="N30" s="50" t="e">
        <f t="shared" si="6"/>
        <v>#REF!</v>
      </c>
      <c r="O30" s="50" t="e">
        <f t="shared" si="7"/>
        <v>#REF!</v>
      </c>
      <c r="P30" s="53" t="e">
        <f t="shared" si="8"/>
        <v>#REF!</v>
      </c>
      <c r="Q30" s="54" t="e">
        <f>'Product info'!#REF!</f>
        <v>#REF!</v>
      </c>
      <c r="R30" s="54" t="e">
        <f>'Product info'!#REF!</f>
        <v>#REF!</v>
      </c>
      <c r="S30" s="54" t="e">
        <f>'Product info'!#REF!</f>
        <v>#REF!</v>
      </c>
      <c r="T30" s="50" t="e">
        <f>'Product info'!#REF!</f>
        <v>#REF!</v>
      </c>
      <c r="U30" s="52" t="e">
        <f t="shared" si="9"/>
        <v>#REF!</v>
      </c>
      <c r="V30" s="50" t="e">
        <f t="shared" si="10"/>
        <v>#REF!</v>
      </c>
      <c r="W30" s="50" t="e">
        <f t="shared" si="11"/>
        <v>#REF!</v>
      </c>
      <c r="X30" s="50" t="e">
        <f t="shared" si="12"/>
        <v>#REF!</v>
      </c>
      <c r="Y30" s="50" t="e">
        <f t="shared" si="13"/>
        <v>#REF!</v>
      </c>
      <c r="Z30" t="e">
        <f t="shared" si="14"/>
        <v>#REF!</v>
      </c>
    </row>
    <row r="31" spans="1:26" x14ac:dyDescent="0.4">
      <c r="A31" t="e">
        <f>'Product info'!#REF!</f>
        <v>#REF!</v>
      </c>
      <c r="B31" t="e">
        <f>'Product info'!#REF!</f>
        <v>#REF!</v>
      </c>
      <c r="C31" t="e">
        <f>'Product info'!#REF!</f>
        <v>#REF!</v>
      </c>
      <c r="D31" s="6" t="e">
        <f>'Product info'!#REF!</f>
        <v>#REF!</v>
      </c>
      <c r="E31" t="e">
        <f t="shared" si="2"/>
        <v>#REF!</v>
      </c>
      <c r="F31" s="50" t="e">
        <f>'Product info'!#REF!</f>
        <v>#REF!</v>
      </c>
      <c r="G31" s="50" t="e">
        <f>'Product info'!#REF!</f>
        <v>#REF!</v>
      </c>
      <c r="H31" s="50" t="e">
        <f>'Product info'!#REF!</f>
        <v>#REF!</v>
      </c>
      <c r="I31" s="50" t="e">
        <f>'Product info'!#REF!</f>
        <v>#REF!</v>
      </c>
      <c r="J31" s="51" t="e">
        <f>'Product info'!#REF!</f>
        <v>#REF!</v>
      </c>
      <c r="K31" s="52" t="e">
        <f t="shared" si="3"/>
        <v>#REF!</v>
      </c>
      <c r="L31" s="50" t="e">
        <f t="shared" si="4"/>
        <v>#REF!</v>
      </c>
      <c r="M31" s="50" t="e">
        <f t="shared" si="5"/>
        <v>#REF!</v>
      </c>
      <c r="N31" s="50" t="e">
        <f t="shared" si="6"/>
        <v>#REF!</v>
      </c>
      <c r="O31" s="50" t="e">
        <f t="shared" si="7"/>
        <v>#REF!</v>
      </c>
      <c r="P31" s="53" t="e">
        <f t="shared" si="8"/>
        <v>#REF!</v>
      </c>
      <c r="Q31" s="54" t="e">
        <f>'Product info'!#REF!</f>
        <v>#REF!</v>
      </c>
      <c r="R31" s="54" t="e">
        <f>'Product info'!#REF!</f>
        <v>#REF!</v>
      </c>
      <c r="S31" s="54" t="e">
        <f>'Product info'!#REF!</f>
        <v>#REF!</v>
      </c>
      <c r="T31" s="50" t="e">
        <f>'Product info'!#REF!</f>
        <v>#REF!</v>
      </c>
      <c r="U31" s="52" t="e">
        <f t="shared" si="9"/>
        <v>#REF!</v>
      </c>
      <c r="V31" s="50" t="e">
        <f t="shared" si="10"/>
        <v>#REF!</v>
      </c>
      <c r="W31" s="50" t="e">
        <f t="shared" si="11"/>
        <v>#REF!</v>
      </c>
      <c r="X31" s="50" t="e">
        <f t="shared" si="12"/>
        <v>#REF!</v>
      </c>
      <c r="Y31" s="50" t="e">
        <f t="shared" si="13"/>
        <v>#REF!</v>
      </c>
      <c r="Z31" t="e">
        <f t="shared" si="14"/>
        <v>#REF!</v>
      </c>
    </row>
    <row r="32" spans="1:26" x14ac:dyDescent="0.4">
      <c r="A32" t="e">
        <f>'Product info'!#REF!</f>
        <v>#REF!</v>
      </c>
      <c r="B32" t="e">
        <f>'Product info'!#REF!</f>
        <v>#REF!</v>
      </c>
      <c r="C32" t="e">
        <f>'Product info'!#REF!</f>
        <v>#REF!</v>
      </c>
      <c r="D32" s="6" t="e">
        <f>'Product info'!#REF!</f>
        <v>#REF!</v>
      </c>
      <c r="E32" t="e">
        <f t="shared" si="2"/>
        <v>#REF!</v>
      </c>
      <c r="F32" s="50" t="e">
        <f>'Product info'!#REF!</f>
        <v>#REF!</v>
      </c>
      <c r="G32" s="50" t="e">
        <f>'Product info'!#REF!</f>
        <v>#REF!</v>
      </c>
      <c r="H32" s="50" t="e">
        <f>'Product info'!#REF!</f>
        <v>#REF!</v>
      </c>
      <c r="I32" s="50" t="e">
        <f>'Product info'!#REF!</f>
        <v>#REF!</v>
      </c>
      <c r="J32" s="51" t="e">
        <f>'Product info'!#REF!</f>
        <v>#REF!</v>
      </c>
      <c r="K32" s="52" t="e">
        <f t="shared" si="3"/>
        <v>#REF!</v>
      </c>
      <c r="L32" s="50" t="e">
        <f t="shared" si="4"/>
        <v>#REF!</v>
      </c>
      <c r="M32" s="50" t="e">
        <f t="shared" si="5"/>
        <v>#REF!</v>
      </c>
      <c r="N32" s="50" t="e">
        <f t="shared" si="6"/>
        <v>#REF!</v>
      </c>
      <c r="O32" s="50" t="e">
        <f t="shared" si="7"/>
        <v>#REF!</v>
      </c>
      <c r="P32" s="53" t="e">
        <f t="shared" si="8"/>
        <v>#REF!</v>
      </c>
      <c r="Q32" s="54" t="e">
        <f>'Product info'!#REF!</f>
        <v>#REF!</v>
      </c>
      <c r="R32" s="54" t="e">
        <f>'Product info'!#REF!</f>
        <v>#REF!</v>
      </c>
      <c r="S32" s="54" t="e">
        <f>'Product info'!#REF!</f>
        <v>#REF!</v>
      </c>
      <c r="T32" s="50" t="e">
        <f>'Product info'!#REF!</f>
        <v>#REF!</v>
      </c>
      <c r="U32" s="52" t="e">
        <f t="shared" si="9"/>
        <v>#REF!</v>
      </c>
      <c r="V32" s="50" t="e">
        <f t="shared" si="10"/>
        <v>#REF!</v>
      </c>
      <c r="W32" s="50" t="e">
        <f t="shared" si="11"/>
        <v>#REF!</v>
      </c>
      <c r="X32" s="50" t="e">
        <f t="shared" si="12"/>
        <v>#REF!</v>
      </c>
      <c r="Y32" s="50" t="e">
        <f t="shared" si="13"/>
        <v>#REF!</v>
      </c>
      <c r="Z32" t="e">
        <f t="shared" si="14"/>
        <v>#REF!</v>
      </c>
    </row>
    <row r="33" spans="1:26" x14ac:dyDescent="0.4">
      <c r="A33" t="e">
        <f>'Product info'!#REF!</f>
        <v>#REF!</v>
      </c>
      <c r="B33" t="e">
        <f>'Product info'!#REF!</f>
        <v>#REF!</v>
      </c>
      <c r="C33" t="e">
        <f>'Product info'!#REF!</f>
        <v>#REF!</v>
      </c>
      <c r="D33" s="6" t="e">
        <f>'Product info'!#REF!</f>
        <v>#REF!</v>
      </c>
      <c r="E33" t="e">
        <f t="shared" si="2"/>
        <v>#REF!</v>
      </c>
      <c r="F33" s="50" t="e">
        <f>'Product info'!#REF!</f>
        <v>#REF!</v>
      </c>
      <c r="G33" s="50" t="e">
        <f>'Product info'!#REF!</f>
        <v>#REF!</v>
      </c>
      <c r="H33" s="50" t="e">
        <f>'Product info'!#REF!</f>
        <v>#REF!</v>
      </c>
      <c r="I33" s="50" t="e">
        <f>'Product info'!#REF!</f>
        <v>#REF!</v>
      </c>
      <c r="J33" s="51" t="e">
        <f>'Product info'!#REF!</f>
        <v>#REF!</v>
      </c>
      <c r="K33" s="52" t="e">
        <f t="shared" si="3"/>
        <v>#REF!</v>
      </c>
      <c r="L33" s="50" t="e">
        <f t="shared" si="4"/>
        <v>#REF!</v>
      </c>
      <c r="M33" s="50" t="e">
        <f t="shared" si="5"/>
        <v>#REF!</v>
      </c>
      <c r="N33" s="50" t="e">
        <f t="shared" si="6"/>
        <v>#REF!</v>
      </c>
      <c r="O33" s="50" t="e">
        <f t="shared" si="7"/>
        <v>#REF!</v>
      </c>
      <c r="P33" s="53" t="e">
        <f t="shared" si="8"/>
        <v>#REF!</v>
      </c>
      <c r="Q33" s="54" t="e">
        <f>'Product info'!#REF!</f>
        <v>#REF!</v>
      </c>
      <c r="R33" s="54" t="e">
        <f>'Product info'!#REF!</f>
        <v>#REF!</v>
      </c>
      <c r="S33" s="54" t="e">
        <f>'Product info'!#REF!</f>
        <v>#REF!</v>
      </c>
      <c r="T33" s="50" t="e">
        <f>'Product info'!#REF!</f>
        <v>#REF!</v>
      </c>
      <c r="U33" s="52" t="e">
        <f t="shared" si="9"/>
        <v>#REF!</v>
      </c>
      <c r="V33" s="50" t="e">
        <f t="shared" si="10"/>
        <v>#REF!</v>
      </c>
      <c r="W33" s="50" t="e">
        <f t="shared" si="11"/>
        <v>#REF!</v>
      </c>
      <c r="X33" s="50" t="e">
        <f t="shared" si="12"/>
        <v>#REF!</v>
      </c>
      <c r="Y33" s="50" t="e">
        <f t="shared" si="13"/>
        <v>#REF!</v>
      </c>
      <c r="Z33" t="e">
        <f t="shared" si="14"/>
        <v>#REF!</v>
      </c>
    </row>
    <row r="34" spans="1:26" x14ac:dyDescent="0.4">
      <c r="A34" t="e">
        <f>'Product info'!#REF!</f>
        <v>#REF!</v>
      </c>
      <c r="B34" t="e">
        <f>'Product info'!#REF!</f>
        <v>#REF!</v>
      </c>
      <c r="C34" t="e">
        <f>'Product info'!#REF!</f>
        <v>#REF!</v>
      </c>
      <c r="D34" s="6" t="e">
        <f>'Product info'!#REF!</f>
        <v>#REF!</v>
      </c>
      <c r="E34" t="e">
        <f t="shared" si="2"/>
        <v>#REF!</v>
      </c>
      <c r="F34" s="50" t="e">
        <f>'Product info'!#REF!</f>
        <v>#REF!</v>
      </c>
      <c r="G34" s="50" t="e">
        <f>'Product info'!#REF!</f>
        <v>#REF!</v>
      </c>
      <c r="H34" s="50" t="e">
        <f>'Product info'!#REF!</f>
        <v>#REF!</v>
      </c>
      <c r="I34" s="50" t="e">
        <f>'Product info'!#REF!</f>
        <v>#REF!</v>
      </c>
      <c r="J34" s="51" t="e">
        <f>'Product info'!#REF!</f>
        <v>#REF!</v>
      </c>
      <c r="K34" s="52" t="e">
        <f t="shared" si="3"/>
        <v>#REF!</v>
      </c>
      <c r="L34" s="50" t="e">
        <f t="shared" si="4"/>
        <v>#REF!</v>
      </c>
      <c r="M34" s="50" t="e">
        <f t="shared" si="5"/>
        <v>#REF!</v>
      </c>
      <c r="N34" s="50" t="e">
        <f t="shared" si="6"/>
        <v>#REF!</v>
      </c>
      <c r="O34" s="50" t="e">
        <f t="shared" si="7"/>
        <v>#REF!</v>
      </c>
      <c r="P34" s="53" t="e">
        <f t="shared" si="8"/>
        <v>#REF!</v>
      </c>
      <c r="Q34" s="54" t="e">
        <f>'Product info'!#REF!</f>
        <v>#REF!</v>
      </c>
      <c r="R34" s="54" t="e">
        <f>'Product info'!#REF!</f>
        <v>#REF!</v>
      </c>
      <c r="S34" s="54" t="e">
        <f>'Product info'!#REF!</f>
        <v>#REF!</v>
      </c>
      <c r="T34" s="50" t="e">
        <f>'Product info'!#REF!</f>
        <v>#REF!</v>
      </c>
      <c r="U34" s="52" t="e">
        <f t="shared" si="9"/>
        <v>#REF!</v>
      </c>
      <c r="V34" s="50" t="e">
        <f t="shared" si="10"/>
        <v>#REF!</v>
      </c>
      <c r="W34" s="50" t="e">
        <f t="shared" si="11"/>
        <v>#REF!</v>
      </c>
      <c r="X34" s="50" t="e">
        <f t="shared" si="12"/>
        <v>#REF!</v>
      </c>
      <c r="Y34" s="50" t="e">
        <f t="shared" si="13"/>
        <v>#REF!</v>
      </c>
      <c r="Z34" t="e">
        <f t="shared" si="14"/>
        <v>#REF!</v>
      </c>
    </row>
    <row r="35" spans="1:26" x14ac:dyDescent="0.4">
      <c r="A35" t="e">
        <f>'Product info'!#REF!</f>
        <v>#REF!</v>
      </c>
      <c r="B35" t="e">
        <f>'Product info'!#REF!</f>
        <v>#REF!</v>
      </c>
      <c r="C35" t="e">
        <f>'Product info'!#REF!</f>
        <v>#REF!</v>
      </c>
      <c r="D35" s="6" t="e">
        <f>'Product info'!#REF!</f>
        <v>#REF!</v>
      </c>
      <c r="E35" t="e">
        <f t="shared" si="2"/>
        <v>#REF!</v>
      </c>
      <c r="F35" s="50" t="e">
        <f>'Product info'!#REF!</f>
        <v>#REF!</v>
      </c>
      <c r="G35" s="50" t="e">
        <f>'Product info'!#REF!</f>
        <v>#REF!</v>
      </c>
      <c r="H35" s="50" t="e">
        <f>'Product info'!#REF!</f>
        <v>#REF!</v>
      </c>
      <c r="I35" s="50" t="e">
        <f>'Product info'!#REF!</f>
        <v>#REF!</v>
      </c>
      <c r="J35" s="51" t="e">
        <f>'Product info'!#REF!</f>
        <v>#REF!</v>
      </c>
      <c r="K35" s="52" t="e">
        <f t="shared" si="3"/>
        <v>#REF!</v>
      </c>
      <c r="L35" s="50" t="e">
        <f t="shared" si="4"/>
        <v>#REF!</v>
      </c>
      <c r="M35" s="50" t="e">
        <f t="shared" si="5"/>
        <v>#REF!</v>
      </c>
      <c r="N35" s="50" t="e">
        <f t="shared" si="6"/>
        <v>#REF!</v>
      </c>
      <c r="O35" s="50" t="e">
        <f t="shared" si="7"/>
        <v>#REF!</v>
      </c>
      <c r="P35" s="53" t="e">
        <f t="shared" si="8"/>
        <v>#REF!</v>
      </c>
      <c r="Q35" s="54" t="e">
        <f>'Product info'!#REF!</f>
        <v>#REF!</v>
      </c>
      <c r="R35" s="54" t="e">
        <f>'Product info'!#REF!</f>
        <v>#REF!</v>
      </c>
      <c r="S35" s="54" t="e">
        <f>'Product info'!#REF!</f>
        <v>#REF!</v>
      </c>
      <c r="T35" s="50" t="e">
        <f>'Product info'!#REF!</f>
        <v>#REF!</v>
      </c>
      <c r="U35" s="52" t="e">
        <f t="shared" si="9"/>
        <v>#REF!</v>
      </c>
      <c r="V35" s="50" t="e">
        <f t="shared" si="10"/>
        <v>#REF!</v>
      </c>
      <c r="W35" s="50" t="e">
        <f t="shared" si="11"/>
        <v>#REF!</v>
      </c>
      <c r="X35" s="50" t="e">
        <f t="shared" si="12"/>
        <v>#REF!</v>
      </c>
      <c r="Y35" s="50" t="e">
        <f t="shared" si="13"/>
        <v>#REF!</v>
      </c>
      <c r="Z35" t="e">
        <f t="shared" si="14"/>
        <v>#REF!</v>
      </c>
    </row>
    <row r="36" spans="1:26" x14ac:dyDescent="0.4">
      <c r="A36" t="e">
        <f>'Product info'!#REF!</f>
        <v>#REF!</v>
      </c>
      <c r="B36" t="e">
        <f>'Product info'!#REF!</f>
        <v>#REF!</v>
      </c>
      <c r="C36" t="e">
        <f>'Product info'!#REF!</f>
        <v>#REF!</v>
      </c>
      <c r="D36" s="6" t="e">
        <f>'Product info'!#REF!</f>
        <v>#REF!</v>
      </c>
      <c r="E36" t="e">
        <f t="shared" si="2"/>
        <v>#REF!</v>
      </c>
      <c r="F36" s="50" t="e">
        <f>'Product info'!#REF!</f>
        <v>#REF!</v>
      </c>
      <c r="G36" s="50" t="e">
        <f>'Product info'!#REF!</f>
        <v>#REF!</v>
      </c>
      <c r="H36" s="50" t="e">
        <f>'Product info'!#REF!</f>
        <v>#REF!</v>
      </c>
      <c r="I36" s="50" t="e">
        <f>'Product info'!#REF!</f>
        <v>#REF!</v>
      </c>
      <c r="J36" s="51" t="e">
        <f>'Product info'!#REF!</f>
        <v>#REF!</v>
      </c>
      <c r="K36" s="52" t="e">
        <f t="shared" si="3"/>
        <v>#REF!</v>
      </c>
      <c r="L36" s="50" t="e">
        <f t="shared" si="4"/>
        <v>#REF!</v>
      </c>
      <c r="M36" s="50" t="e">
        <f t="shared" si="5"/>
        <v>#REF!</v>
      </c>
      <c r="N36" s="50" t="e">
        <f t="shared" si="6"/>
        <v>#REF!</v>
      </c>
      <c r="O36" s="50" t="e">
        <f t="shared" si="7"/>
        <v>#REF!</v>
      </c>
      <c r="P36" s="53" t="e">
        <f t="shared" si="8"/>
        <v>#REF!</v>
      </c>
      <c r="Q36" s="54" t="e">
        <f>'Product info'!#REF!</f>
        <v>#REF!</v>
      </c>
      <c r="R36" s="54" t="e">
        <f>'Product info'!#REF!</f>
        <v>#REF!</v>
      </c>
      <c r="S36" s="54" t="e">
        <f>'Product info'!#REF!</f>
        <v>#REF!</v>
      </c>
      <c r="T36" s="50" t="e">
        <f>'Product info'!#REF!</f>
        <v>#REF!</v>
      </c>
      <c r="U36" s="52" t="e">
        <f t="shared" si="9"/>
        <v>#REF!</v>
      </c>
      <c r="V36" s="50" t="e">
        <f t="shared" si="10"/>
        <v>#REF!</v>
      </c>
      <c r="W36" s="50" t="e">
        <f t="shared" si="11"/>
        <v>#REF!</v>
      </c>
      <c r="X36" s="50" t="e">
        <f t="shared" si="12"/>
        <v>#REF!</v>
      </c>
      <c r="Y36" s="50" t="e">
        <f t="shared" si="13"/>
        <v>#REF!</v>
      </c>
      <c r="Z36" t="e">
        <f t="shared" si="14"/>
        <v>#REF!</v>
      </c>
    </row>
    <row r="37" spans="1:26" x14ac:dyDescent="0.4">
      <c r="A37" t="e">
        <f>'Product info'!#REF!</f>
        <v>#REF!</v>
      </c>
      <c r="B37" t="e">
        <f>'Product info'!#REF!</f>
        <v>#REF!</v>
      </c>
      <c r="C37" t="e">
        <f>'Product info'!#REF!</f>
        <v>#REF!</v>
      </c>
      <c r="D37" s="6" t="e">
        <f>'Product info'!#REF!</f>
        <v>#REF!</v>
      </c>
      <c r="E37" t="e">
        <f t="shared" si="2"/>
        <v>#REF!</v>
      </c>
      <c r="F37" s="50" t="e">
        <f>'Product info'!#REF!</f>
        <v>#REF!</v>
      </c>
      <c r="G37" s="50" t="e">
        <f>'Product info'!#REF!</f>
        <v>#REF!</v>
      </c>
      <c r="H37" s="50" t="e">
        <f>'Product info'!#REF!</f>
        <v>#REF!</v>
      </c>
      <c r="I37" s="50" t="e">
        <f>'Product info'!#REF!</f>
        <v>#REF!</v>
      </c>
      <c r="J37" s="51" t="e">
        <f>'Product info'!#REF!</f>
        <v>#REF!</v>
      </c>
      <c r="K37" s="52" t="e">
        <f t="shared" si="3"/>
        <v>#REF!</v>
      </c>
      <c r="L37" s="50" t="e">
        <f t="shared" si="4"/>
        <v>#REF!</v>
      </c>
      <c r="M37" s="50" t="e">
        <f t="shared" si="5"/>
        <v>#REF!</v>
      </c>
      <c r="N37" s="50" t="e">
        <f t="shared" si="6"/>
        <v>#REF!</v>
      </c>
      <c r="O37" s="50" t="e">
        <f t="shared" si="7"/>
        <v>#REF!</v>
      </c>
      <c r="P37" s="53" t="e">
        <f t="shared" si="8"/>
        <v>#REF!</v>
      </c>
      <c r="Q37" s="54" t="e">
        <f>'Product info'!#REF!</f>
        <v>#REF!</v>
      </c>
      <c r="R37" s="54" t="e">
        <f>'Product info'!#REF!</f>
        <v>#REF!</v>
      </c>
      <c r="S37" s="54" t="e">
        <f>'Product info'!#REF!</f>
        <v>#REF!</v>
      </c>
      <c r="T37" s="50" t="e">
        <f>'Product info'!#REF!</f>
        <v>#REF!</v>
      </c>
      <c r="U37" s="52" t="e">
        <f t="shared" si="9"/>
        <v>#REF!</v>
      </c>
      <c r="V37" s="50" t="e">
        <f t="shared" si="10"/>
        <v>#REF!</v>
      </c>
      <c r="W37" s="50" t="e">
        <f t="shared" si="11"/>
        <v>#REF!</v>
      </c>
      <c r="X37" s="50" t="e">
        <f t="shared" si="12"/>
        <v>#REF!</v>
      </c>
      <c r="Y37" s="50" t="e">
        <f t="shared" si="13"/>
        <v>#REF!</v>
      </c>
      <c r="Z37" t="e">
        <f t="shared" si="14"/>
        <v>#REF!</v>
      </c>
    </row>
    <row r="38" spans="1:26" x14ac:dyDescent="0.4">
      <c r="A38" t="e">
        <f>'Product info'!#REF!</f>
        <v>#REF!</v>
      </c>
      <c r="B38" t="e">
        <f>'Product info'!#REF!</f>
        <v>#REF!</v>
      </c>
      <c r="C38" t="e">
        <f>'Product info'!#REF!</f>
        <v>#REF!</v>
      </c>
      <c r="D38" s="6" t="e">
        <f>'Product info'!#REF!</f>
        <v>#REF!</v>
      </c>
      <c r="E38" t="e">
        <f t="shared" si="2"/>
        <v>#REF!</v>
      </c>
      <c r="F38" s="50" t="e">
        <f>'Product info'!#REF!</f>
        <v>#REF!</v>
      </c>
      <c r="G38" s="50" t="e">
        <f>'Product info'!#REF!</f>
        <v>#REF!</v>
      </c>
      <c r="H38" s="50" t="e">
        <f>'Product info'!#REF!</f>
        <v>#REF!</v>
      </c>
      <c r="I38" s="50" t="e">
        <f>'Product info'!#REF!</f>
        <v>#REF!</v>
      </c>
      <c r="J38" s="51" t="e">
        <f>'Product info'!#REF!</f>
        <v>#REF!</v>
      </c>
      <c r="K38" s="52" t="e">
        <f t="shared" si="3"/>
        <v>#REF!</v>
      </c>
      <c r="L38" s="50" t="e">
        <f t="shared" si="4"/>
        <v>#REF!</v>
      </c>
      <c r="M38" s="50" t="e">
        <f t="shared" si="5"/>
        <v>#REF!</v>
      </c>
      <c r="N38" s="50" t="e">
        <f t="shared" si="6"/>
        <v>#REF!</v>
      </c>
      <c r="O38" s="50" t="e">
        <f t="shared" si="7"/>
        <v>#REF!</v>
      </c>
      <c r="P38" s="53" t="e">
        <f t="shared" si="8"/>
        <v>#REF!</v>
      </c>
      <c r="Q38" s="54" t="e">
        <f>'Product info'!#REF!</f>
        <v>#REF!</v>
      </c>
      <c r="R38" s="54" t="e">
        <f>'Product info'!#REF!</f>
        <v>#REF!</v>
      </c>
      <c r="S38" s="54" t="e">
        <f>'Product info'!#REF!</f>
        <v>#REF!</v>
      </c>
      <c r="T38" s="50" t="e">
        <f>'Product info'!#REF!</f>
        <v>#REF!</v>
      </c>
      <c r="U38" s="52" t="e">
        <f t="shared" si="9"/>
        <v>#REF!</v>
      </c>
      <c r="V38" s="50" t="e">
        <f t="shared" si="10"/>
        <v>#REF!</v>
      </c>
      <c r="W38" s="50" t="e">
        <f t="shared" si="11"/>
        <v>#REF!</v>
      </c>
      <c r="X38" s="50" t="e">
        <f t="shared" si="12"/>
        <v>#REF!</v>
      </c>
      <c r="Y38" s="50" t="e">
        <f t="shared" si="13"/>
        <v>#REF!</v>
      </c>
      <c r="Z38" t="e">
        <f t="shared" si="14"/>
        <v>#REF!</v>
      </c>
    </row>
    <row r="39" spans="1:26" x14ac:dyDescent="0.4">
      <c r="A39" t="e">
        <f>'Product info'!#REF!</f>
        <v>#REF!</v>
      </c>
      <c r="B39" t="e">
        <f>'Product info'!#REF!</f>
        <v>#REF!</v>
      </c>
      <c r="C39" t="e">
        <f>'Product info'!#REF!</f>
        <v>#REF!</v>
      </c>
      <c r="D39" s="6" t="e">
        <f>'Product info'!#REF!</f>
        <v>#REF!</v>
      </c>
      <c r="E39" t="e">
        <f t="shared" si="2"/>
        <v>#REF!</v>
      </c>
      <c r="F39" s="50" t="e">
        <f>'Product info'!#REF!</f>
        <v>#REF!</v>
      </c>
      <c r="G39" s="50" t="e">
        <f>'Product info'!#REF!</f>
        <v>#REF!</v>
      </c>
      <c r="H39" s="50" t="e">
        <f>'Product info'!#REF!</f>
        <v>#REF!</v>
      </c>
      <c r="I39" s="50" t="e">
        <f>'Product info'!#REF!</f>
        <v>#REF!</v>
      </c>
      <c r="J39" s="51" t="e">
        <f>'Product info'!#REF!</f>
        <v>#REF!</v>
      </c>
      <c r="K39" s="52" t="e">
        <f t="shared" si="3"/>
        <v>#REF!</v>
      </c>
      <c r="L39" s="50" t="e">
        <f t="shared" si="4"/>
        <v>#REF!</v>
      </c>
      <c r="M39" s="50" t="e">
        <f t="shared" si="5"/>
        <v>#REF!</v>
      </c>
      <c r="N39" s="50" t="e">
        <f t="shared" si="6"/>
        <v>#REF!</v>
      </c>
      <c r="O39" s="50" t="e">
        <f t="shared" si="7"/>
        <v>#REF!</v>
      </c>
      <c r="P39" s="53" t="e">
        <f t="shared" si="8"/>
        <v>#REF!</v>
      </c>
      <c r="Q39" s="54" t="e">
        <f>'Product info'!#REF!</f>
        <v>#REF!</v>
      </c>
      <c r="R39" s="54" t="e">
        <f>'Product info'!#REF!</f>
        <v>#REF!</v>
      </c>
      <c r="S39" s="54" t="e">
        <f>'Product info'!#REF!</f>
        <v>#REF!</v>
      </c>
      <c r="T39" s="50" t="e">
        <f>'Product info'!#REF!</f>
        <v>#REF!</v>
      </c>
      <c r="U39" s="52" t="e">
        <f t="shared" si="9"/>
        <v>#REF!</v>
      </c>
      <c r="V39" s="50" t="e">
        <f t="shared" si="10"/>
        <v>#REF!</v>
      </c>
      <c r="W39" s="50" t="e">
        <f t="shared" si="11"/>
        <v>#REF!</v>
      </c>
      <c r="X39" s="50" t="e">
        <f t="shared" si="12"/>
        <v>#REF!</v>
      </c>
      <c r="Y39" s="50" t="e">
        <f t="shared" si="13"/>
        <v>#REF!</v>
      </c>
      <c r="Z39" t="e">
        <f t="shared" si="14"/>
        <v>#REF!</v>
      </c>
    </row>
    <row r="40" spans="1:26" x14ac:dyDescent="0.4">
      <c r="A40" t="str">
        <f>'Product info'!A2</f>
        <v>B0BNQV7QPR</v>
      </c>
      <c r="B40" t="str">
        <f>'Product info'!F2</f>
        <v>HC-7V8M-DTIF</v>
      </c>
      <c r="C40" t="str">
        <f>'Product info'!G2</f>
        <v>ZY-KHMF-162Z</v>
      </c>
      <c r="D40" s="6">
        <f>'Product info'!H2</f>
        <v>0</v>
      </c>
      <c r="E40" t="str">
        <f t="shared" si="2"/>
        <v>46*56*55</v>
      </c>
      <c r="F40" s="50">
        <f>'Product info'!O2</f>
        <v>46</v>
      </c>
      <c r="G40" s="50">
        <f>'Product info'!P2</f>
        <v>56</v>
      </c>
      <c r="H40" s="50">
        <f>'Product info'!Q2</f>
        <v>55</v>
      </c>
      <c r="I40" s="50">
        <f>'Product info'!N2</f>
        <v>16.2</v>
      </c>
      <c r="J40" s="51">
        <f>'Product info'!M2</f>
        <v>52</v>
      </c>
      <c r="K40" s="52">
        <f t="shared" si="3"/>
        <v>0.14168</v>
      </c>
      <c r="L40" s="50">
        <f t="shared" si="4"/>
        <v>18.110246</v>
      </c>
      <c r="M40" s="50">
        <f t="shared" si="5"/>
        <v>22.047256000000001</v>
      </c>
      <c r="N40" s="50">
        <f t="shared" si="6"/>
        <v>21.653555000000001</v>
      </c>
      <c r="O40" s="50">
        <f t="shared" si="7"/>
        <v>35.714843999999992</v>
      </c>
      <c r="P40" s="53" t="str">
        <f t="shared" si="8"/>
        <v>22*27*3.8</v>
      </c>
      <c r="Q40" s="54">
        <f>'Product info'!S2</f>
        <v>22</v>
      </c>
      <c r="R40" s="54">
        <f>'Product info'!T2</f>
        <v>27</v>
      </c>
      <c r="S40" s="54">
        <f>'Product info'!U2</f>
        <v>3.8</v>
      </c>
      <c r="T40" s="50">
        <f>'Product info'!R2</f>
        <v>0.28999999999999998</v>
      </c>
      <c r="U40" s="52">
        <f t="shared" si="9"/>
        <v>2.2572E-3</v>
      </c>
      <c r="V40" s="50">
        <f t="shared" si="10"/>
        <v>8.661422</v>
      </c>
      <c r="W40" s="50">
        <f t="shared" si="11"/>
        <v>10.629927</v>
      </c>
      <c r="X40" s="50">
        <f t="shared" si="12"/>
        <v>1.4960637999999999</v>
      </c>
      <c r="Y40" s="50">
        <f t="shared" si="13"/>
        <v>0.6393397999999999</v>
      </c>
      <c r="Z40">
        <f t="shared" si="14"/>
        <v>2.7246153846153848E-3</v>
      </c>
    </row>
    <row r="41" spans="1:26" x14ac:dyDescent="0.4">
      <c r="A41" t="str">
        <f>'Product info'!A3</f>
        <v>B08CKW16F7</v>
      </c>
      <c r="B41">
        <f>'Product info'!F3</f>
        <v>0</v>
      </c>
      <c r="C41" t="str">
        <f>'Product info'!G3</f>
        <v>MX-8YB2-6ZXD</v>
      </c>
      <c r="D41" s="6">
        <f>'Product info'!H3</f>
        <v>0</v>
      </c>
      <c r="E41" t="str">
        <f t="shared" si="2"/>
        <v>45*50*55</v>
      </c>
      <c r="F41" s="50">
        <f>'Product info'!O3</f>
        <v>45</v>
      </c>
      <c r="G41" s="50">
        <f>'Product info'!P3</f>
        <v>50</v>
      </c>
      <c r="H41" s="50">
        <f>'Product info'!Q3</f>
        <v>55</v>
      </c>
      <c r="I41" s="50">
        <f>'Product info'!N3</f>
        <v>20</v>
      </c>
      <c r="J41" s="51">
        <f>'Product info'!M3</f>
        <v>50</v>
      </c>
      <c r="K41" s="52">
        <f t="shared" si="3"/>
        <v>0.12375</v>
      </c>
      <c r="L41" s="50">
        <f t="shared" si="4"/>
        <v>17.716545</v>
      </c>
      <c r="M41" s="50">
        <f t="shared" si="5"/>
        <v>19.68505</v>
      </c>
      <c r="N41" s="50">
        <f t="shared" si="6"/>
        <v>21.653555000000001</v>
      </c>
      <c r="O41" s="50">
        <f t="shared" si="7"/>
        <v>44.092399999999998</v>
      </c>
      <c r="P41" s="53" t="str">
        <f t="shared" si="8"/>
        <v>25*26*8</v>
      </c>
      <c r="Q41" s="54">
        <f>'Product info'!S3</f>
        <v>25</v>
      </c>
      <c r="R41" s="54">
        <f>'Product info'!T3</f>
        <v>26</v>
      </c>
      <c r="S41" s="54">
        <f>'Product info'!U3</f>
        <v>8</v>
      </c>
      <c r="T41" s="50">
        <f>'Product info'!R3</f>
        <v>0.32</v>
      </c>
      <c r="U41" s="52">
        <f t="shared" si="9"/>
        <v>5.1999999999999998E-3</v>
      </c>
      <c r="V41" s="50">
        <f t="shared" si="10"/>
        <v>9.8425250000000002</v>
      </c>
      <c r="W41" s="50">
        <f t="shared" si="11"/>
        <v>10.236226</v>
      </c>
      <c r="X41" s="50">
        <f t="shared" si="12"/>
        <v>3.1496080000000002</v>
      </c>
      <c r="Y41" s="50">
        <f t="shared" si="13"/>
        <v>0.70547839999999995</v>
      </c>
      <c r="Z41">
        <f t="shared" si="14"/>
        <v>2.4749999999999998E-3</v>
      </c>
    </row>
    <row r="42" spans="1:26" x14ac:dyDescent="0.4">
      <c r="A42" t="str">
        <f>'Product info'!A4</f>
        <v>B07NS8B464</v>
      </c>
      <c r="B42">
        <f>'Product info'!F4</f>
        <v>0</v>
      </c>
      <c r="C42" t="str">
        <f>'Product info'!G4</f>
        <v>5Y-3YWH-201Z</v>
      </c>
      <c r="D42" s="6">
        <f>'Product info'!H4</f>
        <v>0</v>
      </c>
      <c r="E42" t="str">
        <f t="shared" si="2"/>
        <v>45*50*55</v>
      </c>
      <c r="F42" s="50">
        <f>'Product info'!O4</f>
        <v>45</v>
      </c>
      <c r="G42" s="50">
        <f>'Product info'!P4</f>
        <v>50</v>
      </c>
      <c r="H42" s="50">
        <f>'Product info'!Q4</f>
        <v>55</v>
      </c>
      <c r="I42" s="50">
        <f>'Product info'!N4</f>
        <v>19</v>
      </c>
      <c r="J42" s="51">
        <f>'Product info'!M4</f>
        <v>60</v>
      </c>
      <c r="K42" s="52">
        <f t="shared" si="3"/>
        <v>0.12375</v>
      </c>
      <c r="L42" s="50">
        <f t="shared" si="4"/>
        <v>17.716545</v>
      </c>
      <c r="M42" s="50">
        <f t="shared" si="5"/>
        <v>19.68505</v>
      </c>
      <c r="N42" s="50">
        <f t="shared" si="6"/>
        <v>21.653555000000001</v>
      </c>
      <c r="O42" s="50">
        <f t="shared" si="7"/>
        <v>41.887779999999999</v>
      </c>
      <c r="P42" s="53" t="str">
        <f t="shared" si="8"/>
        <v>25*26*6</v>
      </c>
      <c r="Q42" s="54">
        <f>'Product info'!S4</f>
        <v>25</v>
      </c>
      <c r="R42" s="54">
        <f>'Product info'!T4</f>
        <v>26</v>
      </c>
      <c r="S42" s="54">
        <f>'Product info'!U4</f>
        <v>6</v>
      </c>
      <c r="T42" s="50">
        <f>'Product info'!R4</f>
        <v>0.28000000000000003</v>
      </c>
      <c r="U42" s="52">
        <f t="shared" si="9"/>
        <v>3.8999999999999998E-3</v>
      </c>
      <c r="V42" s="50">
        <f t="shared" si="10"/>
        <v>9.8425250000000002</v>
      </c>
      <c r="W42" s="50">
        <f t="shared" si="11"/>
        <v>10.236226</v>
      </c>
      <c r="X42" s="50">
        <f t="shared" si="12"/>
        <v>2.362206</v>
      </c>
      <c r="Y42" s="50">
        <f t="shared" si="13"/>
        <v>0.6172936</v>
      </c>
      <c r="Z42">
        <f t="shared" si="14"/>
        <v>2.0625000000000001E-3</v>
      </c>
    </row>
    <row r="43" spans="1:26" x14ac:dyDescent="0.4">
      <c r="A43" t="str">
        <f>'Product info'!A5</f>
        <v>B09NDXFBWY</v>
      </c>
      <c r="B43">
        <f>'Product info'!F5</f>
        <v>0</v>
      </c>
      <c r="C43" t="str">
        <f>'Product info'!G5</f>
        <v>8L-9IFE-6T24</v>
      </c>
      <c r="D43" s="6">
        <f>'Product info'!H5</f>
        <v>0</v>
      </c>
      <c r="E43" t="str">
        <f t="shared" si="2"/>
        <v>46*56*55</v>
      </c>
      <c r="F43" s="50">
        <f>'Product info'!O5</f>
        <v>46</v>
      </c>
      <c r="G43" s="50">
        <f>'Product info'!P5</f>
        <v>56</v>
      </c>
      <c r="H43" s="50">
        <f>'Product info'!Q5</f>
        <v>55</v>
      </c>
      <c r="I43" s="50">
        <f>'Product info'!N5</f>
        <v>19</v>
      </c>
      <c r="J43" s="51">
        <f>'Product info'!M5</f>
        <v>52</v>
      </c>
      <c r="K43" s="52">
        <f t="shared" si="3"/>
        <v>0.14168</v>
      </c>
      <c r="L43" s="50">
        <f t="shared" si="4"/>
        <v>18.110246</v>
      </c>
      <c r="M43" s="50">
        <f t="shared" si="5"/>
        <v>22.047256000000001</v>
      </c>
      <c r="N43" s="50">
        <f t="shared" si="6"/>
        <v>21.653555000000001</v>
      </c>
      <c r="O43" s="50">
        <f t="shared" si="7"/>
        <v>41.887779999999999</v>
      </c>
      <c r="P43" s="53" t="str">
        <f t="shared" si="8"/>
        <v>22*27*3.8</v>
      </c>
      <c r="Q43" s="54">
        <f>'Product info'!S5</f>
        <v>22</v>
      </c>
      <c r="R43" s="54">
        <f>'Product info'!T5</f>
        <v>27</v>
      </c>
      <c r="S43" s="54">
        <f>'Product info'!U5</f>
        <v>3.8</v>
      </c>
      <c r="T43" s="50">
        <f>'Product info'!R5</f>
        <v>0.28999999999999998</v>
      </c>
      <c r="U43" s="52">
        <f t="shared" si="9"/>
        <v>2.2572E-3</v>
      </c>
      <c r="V43" s="50">
        <f t="shared" si="10"/>
        <v>8.661422</v>
      </c>
      <c r="W43" s="50">
        <f t="shared" si="11"/>
        <v>10.629927</v>
      </c>
      <c r="X43" s="50">
        <f t="shared" si="12"/>
        <v>1.4960637999999999</v>
      </c>
      <c r="Y43" s="50">
        <f t="shared" si="13"/>
        <v>0.6393397999999999</v>
      </c>
      <c r="Z43">
        <f t="shared" si="14"/>
        <v>2.7246153846153848E-3</v>
      </c>
    </row>
    <row r="44" spans="1:26" x14ac:dyDescent="0.4">
      <c r="A44" t="e">
        <f>'Product info'!#REF!</f>
        <v>#REF!</v>
      </c>
      <c r="B44" t="e">
        <f>'Product info'!#REF!</f>
        <v>#REF!</v>
      </c>
      <c r="C44" t="e">
        <f>'Product info'!#REF!</f>
        <v>#REF!</v>
      </c>
      <c r="D44" s="6" t="e">
        <f>'Product info'!#REF!</f>
        <v>#REF!</v>
      </c>
      <c r="E44" t="e">
        <f t="shared" si="2"/>
        <v>#REF!</v>
      </c>
      <c r="F44" s="50" t="e">
        <f>'Product info'!#REF!</f>
        <v>#REF!</v>
      </c>
      <c r="G44" s="50" t="e">
        <f>'Product info'!#REF!</f>
        <v>#REF!</v>
      </c>
      <c r="H44" s="50" t="e">
        <f>'Product info'!#REF!</f>
        <v>#REF!</v>
      </c>
      <c r="I44" s="50" t="e">
        <f>'Product info'!#REF!</f>
        <v>#REF!</v>
      </c>
      <c r="J44" s="51" t="e">
        <f>'Product info'!#REF!</f>
        <v>#REF!</v>
      </c>
      <c r="K44" s="52" t="e">
        <f t="shared" si="3"/>
        <v>#REF!</v>
      </c>
      <c r="L44" s="50" t="e">
        <f t="shared" si="4"/>
        <v>#REF!</v>
      </c>
      <c r="M44" s="50" t="e">
        <f t="shared" si="5"/>
        <v>#REF!</v>
      </c>
      <c r="N44" s="50" t="e">
        <f t="shared" si="6"/>
        <v>#REF!</v>
      </c>
      <c r="O44" s="50" t="e">
        <f t="shared" si="7"/>
        <v>#REF!</v>
      </c>
      <c r="P44" s="53" t="e">
        <f t="shared" si="8"/>
        <v>#REF!</v>
      </c>
      <c r="Q44" s="54" t="e">
        <f>'Product info'!#REF!</f>
        <v>#REF!</v>
      </c>
      <c r="R44" s="54" t="e">
        <f>'Product info'!#REF!</f>
        <v>#REF!</v>
      </c>
      <c r="S44" s="54" t="e">
        <f>'Product info'!#REF!</f>
        <v>#REF!</v>
      </c>
      <c r="T44" s="50" t="e">
        <f>'Product info'!#REF!</f>
        <v>#REF!</v>
      </c>
      <c r="U44" s="52" t="e">
        <f t="shared" si="9"/>
        <v>#REF!</v>
      </c>
      <c r="V44" s="50" t="e">
        <f t="shared" si="10"/>
        <v>#REF!</v>
      </c>
      <c r="W44" s="50" t="e">
        <f t="shared" si="11"/>
        <v>#REF!</v>
      </c>
      <c r="X44" s="50" t="e">
        <f t="shared" si="12"/>
        <v>#REF!</v>
      </c>
      <c r="Y44" s="50" t="e">
        <f t="shared" si="13"/>
        <v>#REF!</v>
      </c>
      <c r="Z44" t="e">
        <f t="shared" si="14"/>
        <v>#REF!</v>
      </c>
    </row>
    <row r="45" spans="1:26" x14ac:dyDescent="0.4">
      <c r="A45" t="e">
        <f>'Product info'!#REF!</f>
        <v>#REF!</v>
      </c>
      <c r="B45" t="e">
        <f>'Product info'!#REF!</f>
        <v>#REF!</v>
      </c>
      <c r="C45" t="e">
        <f>'Product info'!#REF!</f>
        <v>#REF!</v>
      </c>
      <c r="D45" s="6" t="e">
        <f>'Product info'!#REF!</f>
        <v>#REF!</v>
      </c>
      <c r="E45" t="e">
        <f t="shared" si="2"/>
        <v>#REF!</v>
      </c>
      <c r="F45" s="50" t="e">
        <f>'Product info'!#REF!</f>
        <v>#REF!</v>
      </c>
      <c r="G45" s="50" t="e">
        <f>'Product info'!#REF!</f>
        <v>#REF!</v>
      </c>
      <c r="H45" s="50" t="e">
        <f>'Product info'!#REF!</f>
        <v>#REF!</v>
      </c>
      <c r="I45" s="50" t="e">
        <f>'Product info'!#REF!</f>
        <v>#REF!</v>
      </c>
      <c r="J45" s="51" t="e">
        <f>'Product info'!#REF!</f>
        <v>#REF!</v>
      </c>
      <c r="K45" s="52" t="e">
        <f t="shared" si="3"/>
        <v>#REF!</v>
      </c>
      <c r="L45" s="50" t="e">
        <f t="shared" si="4"/>
        <v>#REF!</v>
      </c>
      <c r="M45" s="50" t="e">
        <f t="shared" si="5"/>
        <v>#REF!</v>
      </c>
      <c r="N45" s="50" t="e">
        <f t="shared" si="6"/>
        <v>#REF!</v>
      </c>
      <c r="O45" s="50" t="e">
        <f t="shared" si="7"/>
        <v>#REF!</v>
      </c>
      <c r="P45" s="53" t="e">
        <f t="shared" si="8"/>
        <v>#REF!</v>
      </c>
      <c r="Q45" s="54" t="e">
        <f>'Product info'!#REF!</f>
        <v>#REF!</v>
      </c>
      <c r="R45" s="54" t="e">
        <f>'Product info'!#REF!</f>
        <v>#REF!</v>
      </c>
      <c r="S45" s="54" t="e">
        <f>'Product info'!#REF!</f>
        <v>#REF!</v>
      </c>
      <c r="T45" s="50" t="e">
        <f>'Product info'!#REF!</f>
        <v>#REF!</v>
      </c>
      <c r="U45" s="52" t="e">
        <f t="shared" si="9"/>
        <v>#REF!</v>
      </c>
      <c r="V45" s="50" t="e">
        <f t="shared" si="10"/>
        <v>#REF!</v>
      </c>
      <c r="W45" s="50" t="e">
        <f t="shared" si="11"/>
        <v>#REF!</v>
      </c>
      <c r="X45" s="50" t="e">
        <f t="shared" si="12"/>
        <v>#REF!</v>
      </c>
      <c r="Y45" s="50" t="e">
        <f t="shared" si="13"/>
        <v>#REF!</v>
      </c>
      <c r="Z45" t="e">
        <f t="shared" si="14"/>
        <v>#REF!</v>
      </c>
    </row>
    <row r="46" spans="1:26" x14ac:dyDescent="0.4">
      <c r="A46" t="e">
        <f>'Product info'!#REF!</f>
        <v>#REF!</v>
      </c>
      <c r="B46" t="e">
        <f>'Product info'!#REF!</f>
        <v>#REF!</v>
      </c>
      <c r="C46" t="e">
        <f>'Product info'!#REF!</f>
        <v>#REF!</v>
      </c>
      <c r="D46" s="6" t="e">
        <f>'Product info'!#REF!</f>
        <v>#REF!</v>
      </c>
      <c r="E46" t="e">
        <f t="shared" si="2"/>
        <v>#REF!</v>
      </c>
      <c r="F46" s="50" t="e">
        <f>'Product info'!#REF!</f>
        <v>#REF!</v>
      </c>
      <c r="G46" s="50" t="e">
        <f>'Product info'!#REF!</f>
        <v>#REF!</v>
      </c>
      <c r="H46" s="50" t="e">
        <f>'Product info'!#REF!</f>
        <v>#REF!</v>
      </c>
      <c r="I46" s="50" t="e">
        <f>'Product info'!#REF!</f>
        <v>#REF!</v>
      </c>
      <c r="J46" s="51" t="e">
        <f>'Product info'!#REF!</f>
        <v>#REF!</v>
      </c>
      <c r="K46" s="52" t="e">
        <f t="shared" si="3"/>
        <v>#REF!</v>
      </c>
      <c r="L46" s="50" t="e">
        <f t="shared" si="4"/>
        <v>#REF!</v>
      </c>
      <c r="M46" s="50" t="e">
        <f t="shared" si="5"/>
        <v>#REF!</v>
      </c>
      <c r="N46" s="50" t="e">
        <f t="shared" si="6"/>
        <v>#REF!</v>
      </c>
      <c r="O46" s="50" t="e">
        <f t="shared" si="7"/>
        <v>#REF!</v>
      </c>
      <c r="P46" s="53" t="e">
        <f t="shared" si="8"/>
        <v>#REF!</v>
      </c>
      <c r="Q46" s="54" t="e">
        <f>'Product info'!#REF!</f>
        <v>#REF!</v>
      </c>
      <c r="R46" s="54" t="e">
        <f>'Product info'!#REF!</f>
        <v>#REF!</v>
      </c>
      <c r="S46" s="54" t="e">
        <f>'Product info'!#REF!</f>
        <v>#REF!</v>
      </c>
      <c r="T46" s="50" t="e">
        <f>'Product info'!#REF!</f>
        <v>#REF!</v>
      </c>
      <c r="U46" s="52" t="e">
        <f t="shared" si="9"/>
        <v>#REF!</v>
      </c>
      <c r="V46" s="50" t="e">
        <f t="shared" si="10"/>
        <v>#REF!</v>
      </c>
      <c r="W46" s="50" t="e">
        <f t="shared" si="11"/>
        <v>#REF!</v>
      </c>
      <c r="X46" s="50" t="e">
        <f t="shared" si="12"/>
        <v>#REF!</v>
      </c>
      <c r="Y46" s="50" t="e">
        <f t="shared" si="13"/>
        <v>#REF!</v>
      </c>
      <c r="Z46" t="e">
        <f t="shared" si="14"/>
        <v>#REF!</v>
      </c>
    </row>
    <row r="47" spans="1:26" x14ac:dyDescent="0.4">
      <c r="A47" t="e">
        <f>'Product info'!#REF!</f>
        <v>#REF!</v>
      </c>
      <c r="B47" t="e">
        <f>'Product info'!#REF!</f>
        <v>#REF!</v>
      </c>
      <c r="C47" t="e">
        <f>'Product info'!#REF!</f>
        <v>#REF!</v>
      </c>
      <c r="D47" s="6" t="e">
        <f>'Product info'!#REF!</f>
        <v>#REF!</v>
      </c>
      <c r="E47" t="e">
        <f t="shared" si="2"/>
        <v>#REF!</v>
      </c>
      <c r="F47" s="50" t="e">
        <f>'Product info'!#REF!</f>
        <v>#REF!</v>
      </c>
      <c r="G47" s="50" t="e">
        <f>'Product info'!#REF!</f>
        <v>#REF!</v>
      </c>
      <c r="H47" s="50" t="e">
        <f>'Product info'!#REF!</f>
        <v>#REF!</v>
      </c>
      <c r="I47" s="50" t="e">
        <f>'Product info'!#REF!</f>
        <v>#REF!</v>
      </c>
      <c r="J47" s="51" t="e">
        <f>'Product info'!#REF!</f>
        <v>#REF!</v>
      </c>
      <c r="K47" s="52" t="e">
        <f t="shared" si="3"/>
        <v>#REF!</v>
      </c>
      <c r="L47" s="50" t="e">
        <f t="shared" si="4"/>
        <v>#REF!</v>
      </c>
      <c r="M47" s="50" t="e">
        <f t="shared" si="5"/>
        <v>#REF!</v>
      </c>
      <c r="N47" s="50" t="e">
        <f t="shared" si="6"/>
        <v>#REF!</v>
      </c>
      <c r="O47" s="50" t="e">
        <f t="shared" si="7"/>
        <v>#REF!</v>
      </c>
      <c r="P47" s="53" t="e">
        <f t="shared" si="8"/>
        <v>#REF!</v>
      </c>
      <c r="Q47" s="54" t="e">
        <f>'Product info'!#REF!</f>
        <v>#REF!</v>
      </c>
      <c r="R47" s="54" t="e">
        <f>'Product info'!#REF!</f>
        <v>#REF!</v>
      </c>
      <c r="S47" s="54" t="e">
        <f>'Product info'!#REF!</f>
        <v>#REF!</v>
      </c>
      <c r="T47" s="50" t="e">
        <f>'Product info'!#REF!</f>
        <v>#REF!</v>
      </c>
      <c r="U47" s="52" t="e">
        <f t="shared" si="9"/>
        <v>#REF!</v>
      </c>
      <c r="V47" s="50" t="e">
        <f t="shared" si="10"/>
        <v>#REF!</v>
      </c>
      <c r="W47" s="50" t="e">
        <f t="shared" si="11"/>
        <v>#REF!</v>
      </c>
      <c r="X47" s="50" t="e">
        <f t="shared" si="12"/>
        <v>#REF!</v>
      </c>
      <c r="Y47" s="50" t="e">
        <f t="shared" si="13"/>
        <v>#REF!</v>
      </c>
      <c r="Z47" t="e">
        <f t="shared" si="14"/>
        <v>#REF!</v>
      </c>
    </row>
    <row r="48" spans="1:26" x14ac:dyDescent="0.4">
      <c r="A48" t="e">
        <f>'Product info'!#REF!</f>
        <v>#REF!</v>
      </c>
      <c r="B48" t="e">
        <f>'Product info'!#REF!</f>
        <v>#REF!</v>
      </c>
      <c r="C48" t="e">
        <f>'Product info'!#REF!</f>
        <v>#REF!</v>
      </c>
      <c r="D48" s="6" t="e">
        <f>'Product info'!#REF!</f>
        <v>#REF!</v>
      </c>
      <c r="E48" t="e">
        <f t="shared" si="2"/>
        <v>#REF!</v>
      </c>
      <c r="F48" s="50" t="e">
        <f>'Product info'!#REF!</f>
        <v>#REF!</v>
      </c>
      <c r="G48" s="50" t="e">
        <f>'Product info'!#REF!</f>
        <v>#REF!</v>
      </c>
      <c r="H48" s="50" t="e">
        <f>'Product info'!#REF!</f>
        <v>#REF!</v>
      </c>
      <c r="I48" s="50" t="e">
        <f>'Product info'!#REF!</f>
        <v>#REF!</v>
      </c>
      <c r="J48" s="51" t="e">
        <f>'Product info'!#REF!</f>
        <v>#REF!</v>
      </c>
      <c r="K48" s="52" t="e">
        <f t="shared" si="3"/>
        <v>#REF!</v>
      </c>
      <c r="L48" s="50" t="e">
        <f t="shared" si="4"/>
        <v>#REF!</v>
      </c>
      <c r="M48" s="50" t="e">
        <f t="shared" si="5"/>
        <v>#REF!</v>
      </c>
      <c r="N48" s="50" t="e">
        <f t="shared" si="6"/>
        <v>#REF!</v>
      </c>
      <c r="O48" s="50" t="e">
        <f t="shared" si="7"/>
        <v>#REF!</v>
      </c>
      <c r="P48" s="53" t="e">
        <f t="shared" si="8"/>
        <v>#REF!</v>
      </c>
      <c r="Q48" s="54" t="e">
        <f>'Product info'!#REF!</f>
        <v>#REF!</v>
      </c>
      <c r="R48" s="54" t="e">
        <f>'Product info'!#REF!</f>
        <v>#REF!</v>
      </c>
      <c r="S48" s="54" t="e">
        <f>'Product info'!#REF!</f>
        <v>#REF!</v>
      </c>
      <c r="T48" s="50" t="e">
        <f>'Product info'!#REF!</f>
        <v>#REF!</v>
      </c>
      <c r="U48" s="52" t="e">
        <f t="shared" si="9"/>
        <v>#REF!</v>
      </c>
      <c r="V48" s="50" t="e">
        <f t="shared" si="10"/>
        <v>#REF!</v>
      </c>
      <c r="W48" s="50" t="e">
        <f t="shared" si="11"/>
        <v>#REF!</v>
      </c>
      <c r="X48" s="50" t="e">
        <f t="shared" si="12"/>
        <v>#REF!</v>
      </c>
      <c r="Y48" s="50" t="e">
        <f t="shared" si="13"/>
        <v>#REF!</v>
      </c>
      <c r="Z48" t="e">
        <f t="shared" si="14"/>
        <v>#REF!</v>
      </c>
    </row>
    <row r="49" spans="1:26" x14ac:dyDescent="0.4">
      <c r="A49" t="e">
        <f>'Product info'!#REF!</f>
        <v>#REF!</v>
      </c>
      <c r="B49" t="e">
        <f>'Product info'!#REF!</f>
        <v>#REF!</v>
      </c>
      <c r="C49" t="e">
        <f>'Product info'!#REF!</f>
        <v>#REF!</v>
      </c>
      <c r="D49" s="6" t="e">
        <f>'Product info'!#REF!</f>
        <v>#REF!</v>
      </c>
      <c r="E49" t="e">
        <f t="shared" si="2"/>
        <v>#REF!</v>
      </c>
      <c r="F49" s="50" t="e">
        <f>'Product info'!#REF!</f>
        <v>#REF!</v>
      </c>
      <c r="G49" s="50" t="e">
        <f>'Product info'!#REF!</f>
        <v>#REF!</v>
      </c>
      <c r="H49" s="50" t="e">
        <f>'Product info'!#REF!</f>
        <v>#REF!</v>
      </c>
      <c r="I49" s="50" t="e">
        <f>'Product info'!#REF!</f>
        <v>#REF!</v>
      </c>
      <c r="J49" s="51" t="e">
        <f>'Product info'!#REF!</f>
        <v>#REF!</v>
      </c>
      <c r="K49" s="52" t="e">
        <f t="shared" si="3"/>
        <v>#REF!</v>
      </c>
      <c r="L49" s="50" t="e">
        <f t="shared" si="4"/>
        <v>#REF!</v>
      </c>
      <c r="M49" s="50" t="e">
        <f t="shared" si="5"/>
        <v>#REF!</v>
      </c>
      <c r="N49" s="50" t="e">
        <f t="shared" si="6"/>
        <v>#REF!</v>
      </c>
      <c r="O49" s="50" t="e">
        <f t="shared" si="7"/>
        <v>#REF!</v>
      </c>
      <c r="P49" s="53" t="e">
        <f t="shared" si="8"/>
        <v>#REF!</v>
      </c>
      <c r="Q49" s="54" t="e">
        <f>'Product info'!#REF!</f>
        <v>#REF!</v>
      </c>
      <c r="R49" s="54" t="e">
        <f>'Product info'!#REF!</f>
        <v>#REF!</v>
      </c>
      <c r="S49" s="54" t="e">
        <f>'Product info'!#REF!</f>
        <v>#REF!</v>
      </c>
      <c r="T49" s="50" t="e">
        <f>'Product info'!#REF!</f>
        <v>#REF!</v>
      </c>
      <c r="U49" s="52" t="e">
        <f t="shared" si="9"/>
        <v>#REF!</v>
      </c>
      <c r="V49" s="50" t="e">
        <f t="shared" si="10"/>
        <v>#REF!</v>
      </c>
      <c r="W49" s="50" t="e">
        <f t="shared" si="11"/>
        <v>#REF!</v>
      </c>
      <c r="X49" s="50" t="e">
        <f t="shared" si="12"/>
        <v>#REF!</v>
      </c>
      <c r="Y49" s="50" t="e">
        <f t="shared" si="13"/>
        <v>#REF!</v>
      </c>
      <c r="Z49" t="e">
        <f t="shared" si="14"/>
        <v>#REF!</v>
      </c>
    </row>
    <row r="50" spans="1:26" x14ac:dyDescent="0.4">
      <c r="A50" t="e">
        <f>'Product info'!#REF!</f>
        <v>#REF!</v>
      </c>
      <c r="B50" t="e">
        <f>'Product info'!#REF!</f>
        <v>#REF!</v>
      </c>
      <c r="C50" t="e">
        <f>'Product info'!#REF!</f>
        <v>#REF!</v>
      </c>
      <c r="D50" s="6" t="e">
        <f>'Product info'!#REF!</f>
        <v>#REF!</v>
      </c>
      <c r="E50" t="e">
        <f t="shared" si="2"/>
        <v>#REF!</v>
      </c>
      <c r="F50" s="50" t="e">
        <f>'Product info'!#REF!</f>
        <v>#REF!</v>
      </c>
      <c r="G50" s="50" t="e">
        <f>'Product info'!#REF!</f>
        <v>#REF!</v>
      </c>
      <c r="H50" s="50" t="e">
        <f>'Product info'!#REF!</f>
        <v>#REF!</v>
      </c>
      <c r="I50" s="50" t="e">
        <f>'Product info'!#REF!</f>
        <v>#REF!</v>
      </c>
      <c r="J50" s="51" t="e">
        <f>'Product info'!#REF!</f>
        <v>#REF!</v>
      </c>
      <c r="K50" s="52" t="e">
        <f t="shared" si="3"/>
        <v>#REF!</v>
      </c>
      <c r="L50" s="50" t="e">
        <f t="shared" si="4"/>
        <v>#REF!</v>
      </c>
      <c r="M50" s="50" t="e">
        <f t="shared" si="5"/>
        <v>#REF!</v>
      </c>
      <c r="N50" s="50" t="e">
        <f t="shared" si="6"/>
        <v>#REF!</v>
      </c>
      <c r="O50" s="50" t="e">
        <f t="shared" si="7"/>
        <v>#REF!</v>
      </c>
      <c r="P50" s="53" t="e">
        <f t="shared" si="8"/>
        <v>#REF!</v>
      </c>
      <c r="Q50" s="54" t="e">
        <f>'Product info'!#REF!</f>
        <v>#REF!</v>
      </c>
      <c r="R50" s="54" t="e">
        <f>'Product info'!#REF!</f>
        <v>#REF!</v>
      </c>
      <c r="S50" s="54" t="e">
        <f>'Product info'!#REF!</f>
        <v>#REF!</v>
      </c>
      <c r="T50" s="50" t="e">
        <f>'Product info'!#REF!</f>
        <v>#REF!</v>
      </c>
      <c r="U50" s="52" t="e">
        <f t="shared" si="9"/>
        <v>#REF!</v>
      </c>
      <c r="V50" s="50" t="e">
        <f t="shared" si="10"/>
        <v>#REF!</v>
      </c>
      <c r="W50" s="50" t="e">
        <f t="shared" si="11"/>
        <v>#REF!</v>
      </c>
      <c r="X50" s="50" t="e">
        <f t="shared" si="12"/>
        <v>#REF!</v>
      </c>
      <c r="Y50" s="50" t="e">
        <f t="shared" si="13"/>
        <v>#REF!</v>
      </c>
      <c r="Z50" t="e">
        <f t="shared" si="14"/>
        <v>#REF!</v>
      </c>
    </row>
    <row r="51" spans="1:26" x14ac:dyDescent="0.4">
      <c r="A51" t="e">
        <f>'Product info'!#REF!</f>
        <v>#REF!</v>
      </c>
      <c r="B51" t="e">
        <f>'Product info'!#REF!</f>
        <v>#REF!</v>
      </c>
      <c r="C51" t="e">
        <f>'Product info'!#REF!</f>
        <v>#REF!</v>
      </c>
      <c r="D51" s="6" t="e">
        <f>'Product info'!#REF!</f>
        <v>#REF!</v>
      </c>
      <c r="E51" t="e">
        <f t="shared" si="2"/>
        <v>#REF!</v>
      </c>
      <c r="F51" s="50" t="e">
        <f>'Product info'!#REF!</f>
        <v>#REF!</v>
      </c>
      <c r="G51" s="50" t="e">
        <f>'Product info'!#REF!</f>
        <v>#REF!</v>
      </c>
      <c r="H51" s="50" t="e">
        <f>'Product info'!#REF!</f>
        <v>#REF!</v>
      </c>
      <c r="I51" s="50" t="e">
        <f>'Product info'!#REF!</f>
        <v>#REF!</v>
      </c>
      <c r="J51" s="51" t="e">
        <f>'Product info'!#REF!</f>
        <v>#REF!</v>
      </c>
      <c r="K51" s="52" t="e">
        <f t="shared" si="3"/>
        <v>#REF!</v>
      </c>
      <c r="L51" s="50" t="e">
        <f t="shared" si="4"/>
        <v>#REF!</v>
      </c>
      <c r="M51" s="50" t="e">
        <f t="shared" si="5"/>
        <v>#REF!</v>
      </c>
      <c r="N51" s="50" t="e">
        <f t="shared" si="6"/>
        <v>#REF!</v>
      </c>
      <c r="O51" s="50" t="e">
        <f t="shared" si="7"/>
        <v>#REF!</v>
      </c>
      <c r="P51" s="53" t="e">
        <f t="shared" si="8"/>
        <v>#REF!</v>
      </c>
      <c r="Q51" s="54" t="e">
        <f>'Product info'!#REF!</f>
        <v>#REF!</v>
      </c>
      <c r="R51" s="54" t="e">
        <f>'Product info'!#REF!</f>
        <v>#REF!</v>
      </c>
      <c r="S51" s="54" t="e">
        <f>'Product info'!#REF!</f>
        <v>#REF!</v>
      </c>
      <c r="T51" s="50" t="e">
        <f>'Product info'!#REF!</f>
        <v>#REF!</v>
      </c>
      <c r="U51" s="52" t="e">
        <f t="shared" si="9"/>
        <v>#REF!</v>
      </c>
      <c r="V51" s="50" t="e">
        <f t="shared" si="10"/>
        <v>#REF!</v>
      </c>
      <c r="W51" s="50" t="e">
        <f t="shared" si="11"/>
        <v>#REF!</v>
      </c>
      <c r="X51" s="50" t="e">
        <f t="shared" si="12"/>
        <v>#REF!</v>
      </c>
      <c r="Y51" s="50" t="e">
        <f t="shared" si="13"/>
        <v>#REF!</v>
      </c>
      <c r="Z51" t="e">
        <f t="shared" si="14"/>
        <v>#REF!</v>
      </c>
    </row>
    <row r="52" spans="1:26" x14ac:dyDescent="0.4">
      <c r="A52" t="e">
        <f>'Product info'!#REF!</f>
        <v>#REF!</v>
      </c>
      <c r="B52" t="e">
        <f>'Product info'!#REF!</f>
        <v>#REF!</v>
      </c>
      <c r="C52" t="e">
        <f>'Product info'!#REF!</f>
        <v>#REF!</v>
      </c>
      <c r="D52" s="6" t="e">
        <f>'Product info'!#REF!</f>
        <v>#REF!</v>
      </c>
      <c r="E52" t="e">
        <f t="shared" si="2"/>
        <v>#REF!</v>
      </c>
      <c r="F52" s="50" t="e">
        <f>'Product info'!#REF!</f>
        <v>#REF!</v>
      </c>
      <c r="G52" s="50" t="e">
        <f>'Product info'!#REF!</f>
        <v>#REF!</v>
      </c>
      <c r="H52" s="50" t="e">
        <f>'Product info'!#REF!</f>
        <v>#REF!</v>
      </c>
      <c r="I52" s="50" t="e">
        <f>'Product info'!#REF!</f>
        <v>#REF!</v>
      </c>
      <c r="J52" s="51" t="e">
        <f>'Product info'!#REF!</f>
        <v>#REF!</v>
      </c>
      <c r="K52" s="52" t="e">
        <f t="shared" si="3"/>
        <v>#REF!</v>
      </c>
      <c r="L52" s="50" t="e">
        <f t="shared" si="4"/>
        <v>#REF!</v>
      </c>
      <c r="M52" s="50" t="e">
        <f t="shared" si="5"/>
        <v>#REF!</v>
      </c>
      <c r="N52" s="50" t="e">
        <f t="shared" si="6"/>
        <v>#REF!</v>
      </c>
      <c r="O52" s="50" t="e">
        <f t="shared" si="7"/>
        <v>#REF!</v>
      </c>
      <c r="P52" s="53" t="e">
        <f t="shared" si="8"/>
        <v>#REF!</v>
      </c>
      <c r="Q52" s="54" t="e">
        <f>'Product info'!#REF!</f>
        <v>#REF!</v>
      </c>
      <c r="R52" s="54" t="e">
        <f>'Product info'!#REF!</f>
        <v>#REF!</v>
      </c>
      <c r="S52" s="54" t="e">
        <f>'Product info'!#REF!</f>
        <v>#REF!</v>
      </c>
      <c r="T52" s="50" t="e">
        <f>'Product info'!#REF!</f>
        <v>#REF!</v>
      </c>
      <c r="U52" s="52" t="e">
        <f t="shared" si="9"/>
        <v>#REF!</v>
      </c>
      <c r="V52" s="50" t="e">
        <f t="shared" si="10"/>
        <v>#REF!</v>
      </c>
      <c r="W52" s="50" t="e">
        <f t="shared" si="11"/>
        <v>#REF!</v>
      </c>
      <c r="X52" s="50" t="e">
        <f t="shared" si="12"/>
        <v>#REF!</v>
      </c>
      <c r="Y52" s="50" t="e">
        <f t="shared" si="13"/>
        <v>#REF!</v>
      </c>
      <c r="Z52" t="e">
        <f t="shared" si="14"/>
        <v>#REF!</v>
      </c>
    </row>
    <row r="53" spans="1:26" x14ac:dyDescent="0.4">
      <c r="A53" t="e">
        <f>'Product info'!#REF!</f>
        <v>#REF!</v>
      </c>
      <c r="B53" t="e">
        <f>'Product info'!#REF!</f>
        <v>#REF!</v>
      </c>
      <c r="C53" t="e">
        <f>'Product info'!#REF!</f>
        <v>#REF!</v>
      </c>
      <c r="D53" s="6" t="e">
        <f>'Product info'!#REF!</f>
        <v>#REF!</v>
      </c>
      <c r="E53" t="e">
        <f t="shared" si="2"/>
        <v>#REF!</v>
      </c>
      <c r="F53" s="50" t="e">
        <f>'Product info'!#REF!</f>
        <v>#REF!</v>
      </c>
      <c r="G53" s="50" t="e">
        <f>'Product info'!#REF!</f>
        <v>#REF!</v>
      </c>
      <c r="H53" s="50" t="e">
        <f>'Product info'!#REF!</f>
        <v>#REF!</v>
      </c>
      <c r="I53" s="50" t="e">
        <f>'Product info'!#REF!</f>
        <v>#REF!</v>
      </c>
      <c r="J53" s="51" t="e">
        <f>'Product info'!#REF!</f>
        <v>#REF!</v>
      </c>
      <c r="K53" s="52" t="e">
        <f t="shared" si="3"/>
        <v>#REF!</v>
      </c>
      <c r="L53" s="50" t="e">
        <f t="shared" si="4"/>
        <v>#REF!</v>
      </c>
      <c r="M53" s="50" t="e">
        <f t="shared" si="5"/>
        <v>#REF!</v>
      </c>
      <c r="N53" s="50" t="e">
        <f t="shared" si="6"/>
        <v>#REF!</v>
      </c>
      <c r="O53" s="50" t="e">
        <f t="shared" si="7"/>
        <v>#REF!</v>
      </c>
      <c r="P53" s="53" t="e">
        <f t="shared" si="8"/>
        <v>#REF!</v>
      </c>
      <c r="Q53" s="54" t="e">
        <f>'Product info'!#REF!</f>
        <v>#REF!</v>
      </c>
      <c r="R53" s="54" t="e">
        <f>'Product info'!#REF!</f>
        <v>#REF!</v>
      </c>
      <c r="S53" s="54" t="e">
        <f>'Product info'!#REF!</f>
        <v>#REF!</v>
      </c>
      <c r="T53" s="50" t="e">
        <f>'Product info'!#REF!</f>
        <v>#REF!</v>
      </c>
      <c r="U53" s="52" t="e">
        <f t="shared" si="9"/>
        <v>#REF!</v>
      </c>
      <c r="V53" s="50" t="e">
        <f t="shared" si="10"/>
        <v>#REF!</v>
      </c>
      <c r="W53" s="50" t="e">
        <f t="shared" si="11"/>
        <v>#REF!</v>
      </c>
      <c r="X53" s="50" t="e">
        <f t="shared" si="12"/>
        <v>#REF!</v>
      </c>
      <c r="Y53" s="50" t="e">
        <f t="shared" si="13"/>
        <v>#REF!</v>
      </c>
      <c r="Z53" t="e">
        <f t="shared" si="14"/>
        <v>#REF!</v>
      </c>
    </row>
    <row r="54" spans="1:26" x14ac:dyDescent="0.4">
      <c r="A54" t="e">
        <f>'Product info'!#REF!</f>
        <v>#REF!</v>
      </c>
      <c r="B54" t="e">
        <f>'Product info'!#REF!</f>
        <v>#REF!</v>
      </c>
      <c r="C54" t="e">
        <f>'Product info'!#REF!</f>
        <v>#REF!</v>
      </c>
      <c r="D54" s="6" t="e">
        <f>'Product info'!#REF!</f>
        <v>#REF!</v>
      </c>
      <c r="E54" t="e">
        <f t="shared" si="2"/>
        <v>#REF!</v>
      </c>
      <c r="F54" s="50" t="e">
        <f>'Product info'!#REF!</f>
        <v>#REF!</v>
      </c>
      <c r="G54" s="50" t="e">
        <f>'Product info'!#REF!</f>
        <v>#REF!</v>
      </c>
      <c r="H54" s="50" t="e">
        <f>'Product info'!#REF!</f>
        <v>#REF!</v>
      </c>
      <c r="I54" s="50" t="e">
        <f>'Product info'!#REF!</f>
        <v>#REF!</v>
      </c>
      <c r="J54" s="51" t="e">
        <f>'Product info'!#REF!</f>
        <v>#REF!</v>
      </c>
      <c r="K54" s="52" t="e">
        <f t="shared" si="3"/>
        <v>#REF!</v>
      </c>
      <c r="L54" s="50" t="e">
        <f t="shared" si="4"/>
        <v>#REF!</v>
      </c>
      <c r="M54" s="50" t="e">
        <f t="shared" si="5"/>
        <v>#REF!</v>
      </c>
      <c r="N54" s="50" t="e">
        <f t="shared" si="6"/>
        <v>#REF!</v>
      </c>
      <c r="O54" s="50" t="e">
        <f t="shared" si="7"/>
        <v>#REF!</v>
      </c>
      <c r="P54" s="53" t="e">
        <f t="shared" si="8"/>
        <v>#REF!</v>
      </c>
      <c r="Q54" s="54" t="e">
        <f>'Product info'!#REF!</f>
        <v>#REF!</v>
      </c>
      <c r="R54" s="54" t="e">
        <f>'Product info'!#REF!</f>
        <v>#REF!</v>
      </c>
      <c r="S54" s="54" t="e">
        <f>'Product info'!#REF!</f>
        <v>#REF!</v>
      </c>
      <c r="T54" s="50" t="e">
        <f>'Product info'!#REF!</f>
        <v>#REF!</v>
      </c>
      <c r="U54" s="52" t="e">
        <f t="shared" si="9"/>
        <v>#REF!</v>
      </c>
      <c r="V54" s="50" t="e">
        <f t="shared" si="10"/>
        <v>#REF!</v>
      </c>
      <c r="W54" s="50" t="e">
        <f t="shared" si="11"/>
        <v>#REF!</v>
      </c>
      <c r="X54" s="50" t="e">
        <f t="shared" si="12"/>
        <v>#REF!</v>
      </c>
      <c r="Y54" s="50" t="e">
        <f t="shared" si="13"/>
        <v>#REF!</v>
      </c>
      <c r="Z54" t="e">
        <f t="shared" si="14"/>
        <v>#REF!</v>
      </c>
    </row>
    <row r="55" spans="1:26" x14ac:dyDescent="0.4">
      <c r="A55" t="e">
        <f>'Product info'!#REF!</f>
        <v>#REF!</v>
      </c>
      <c r="B55" t="e">
        <f>'Product info'!#REF!</f>
        <v>#REF!</v>
      </c>
      <c r="C55" t="e">
        <f>'Product info'!#REF!</f>
        <v>#REF!</v>
      </c>
      <c r="D55" s="6" t="e">
        <f>'Product info'!#REF!</f>
        <v>#REF!</v>
      </c>
      <c r="E55" t="e">
        <f t="shared" si="2"/>
        <v>#REF!</v>
      </c>
      <c r="F55" s="50" t="e">
        <f>'Product info'!#REF!</f>
        <v>#REF!</v>
      </c>
      <c r="G55" s="50" t="e">
        <f>'Product info'!#REF!</f>
        <v>#REF!</v>
      </c>
      <c r="H55" s="50" t="e">
        <f>'Product info'!#REF!</f>
        <v>#REF!</v>
      </c>
      <c r="I55" s="50" t="e">
        <f>'Product info'!#REF!</f>
        <v>#REF!</v>
      </c>
      <c r="J55" s="51" t="e">
        <f>'Product info'!#REF!</f>
        <v>#REF!</v>
      </c>
      <c r="K55" s="52" t="e">
        <f t="shared" si="3"/>
        <v>#REF!</v>
      </c>
      <c r="L55" s="50" t="e">
        <f t="shared" si="4"/>
        <v>#REF!</v>
      </c>
      <c r="M55" s="50" t="e">
        <f t="shared" si="5"/>
        <v>#REF!</v>
      </c>
      <c r="N55" s="50" t="e">
        <f t="shared" si="6"/>
        <v>#REF!</v>
      </c>
      <c r="O55" s="50" t="e">
        <f t="shared" si="7"/>
        <v>#REF!</v>
      </c>
      <c r="P55" s="53" t="e">
        <f t="shared" si="8"/>
        <v>#REF!</v>
      </c>
      <c r="Q55" s="54" t="e">
        <f>'Product info'!#REF!</f>
        <v>#REF!</v>
      </c>
      <c r="R55" s="54" t="e">
        <f>'Product info'!#REF!</f>
        <v>#REF!</v>
      </c>
      <c r="S55" s="54" t="e">
        <f>'Product info'!#REF!</f>
        <v>#REF!</v>
      </c>
      <c r="T55" s="50" t="e">
        <f>'Product info'!#REF!</f>
        <v>#REF!</v>
      </c>
      <c r="U55" s="52" t="e">
        <f t="shared" si="9"/>
        <v>#REF!</v>
      </c>
      <c r="V55" s="50" t="e">
        <f t="shared" si="10"/>
        <v>#REF!</v>
      </c>
      <c r="W55" s="50" t="e">
        <f t="shared" si="11"/>
        <v>#REF!</v>
      </c>
      <c r="X55" s="50" t="e">
        <f t="shared" si="12"/>
        <v>#REF!</v>
      </c>
      <c r="Y55" s="50" t="e">
        <f t="shared" si="13"/>
        <v>#REF!</v>
      </c>
      <c r="Z55" t="e">
        <f t="shared" si="14"/>
        <v>#REF!</v>
      </c>
    </row>
    <row r="56" spans="1:26" x14ac:dyDescent="0.4">
      <c r="A56" t="e">
        <f>'Product info'!#REF!</f>
        <v>#REF!</v>
      </c>
      <c r="B56" t="e">
        <f>'Product info'!#REF!</f>
        <v>#REF!</v>
      </c>
      <c r="C56" t="e">
        <f>'Product info'!#REF!</f>
        <v>#REF!</v>
      </c>
      <c r="D56" s="6" t="e">
        <f>'Product info'!#REF!</f>
        <v>#REF!</v>
      </c>
      <c r="E56" t="e">
        <f t="shared" si="2"/>
        <v>#REF!</v>
      </c>
      <c r="F56" s="50" t="e">
        <f>'Product info'!#REF!</f>
        <v>#REF!</v>
      </c>
      <c r="G56" s="50" t="e">
        <f>'Product info'!#REF!</f>
        <v>#REF!</v>
      </c>
      <c r="H56" s="50" t="e">
        <f>'Product info'!#REF!</f>
        <v>#REF!</v>
      </c>
      <c r="I56" s="50" t="e">
        <f>'Product info'!#REF!</f>
        <v>#REF!</v>
      </c>
      <c r="J56" s="51" t="e">
        <f>'Product info'!#REF!</f>
        <v>#REF!</v>
      </c>
      <c r="K56" s="52" t="e">
        <f t="shared" si="3"/>
        <v>#REF!</v>
      </c>
      <c r="L56" s="50" t="e">
        <f t="shared" si="4"/>
        <v>#REF!</v>
      </c>
      <c r="M56" s="50" t="e">
        <f t="shared" si="5"/>
        <v>#REF!</v>
      </c>
      <c r="N56" s="50" t="e">
        <f t="shared" si="6"/>
        <v>#REF!</v>
      </c>
      <c r="O56" s="50" t="e">
        <f t="shared" si="7"/>
        <v>#REF!</v>
      </c>
      <c r="P56" s="53" t="e">
        <f t="shared" si="8"/>
        <v>#REF!</v>
      </c>
      <c r="Q56" s="54" t="e">
        <f>'Product info'!#REF!</f>
        <v>#REF!</v>
      </c>
      <c r="R56" s="54" t="e">
        <f>'Product info'!#REF!</f>
        <v>#REF!</v>
      </c>
      <c r="S56" s="54" t="e">
        <f>'Product info'!#REF!</f>
        <v>#REF!</v>
      </c>
      <c r="T56" s="50" t="e">
        <f>'Product info'!#REF!</f>
        <v>#REF!</v>
      </c>
      <c r="U56" s="52" t="e">
        <f t="shared" si="9"/>
        <v>#REF!</v>
      </c>
      <c r="V56" s="50" t="e">
        <f t="shared" si="10"/>
        <v>#REF!</v>
      </c>
      <c r="W56" s="50" t="e">
        <f t="shared" si="11"/>
        <v>#REF!</v>
      </c>
      <c r="X56" s="50" t="e">
        <f t="shared" si="12"/>
        <v>#REF!</v>
      </c>
      <c r="Y56" s="50" t="e">
        <f t="shared" si="13"/>
        <v>#REF!</v>
      </c>
      <c r="Z56" t="e">
        <f t="shared" si="14"/>
        <v>#REF!</v>
      </c>
    </row>
    <row r="57" spans="1:26" x14ac:dyDescent="0.4">
      <c r="A57" t="e">
        <f>'Product info'!#REF!</f>
        <v>#REF!</v>
      </c>
      <c r="B57" t="e">
        <f>'Product info'!#REF!</f>
        <v>#REF!</v>
      </c>
      <c r="C57" t="e">
        <f>'Product info'!#REF!</f>
        <v>#REF!</v>
      </c>
      <c r="D57" s="6" t="e">
        <f>'Product info'!#REF!</f>
        <v>#REF!</v>
      </c>
      <c r="E57" t="e">
        <f t="shared" si="2"/>
        <v>#REF!</v>
      </c>
      <c r="F57" s="50" t="e">
        <f>'Product info'!#REF!</f>
        <v>#REF!</v>
      </c>
      <c r="G57" s="50" t="e">
        <f>'Product info'!#REF!</f>
        <v>#REF!</v>
      </c>
      <c r="H57" s="50" t="e">
        <f>'Product info'!#REF!</f>
        <v>#REF!</v>
      </c>
      <c r="I57" s="50" t="e">
        <f>'Product info'!#REF!</f>
        <v>#REF!</v>
      </c>
      <c r="J57" s="51" t="e">
        <f>'Product info'!#REF!</f>
        <v>#REF!</v>
      </c>
      <c r="K57" s="52" t="e">
        <f t="shared" si="3"/>
        <v>#REF!</v>
      </c>
      <c r="L57" s="50" t="e">
        <f t="shared" si="4"/>
        <v>#REF!</v>
      </c>
      <c r="M57" s="50" t="e">
        <f t="shared" si="5"/>
        <v>#REF!</v>
      </c>
      <c r="N57" s="50" t="e">
        <f t="shared" si="6"/>
        <v>#REF!</v>
      </c>
      <c r="O57" s="50" t="e">
        <f t="shared" si="7"/>
        <v>#REF!</v>
      </c>
      <c r="P57" s="53" t="e">
        <f t="shared" si="8"/>
        <v>#REF!</v>
      </c>
      <c r="Q57" s="54" t="e">
        <f>'Product info'!#REF!</f>
        <v>#REF!</v>
      </c>
      <c r="R57" s="54" t="e">
        <f>'Product info'!#REF!</f>
        <v>#REF!</v>
      </c>
      <c r="S57" s="54" t="e">
        <f>'Product info'!#REF!</f>
        <v>#REF!</v>
      </c>
      <c r="T57" s="50" t="e">
        <f>'Product info'!#REF!</f>
        <v>#REF!</v>
      </c>
      <c r="U57" s="52" t="e">
        <f t="shared" si="9"/>
        <v>#REF!</v>
      </c>
      <c r="V57" s="50" t="e">
        <f t="shared" si="10"/>
        <v>#REF!</v>
      </c>
      <c r="W57" s="50" t="e">
        <f t="shared" si="11"/>
        <v>#REF!</v>
      </c>
      <c r="X57" s="50" t="e">
        <f t="shared" si="12"/>
        <v>#REF!</v>
      </c>
      <c r="Y57" s="50" t="e">
        <f t="shared" si="13"/>
        <v>#REF!</v>
      </c>
      <c r="Z57" t="e">
        <f t="shared" si="14"/>
        <v>#REF!</v>
      </c>
    </row>
    <row r="58" spans="1:26" x14ac:dyDescent="0.4">
      <c r="A58" t="e">
        <f>'Product info'!#REF!</f>
        <v>#REF!</v>
      </c>
      <c r="B58" t="e">
        <f>'Product info'!#REF!</f>
        <v>#REF!</v>
      </c>
      <c r="C58" t="e">
        <f>'Product info'!#REF!</f>
        <v>#REF!</v>
      </c>
      <c r="D58" s="6" t="e">
        <f>'Product info'!#REF!</f>
        <v>#REF!</v>
      </c>
      <c r="E58" t="e">
        <f t="shared" si="2"/>
        <v>#REF!</v>
      </c>
      <c r="F58" s="50" t="e">
        <f>'Product info'!#REF!</f>
        <v>#REF!</v>
      </c>
      <c r="G58" s="50" t="e">
        <f>'Product info'!#REF!</f>
        <v>#REF!</v>
      </c>
      <c r="H58" s="50" t="e">
        <f>'Product info'!#REF!</f>
        <v>#REF!</v>
      </c>
      <c r="I58" s="50" t="e">
        <f>'Product info'!#REF!</f>
        <v>#REF!</v>
      </c>
      <c r="J58" s="51" t="e">
        <f>'Product info'!#REF!</f>
        <v>#REF!</v>
      </c>
      <c r="K58" s="52" t="e">
        <f t="shared" si="3"/>
        <v>#REF!</v>
      </c>
      <c r="L58" s="50" t="e">
        <f t="shared" si="4"/>
        <v>#REF!</v>
      </c>
      <c r="M58" s="50" t="e">
        <f t="shared" si="5"/>
        <v>#REF!</v>
      </c>
      <c r="N58" s="50" t="e">
        <f t="shared" si="6"/>
        <v>#REF!</v>
      </c>
      <c r="O58" s="50" t="e">
        <f t="shared" si="7"/>
        <v>#REF!</v>
      </c>
      <c r="P58" s="53" t="e">
        <f t="shared" si="8"/>
        <v>#REF!</v>
      </c>
      <c r="Q58" s="54" t="e">
        <f>'Product info'!#REF!</f>
        <v>#REF!</v>
      </c>
      <c r="R58" s="54" t="e">
        <f>'Product info'!#REF!</f>
        <v>#REF!</v>
      </c>
      <c r="S58" s="54" t="e">
        <f>'Product info'!#REF!</f>
        <v>#REF!</v>
      </c>
      <c r="T58" s="50" t="e">
        <f>'Product info'!#REF!</f>
        <v>#REF!</v>
      </c>
      <c r="U58" s="52" t="e">
        <f t="shared" si="9"/>
        <v>#REF!</v>
      </c>
      <c r="V58" s="50" t="e">
        <f t="shared" si="10"/>
        <v>#REF!</v>
      </c>
      <c r="W58" s="50" t="e">
        <f t="shared" si="11"/>
        <v>#REF!</v>
      </c>
      <c r="X58" s="50" t="e">
        <f t="shared" si="12"/>
        <v>#REF!</v>
      </c>
      <c r="Y58" s="50" t="e">
        <f t="shared" si="13"/>
        <v>#REF!</v>
      </c>
      <c r="Z58" t="e">
        <f t="shared" si="14"/>
        <v>#REF!</v>
      </c>
    </row>
    <row r="59" spans="1:26" x14ac:dyDescent="0.4">
      <c r="A59" t="e">
        <f>'Product info'!#REF!</f>
        <v>#REF!</v>
      </c>
      <c r="B59" t="e">
        <f>'Product info'!#REF!</f>
        <v>#REF!</v>
      </c>
      <c r="C59" t="e">
        <f>'Product info'!#REF!</f>
        <v>#REF!</v>
      </c>
      <c r="D59" s="6" t="e">
        <f>'Product info'!#REF!</f>
        <v>#REF!</v>
      </c>
      <c r="E59" t="e">
        <f t="shared" si="2"/>
        <v>#REF!</v>
      </c>
      <c r="F59" s="50" t="e">
        <f>'Product info'!#REF!</f>
        <v>#REF!</v>
      </c>
      <c r="G59" s="50" t="e">
        <f>'Product info'!#REF!</f>
        <v>#REF!</v>
      </c>
      <c r="H59" s="50" t="e">
        <f>'Product info'!#REF!</f>
        <v>#REF!</v>
      </c>
      <c r="I59" s="50" t="e">
        <f>'Product info'!#REF!</f>
        <v>#REF!</v>
      </c>
      <c r="J59" s="51" t="e">
        <f>'Product info'!#REF!</f>
        <v>#REF!</v>
      </c>
      <c r="K59" s="52" t="e">
        <f t="shared" si="3"/>
        <v>#REF!</v>
      </c>
      <c r="L59" s="50" t="e">
        <f t="shared" si="4"/>
        <v>#REF!</v>
      </c>
      <c r="M59" s="50" t="e">
        <f t="shared" si="5"/>
        <v>#REF!</v>
      </c>
      <c r="N59" s="50" t="e">
        <f t="shared" si="6"/>
        <v>#REF!</v>
      </c>
      <c r="O59" s="50" t="e">
        <f t="shared" si="7"/>
        <v>#REF!</v>
      </c>
      <c r="P59" s="53" t="e">
        <f t="shared" si="8"/>
        <v>#REF!</v>
      </c>
      <c r="Q59" s="54" t="e">
        <f>'Product info'!#REF!</f>
        <v>#REF!</v>
      </c>
      <c r="R59" s="54" t="e">
        <f>'Product info'!#REF!</f>
        <v>#REF!</v>
      </c>
      <c r="S59" s="54" t="e">
        <f>'Product info'!#REF!</f>
        <v>#REF!</v>
      </c>
      <c r="T59" s="50" t="e">
        <f>'Product info'!#REF!</f>
        <v>#REF!</v>
      </c>
      <c r="U59" s="52" t="e">
        <f t="shared" si="9"/>
        <v>#REF!</v>
      </c>
      <c r="V59" s="50" t="e">
        <f t="shared" si="10"/>
        <v>#REF!</v>
      </c>
      <c r="W59" s="50" t="e">
        <f t="shared" si="11"/>
        <v>#REF!</v>
      </c>
      <c r="X59" s="50" t="e">
        <f t="shared" si="12"/>
        <v>#REF!</v>
      </c>
      <c r="Y59" s="50" t="e">
        <f t="shared" si="13"/>
        <v>#REF!</v>
      </c>
      <c r="Z59" t="e">
        <f t="shared" si="14"/>
        <v>#REF!</v>
      </c>
    </row>
    <row r="60" spans="1:26" x14ac:dyDescent="0.4">
      <c r="A60" t="e">
        <f>'Product info'!#REF!</f>
        <v>#REF!</v>
      </c>
      <c r="B60" t="e">
        <f>'Product info'!#REF!</f>
        <v>#REF!</v>
      </c>
      <c r="C60" t="e">
        <f>'Product info'!#REF!</f>
        <v>#REF!</v>
      </c>
      <c r="D60" s="6" t="e">
        <f>'Product info'!#REF!</f>
        <v>#REF!</v>
      </c>
      <c r="E60" t="e">
        <f t="shared" si="2"/>
        <v>#REF!</v>
      </c>
      <c r="F60" s="50" t="e">
        <f>'Product info'!#REF!</f>
        <v>#REF!</v>
      </c>
      <c r="G60" s="50" t="e">
        <f>'Product info'!#REF!</f>
        <v>#REF!</v>
      </c>
      <c r="H60" s="50" t="e">
        <f>'Product info'!#REF!</f>
        <v>#REF!</v>
      </c>
      <c r="I60" s="50" t="e">
        <f>'Product info'!#REF!</f>
        <v>#REF!</v>
      </c>
      <c r="J60" s="51" t="e">
        <f>'Product info'!#REF!</f>
        <v>#REF!</v>
      </c>
      <c r="K60" s="52" t="e">
        <f t="shared" si="3"/>
        <v>#REF!</v>
      </c>
      <c r="L60" s="50" t="e">
        <f t="shared" si="4"/>
        <v>#REF!</v>
      </c>
      <c r="M60" s="50" t="e">
        <f t="shared" si="5"/>
        <v>#REF!</v>
      </c>
      <c r="N60" s="50" t="e">
        <f t="shared" si="6"/>
        <v>#REF!</v>
      </c>
      <c r="O60" s="50" t="e">
        <f t="shared" si="7"/>
        <v>#REF!</v>
      </c>
      <c r="P60" s="53" t="e">
        <f t="shared" si="8"/>
        <v>#REF!</v>
      </c>
      <c r="Q60" s="54" t="e">
        <f>'Product info'!#REF!</f>
        <v>#REF!</v>
      </c>
      <c r="R60" s="54" t="e">
        <f>'Product info'!#REF!</f>
        <v>#REF!</v>
      </c>
      <c r="S60" s="54" t="e">
        <f>'Product info'!#REF!</f>
        <v>#REF!</v>
      </c>
      <c r="T60" s="50" t="e">
        <f>'Product info'!#REF!</f>
        <v>#REF!</v>
      </c>
      <c r="U60" s="52" t="e">
        <f t="shared" si="9"/>
        <v>#REF!</v>
      </c>
      <c r="V60" s="50" t="e">
        <f t="shared" si="10"/>
        <v>#REF!</v>
      </c>
      <c r="W60" s="50" t="e">
        <f t="shared" si="11"/>
        <v>#REF!</v>
      </c>
      <c r="X60" s="50" t="e">
        <f t="shared" si="12"/>
        <v>#REF!</v>
      </c>
      <c r="Y60" s="50" t="e">
        <f t="shared" si="13"/>
        <v>#REF!</v>
      </c>
      <c r="Z60" t="e">
        <f t="shared" si="14"/>
        <v>#REF!</v>
      </c>
    </row>
    <row r="61" spans="1:26" x14ac:dyDescent="0.4">
      <c r="A61" t="e">
        <f>'Product info'!#REF!</f>
        <v>#REF!</v>
      </c>
      <c r="B61" t="e">
        <f>'Product info'!#REF!</f>
        <v>#REF!</v>
      </c>
      <c r="C61" t="e">
        <f>'Product info'!#REF!</f>
        <v>#REF!</v>
      </c>
      <c r="D61" s="6" t="e">
        <f>'Product info'!#REF!</f>
        <v>#REF!</v>
      </c>
      <c r="E61" t="e">
        <f t="shared" si="2"/>
        <v>#REF!</v>
      </c>
      <c r="F61" s="50" t="e">
        <f>'Product info'!#REF!</f>
        <v>#REF!</v>
      </c>
      <c r="G61" s="50" t="e">
        <f>'Product info'!#REF!</f>
        <v>#REF!</v>
      </c>
      <c r="H61" s="50" t="e">
        <f>'Product info'!#REF!</f>
        <v>#REF!</v>
      </c>
      <c r="I61" s="50" t="e">
        <f>'Product info'!#REF!</f>
        <v>#REF!</v>
      </c>
      <c r="J61" s="51" t="e">
        <f>'Product info'!#REF!</f>
        <v>#REF!</v>
      </c>
      <c r="K61" s="52" t="e">
        <f t="shared" si="3"/>
        <v>#REF!</v>
      </c>
      <c r="L61" s="50" t="e">
        <f t="shared" si="4"/>
        <v>#REF!</v>
      </c>
      <c r="M61" s="50" t="e">
        <f t="shared" si="5"/>
        <v>#REF!</v>
      </c>
      <c r="N61" s="50" t="e">
        <f t="shared" si="6"/>
        <v>#REF!</v>
      </c>
      <c r="O61" s="50" t="e">
        <f t="shared" si="7"/>
        <v>#REF!</v>
      </c>
      <c r="P61" s="53" t="e">
        <f t="shared" si="8"/>
        <v>#REF!</v>
      </c>
      <c r="Q61" s="54" t="e">
        <f>'Product info'!#REF!</f>
        <v>#REF!</v>
      </c>
      <c r="R61" s="54" t="e">
        <f>'Product info'!#REF!</f>
        <v>#REF!</v>
      </c>
      <c r="S61" s="54" t="e">
        <f>'Product info'!#REF!</f>
        <v>#REF!</v>
      </c>
      <c r="T61" s="50" t="e">
        <f>'Product info'!#REF!</f>
        <v>#REF!</v>
      </c>
      <c r="U61" s="52" t="e">
        <f t="shared" si="9"/>
        <v>#REF!</v>
      </c>
      <c r="V61" s="50" t="e">
        <f t="shared" si="10"/>
        <v>#REF!</v>
      </c>
      <c r="W61" s="50" t="e">
        <f t="shared" si="11"/>
        <v>#REF!</v>
      </c>
      <c r="X61" s="50" t="e">
        <f t="shared" si="12"/>
        <v>#REF!</v>
      </c>
      <c r="Y61" s="50" t="e">
        <f t="shared" si="13"/>
        <v>#REF!</v>
      </c>
      <c r="Z61" t="e">
        <f t="shared" si="14"/>
        <v>#REF!</v>
      </c>
    </row>
    <row r="62" spans="1:26" x14ac:dyDescent="0.4">
      <c r="A62" t="e">
        <f>'Product info'!#REF!</f>
        <v>#REF!</v>
      </c>
      <c r="B62" t="e">
        <f>'Product info'!#REF!</f>
        <v>#REF!</v>
      </c>
      <c r="C62" t="e">
        <f>'Product info'!#REF!</f>
        <v>#REF!</v>
      </c>
      <c r="D62" s="6" t="e">
        <f>'Product info'!#REF!</f>
        <v>#REF!</v>
      </c>
      <c r="E62" t="e">
        <f t="shared" si="2"/>
        <v>#REF!</v>
      </c>
      <c r="F62" s="50" t="e">
        <f>'Product info'!#REF!</f>
        <v>#REF!</v>
      </c>
      <c r="G62" s="50" t="e">
        <f>'Product info'!#REF!</f>
        <v>#REF!</v>
      </c>
      <c r="H62" s="50" t="e">
        <f>'Product info'!#REF!</f>
        <v>#REF!</v>
      </c>
      <c r="I62" s="50" t="e">
        <f>'Product info'!#REF!</f>
        <v>#REF!</v>
      </c>
      <c r="J62" s="51" t="e">
        <f>'Product info'!#REF!</f>
        <v>#REF!</v>
      </c>
      <c r="K62" s="52" t="e">
        <f t="shared" si="3"/>
        <v>#REF!</v>
      </c>
      <c r="L62" s="50" t="e">
        <f t="shared" si="4"/>
        <v>#REF!</v>
      </c>
      <c r="M62" s="50" t="e">
        <f t="shared" si="5"/>
        <v>#REF!</v>
      </c>
      <c r="N62" s="50" t="e">
        <f t="shared" si="6"/>
        <v>#REF!</v>
      </c>
      <c r="O62" s="50" t="e">
        <f t="shared" si="7"/>
        <v>#REF!</v>
      </c>
      <c r="P62" s="53" t="e">
        <f t="shared" si="8"/>
        <v>#REF!</v>
      </c>
      <c r="Q62" s="54" t="e">
        <f>'Product info'!#REF!</f>
        <v>#REF!</v>
      </c>
      <c r="R62" s="54" t="e">
        <f>'Product info'!#REF!</f>
        <v>#REF!</v>
      </c>
      <c r="S62" s="54" t="e">
        <f>'Product info'!#REF!</f>
        <v>#REF!</v>
      </c>
      <c r="T62" s="50" t="e">
        <f>'Product info'!#REF!</f>
        <v>#REF!</v>
      </c>
      <c r="U62" s="52" t="e">
        <f t="shared" si="9"/>
        <v>#REF!</v>
      </c>
      <c r="V62" s="50" t="e">
        <f t="shared" si="10"/>
        <v>#REF!</v>
      </c>
      <c r="W62" s="50" t="e">
        <f t="shared" si="11"/>
        <v>#REF!</v>
      </c>
      <c r="X62" s="50" t="e">
        <f t="shared" si="12"/>
        <v>#REF!</v>
      </c>
      <c r="Y62" s="50" t="e">
        <f t="shared" si="13"/>
        <v>#REF!</v>
      </c>
      <c r="Z62" t="e">
        <f t="shared" si="14"/>
        <v>#REF!</v>
      </c>
    </row>
    <row r="63" spans="1:26" x14ac:dyDescent="0.4">
      <c r="A63" t="e">
        <f>'Product info'!#REF!</f>
        <v>#REF!</v>
      </c>
      <c r="B63" t="e">
        <f>'Product info'!#REF!</f>
        <v>#REF!</v>
      </c>
      <c r="C63" t="e">
        <f>'Product info'!#REF!</f>
        <v>#REF!</v>
      </c>
      <c r="D63" s="6" t="e">
        <f>'Product info'!#REF!</f>
        <v>#REF!</v>
      </c>
      <c r="E63" t="e">
        <f t="shared" si="2"/>
        <v>#REF!</v>
      </c>
      <c r="F63" s="50" t="e">
        <f>'Product info'!#REF!</f>
        <v>#REF!</v>
      </c>
      <c r="G63" s="50" t="e">
        <f>'Product info'!#REF!</f>
        <v>#REF!</v>
      </c>
      <c r="H63" s="50" t="e">
        <f>'Product info'!#REF!</f>
        <v>#REF!</v>
      </c>
      <c r="I63" s="50" t="e">
        <f>'Product info'!#REF!</f>
        <v>#REF!</v>
      </c>
      <c r="J63" s="51" t="e">
        <f>'Product info'!#REF!</f>
        <v>#REF!</v>
      </c>
      <c r="K63" s="52" t="e">
        <f t="shared" si="3"/>
        <v>#REF!</v>
      </c>
      <c r="L63" s="50" t="e">
        <f t="shared" si="4"/>
        <v>#REF!</v>
      </c>
      <c r="M63" s="50" t="e">
        <f t="shared" si="5"/>
        <v>#REF!</v>
      </c>
      <c r="N63" s="50" t="e">
        <f t="shared" si="6"/>
        <v>#REF!</v>
      </c>
      <c r="O63" s="50" t="e">
        <f t="shared" si="7"/>
        <v>#REF!</v>
      </c>
      <c r="P63" s="53" t="e">
        <f t="shared" si="8"/>
        <v>#REF!</v>
      </c>
      <c r="Q63" s="54" t="e">
        <f>'Product info'!#REF!</f>
        <v>#REF!</v>
      </c>
      <c r="R63" s="54" t="e">
        <f>'Product info'!#REF!</f>
        <v>#REF!</v>
      </c>
      <c r="S63" s="54" t="e">
        <f>'Product info'!#REF!</f>
        <v>#REF!</v>
      </c>
      <c r="T63" s="50" t="e">
        <f>'Product info'!#REF!</f>
        <v>#REF!</v>
      </c>
      <c r="U63" s="52" t="e">
        <f t="shared" si="9"/>
        <v>#REF!</v>
      </c>
      <c r="V63" s="50" t="e">
        <f t="shared" si="10"/>
        <v>#REF!</v>
      </c>
      <c r="W63" s="50" t="e">
        <f t="shared" si="11"/>
        <v>#REF!</v>
      </c>
      <c r="X63" s="50" t="e">
        <f t="shared" si="12"/>
        <v>#REF!</v>
      </c>
      <c r="Y63" s="50" t="e">
        <f t="shared" si="13"/>
        <v>#REF!</v>
      </c>
      <c r="Z63" t="e">
        <f t="shared" si="14"/>
        <v>#REF!</v>
      </c>
    </row>
    <row r="64" spans="1:26" x14ac:dyDescent="0.4">
      <c r="A64" t="e">
        <f>'Product info'!#REF!</f>
        <v>#REF!</v>
      </c>
      <c r="B64" t="e">
        <f>'Product info'!#REF!</f>
        <v>#REF!</v>
      </c>
      <c r="C64" t="e">
        <f>'Product info'!#REF!</f>
        <v>#REF!</v>
      </c>
      <c r="D64" s="6" t="e">
        <f>'Product info'!#REF!</f>
        <v>#REF!</v>
      </c>
      <c r="E64" t="e">
        <f t="shared" si="2"/>
        <v>#REF!</v>
      </c>
      <c r="F64" s="50" t="e">
        <f>'Product info'!#REF!</f>
        <v>#REF!</v>
      </c>
      <c r="G64" s="50" t="e">
        <f>'Product info'!#REF!</f>
        <v>#REF!</v>
      </c>
      <c r="H64" s="50" t="e">
        <f>'Product info'!#REF!</f>
        <v>#REF!</v>
      </c>
      <c r="I64" s="50" t="e">
        <f>'Product info'!#REF!</f>
        <v>#REF!</v>
      </c>
      <c r="J64" s="51" t="e">
        <f>'Product info'!#REF!</f>
        <v>#REF!</v>
      </c>
      <c r="K64" s="52" t="e">
        <f t="shared" si="3"/>
        <v>#REF!</v>
      </c>
      <c r="L64" s="50" t="e">
        <f t="shared" si="4"/>
        <v>#REF!</v>
      </c>
      <c r="M64" s="50" t="e">
        <f t="shared" si="5"/>
        <v>#REF!</v>
      </c>
      <c r="N64" s="50" t="e">
        <f t="shared" si="6"/>
        <v>#REF!</v>
      </c>
      <c r="O64" s="50" t="e">
        <f t="shared" si="7"/>
        <v>#REF!</v>
      </c>
      <c r="P64" s="53" t="e">
        <f t="shared" si="8"/>
        <v>#REF!</v>
      </c>
      <c r="Q64" s="54" t="e">
        <f>'Product info'!#REF!</f>
        <v>#REF!</v>
      </c>
      <c r="R64" s="54" t="e">
        <f>'Product info'!#REF!</f>
        <v>#REF!</v>
      </c>
      <c r="S64" s="54" t="e">
        <f>'Product info'!#REF!</f>
        <v>#REF!</v>
      </c>
      <c r="T64" s="50" t="e">
        <f>'Product info'!#REF!</f>
        <v>#REF!</v>
      </c>
      <c r="U64" s="52" t="e">
        <f t="shared" si="9"/>
        <v>#REF!</v>
      </c>
      <c r="V64" s="50" t="e">
        <f t="shared" si="10"/>
        <v>#REF!</v>
      </c>
      <c r="W64" s="50" t="e">
        <f t="shared" si="11"/>
        <v>#REF!</v>
      </c>
      <c r="X64" s="50" t="e">
        <f t="shared" si="12"/>
        <v>#REF!</v>
      </c>
      <c r="Y64" s="50" t="e">
        <f t="shared" si="13"/>
        <v>#REF!</v>
      </c>
      <c r="Z64" t="e">
        <f t="shared" si="14"/>
        <v>#REF!</v>
      </c>
    </row>
    <row r="65" spans="1:26" x14ac:dyDescent="0.4">
      <c r="A65" t="e">
        <f>'Product info'!#REF!</f>
        <v>#REF!</v>
      </c>
      <c r="B65" t="e">
        <f>'Product info'!#REF!</f>
        <v>#REF!</v>
      </c>
      <c r="C65" t="e">
        <f>'Product info'!#REF!</f>
        <v>#REF!</v>
      </c>
      <c r="D65" s="6" t="e">
        <f>'Product info'!#REF!</f>
        <v>#REF!</v>
      </c>
      <c r="E65" t="e">
        <f t="shared" si="2"/>
        <v>#REF!</v>
      </c>
      <c r="F65" s="50" t="e">
        <f>'Product info'!#REF!</f>
        <v>#REF!</v>
      </c>
      <c r="G65" s="50" t="e">
        <f>'Product info'!#REF!</f>
        <v>#REF!</v>
      </c>
      <c r="H65" s="50" t="e">
        <f>'Product info'!#REF!</f>
        <v>#REF!</v>
      </c>
      <c r="I65" s="50" t="e">
        <f>'Product info'!#REF!</f>
        <v>#REF!</v>
      </c>
      <c r="J65" s="51" t="e">
        <f>'Product info'!#REF!</f>
        <v>#REF!</v>
      </c>
      <c r="K65" s="52" t="e">
        <f t="shared" si="3"/>
        <v>#REF!</v>
      </c>
      <c r="L65" s="50" t="e">
        <f t="shared" si="4"/>
        <v>#REF!</v>
      </c>
      <c r="M65" s="50" t="e">
        <f t="shared" si="5"/>
        <v>#REF!</v>
      </c>
      <c r="N65" s="50" t="e">
        <f t="shared" si="6"/>
        <v>#REF!</v>
      </c>
      <c r="O65" s="50" t="e">
        <f t="shared" si="7"/>
        <v>#REF!</v>
      </c>
      <c r="P65" s="53" t="e">
        <f t="shared" si="8"/>
        <v>#REF!</v>
      </c>
      <c r="Q65" s="54" t="e">
        <f>'Product info'!#REF!</f>
        <v>#REF!</v>
      </c>
      <c r="R65" s="54" t="e">
        <f>'Product info'!#REF!</f>
        <v>#REF!</v>
      </c>
      <c r="S65" s="54" t="e">
        <f>'Product info'!#REF!</f>
        <v>#REF!</v>
      </c>
      <c r="T65" s="50" t="e">
        <f>'Product info'!#REF!</f>
        <v>#REF!</v>
      </c>
      <c r="U65" s="52" t="e">
        <f t="shared" si="9"/>
        <v>#REF!</v>
      </c>
      <c r="V65" s="50" t="e">
        <f t="shared" si="10"/>
        <v>#REF!</v>
      </c>
      <c r="W65" s="50" t="e">
        <f t="shared" si="11"/>
        <v>#REF!</v>
      </c>
      <c r="X65" s="50" t="e">
        <f t="shared" si="12"/>
        <v>#REF!</v>
      </c>
      <c r="Y65" s="50" t="e">
        <f t="shared" si="13"/>
        <v>#REF!</v>
      </c>
      <c r="Z65" t="e">
        <f t="shared" si="14"/>
        <v>#REF!</v>
      </c>
    </row>
    <row r="66" spans="1:26" x14ac:dyDescent="0.4">
      <c r="A66" t="e">
        <f>'Product info'!#REF!</f>
        <v>#REF!</v>
      </c>
      <c r="B66" t="e">
        <f>'Product info'!#REF!</f>
        <v>#REF!</v>
      </c>
      <c r="C66" t="e">
        <f>'Product info'!#REF!</f>
        <v>#REF!</v>
      </c>
      <c r="D66" s="6" t="e">
        <f>'Product info'!#REF!</f>
        <v>#REF!</v>
      </c>
      <c r="E66" t="e">
        <f t="shared" si="2"/>
        <v>#REF!</v>
      </c>
      <c r="F66" s="50" t="e">
        <f>'Product info'!#REF!</f>
        <v>#REF!</v>
      </c>
      <c r="G66" s="50" t="e">
        <f>'Product info'!#REF!</f>
        <v>#REF!</v>
      </c>
      <c r="H66" s="50" t="e">
        <f>'Product info'!#REF!</f>
        <v>#REF!</v>
      </c>
      <c r="I66" s="50" t="e">
        <f>'Product info'!#REF!</f>
        <v>#REF!</v>
      </c>
      <c r="J66" s="51" t="e">
        <f>'Product info'!#REF!</f>
        <v>#REF!</v>
      </c>
      <c r="K66" s="52" t="e">
        <f t="shared" si="3"/>
        <v>#REF!</v>
      </c>
      <c r="L66" s="50" t="e">
        <f t="shared" si="4"/>
        <v>#REF!</v>
      </c>
      <c r="M66" s="50" t="e">
        <f t="shared" si="5"/>
        <v>#REF!</v>
      </c>
      <c r="N66" s="50" t="e">
        <f t="shared" si="6"/>
        <v>#REF!</v>
      </c>
      <c r="O66" s="50" t="e">
        <f t="shared" si="7"/>
        <v>#REF!</v>
      </c>
      <c r="P66" s="53" t="e">
        <f t="shared" si="8"/>
        <v>#REF!</v>
      </c>
      <c r="Q66" s="54" t="e">
        <f>'Product info'!#REF!</f>
        <v>#REF!</v>
      </c>
      <c r="R66" s="54" t="e">
        <f>'Product info'!#REF!</f>
        <v>#REF!</v>
      </c>
      <c r="S66" s="54" t="e">
        <f>'Product info'!#REF!</f>
        <v>#REF!</v>
      </c>
      <c r="T66" s="50" t="e">
        <f>'Product info'!#REF!</f>
        <v>#REF!</v>
      </c>
      <c r="U66" s="52" t="e">
        <f t="shared" si="9"/>
        <v>#REF!</v>
      </c>
      <c r="V66" s="50" t="e">
        <f t="shared" si="10"/>
        <v>#REF!</v>
      </c>
      <c r="W66" s="50" t="e">
        <f t="shared" si="11"/>
        <v>#REF!</v>
      </c>
      <c r="X66" s="50" t="e">
        <f t="shared" si="12"/>
        <v>#REF!</v>
      </c>
      <c r="Y66" s="50" t="e">
        <f t="shared" si="13"/>
        <v>#REF!</v>
      </c>
      <c r="Z66" t="e">
        <f t="shared" si="14"/>
        <v>#REF!</v>
      </c>
    </row>
    <row r="67" spans="1:26" x14ac:dyDescent="0.4">
      <c r="A67" t="e">
        <f>'Product info'!#REF!</f>
        <v>#REF!</v>
      </c>
      <c r="B67" t="e">
        <f>'Product info'!#REF!</f>
        <v>#REF!</v>
      </c>
      <c r="C67" t="e">
        <f>'Product info'!#REF!</f>
        <v>#REF!</v>
      </c>
      <c r="D67" s="6" t="e">
        <f>'Product info'!#REF!</f>
        <v>#REF!</v>
      </c>
      <c r="E67" t="e">
        <f t="shared" si="2"/>
        <v>#REF!</v>
      </c>
      <c r="F67" s="50" t="e">
        <f>'Product info'!#REF!</f>
        <v>#REF!</v>
      </c>
      <c r="G67" s="50" t="e">
        <f>'Product info'!#REF!</f>
        <v>#REF!</v>
      </c>
      <c r="H67" s="50" t="e">
        <f>'Product info'!#REF!</f>
        <v>#REF!</v>
      </c>
      <c r="I67" s="50" t="e">
        <f>'Product info'!#REF!</f>
        <v>#REF!</v>
      </c>
      <c r="J67" s="51" t="e">
        <f>'Product info'!#REF!</f>
        <v>#REF!</v>
      </c>
      <c r="K67" s="52" t="e">
        <f t="shared" si="3"/>
        <v>#REF!</v>
      </c>
      <c r="L67" s="50" t="e">
        <f t="shared" si="4"/>
        <v>#REF!</v>
      </c>
      <c r="M67" s="50" t="e">
        <f t="shared" si="5"/>
        <v>#REF!</v>
      </c>
      <c r="N67" s="50" t="e">
        <f t="shared" si="6"/>
        <v>#REF!</v>
      </c>
      <c r="O67" s="50" t="e">
        <f t="shared" si="7"/>
        <v>#REF!</v>
      </c>
      <c r="P67" s="53" t="e">
        <f t="shared" si="8"/>
        <v>#REF!</v>
      </c>
      <c r="Q67" s="54" t="e">
        <f>'Product info'!#REF!</f>
        <v>#REF!</v>
      </c>
      <c r="R67" s="54" t="e">
        <f>'Product info'!#REF!</f>
        <v>#REF!</v>
      </c>
      <c r="S67" s="54" t="e">
        <f>'Product info'!#REF!</f>
        <v>#REF!</v>
      </c>
      <c r="T67" s="50" t="e">
        <f>'Product info'!#REF!</f>
        <v>#REF!</v>
      </c>
      <c r="U67" s="52" t="e">
        <f t="shared" si="9"/>
        <v>#REF!</v>
      </c>
      <c r="V67" s="50" t="e">
        <f t="shared" si="10"/>
        <v>#REF!</v>
      </c>
      <c r="W67" s="50" t="e">
        <f t="shared" si="11"/>
        <v>#REF!</v>
      </c>
      <c r="X67" s="50" t="e">
        <f t="shared" si="12"/>
        <v>#REF!</v>
      </c>
      <c r="Y67" s="50" t="e">
        <f t="shared" si="13"/>
        <v>#REF!</v>
      </c>
      <c r="Z67" t="e">
        <f t="shared" si="14"/>
        <v>#REF!</v>
      </c>
    </row>
    <row r="68" spans="1:26" x14ac:dyDescent="0.4">
      <c r="A68" t="e">
        <f>'Product info'!#REF!</f>
        <v>#REF!</v>
      </c>
      <c r="B68" t="e">
        <f>'Product info'!#REF!</f>
        <v>#REF!</v>
      </c>
      <c r="C68" t="e">
        <f>'Product info'!#REF!</f>
        <v>#REF!</v>
      </c>
      <c r="D68" s="6" t="e">
        <f>'Product info'!#REF!</f>
        <v>#REF!</v>
      </c>
      <c r="E68" t="e">
        <f t="shared" ref="E68:E131" si="15">F68&amp;"*"&amp;G68&amp;"*"&amp;H68</f>
        <v>#REF!</v>
      </c>
      <c r="F68" s="50" t="e">
        <f>'Product info'!#REF!</f>
        <v>#REF!</v>
      </c>
      <c r="G68" s="50" t="e">
        <f>'Product info'!#REF!</f>
        <v>#REF!</v>
      </c>
      <c r="H68" s="50" t="e">
        <f>'Product info'!#REF!</f>
        <v>#REF!</v>
      </c>
      <c r="I68" s="50" t="e">
        <f>'Product info'!#REF!</f>
        <v>#REF!</v>
      </c>
      <c r="J68" s="51" t="e">
        <f>'Product info'!#REF!</f>
        <v>#REF!</v>
      </c>
      <c r="K68" s="52" t="e">
        <f t="shared" ref="K68:K131" si="16">F68*G68*H68/(100*100*100)</f>
        <v>#REF!</v>
      </c>
      <c r="L68" s="50" t="e">
        <f t="shared" ref="L68:L131" si="17">F68*0.393701</f>
        <v>#REF!</v>
      </c>
      <c r="M68" s="50" t="e">
        <f t="shared" ref="M68:M131" si="18">G68*0.393701</f>
        <v>#REF!</v>
      </c>
      <c r="N68" s="50" t="e">
        <f t="shared" ref="N68:N131" si="19">H68*0.393701</f>
        <v>#REF!</v>
      </c>
      <c r="O68" s="50" t="e">
        <f t="shared" ref="O68:O131" si="20">I68*2.20462</f>
        <v>#REF!</v>
      </c>
      <c r="P68" s="53" t="e">
        <f t="shared" ref="P68:P131" si="21">Q68&amp;"*"&amp;R68&amp;"*"&amp;S68</f>
        <v>#REF!</v>
      </c>
      <c r="Q68" s="54" t="e">
        <f>'Product info'!#REF!</f>
        <v>#REF!</v>
      </c>
      <c r="R68" s="54" t="e">
        <f>'Product info'!#REF!</f>
        <v>#REF!</v>
      </c>
      <c r="S68" s="54" t="e">
        <f>'Product info'!#REF!</f>
        <v>#REF!</v>
      </c>
      <c r="T68" s="50" t="e">
        <f>'Product info'!#REF!</f>
        <v>#REF!</v>
      </c>
      <c r="U68" s="52" t="e">
        <f t="shared" ref="U68:U131" si="22">Q68*R68*S68/(100*100*100)</f>
        <v>#REF!</v>
      </c>
      <c r="V68" s="50" t="e">
        <f t="shared" ref="V68:V131" si="23">Q68*0.393701</f>
        <v>#REF!</v>
      </c>
      <c r="W68" s="50" t="e">
        <f t="shared" ref="W68:W131" si="24">R68*0.393701</f>
        <v>#REF!</v>
      </c>
      <c r="X68" s="50" t="e">
        <f t="shared" ref="X68:X131" si="25">S68*0.393701</f>
        <v>#REF!</v>
      </c>
      <c r="Y68" s="50" t="e">
        <f t="shared" ref="Y68:Y131" si="26">T68*2.20462</f>
        <v>#REF!</v>
      </c>
      <c r="Z68" t="e">
        <f t="shared" ref="Z68:Z131" si="27">K68/J68</f>
        <v>#REF!</v>
      </c>
    </row>
    <row r="69" spans="1:26" x14ac:dyDescent="0.4">
      <c r="A69" t="e">
        <f>'Product info'!#REF!</f>
        <v>#REF!</v>
      </c>
      <c r="B69" t="e">
        <f>'Product info'!#REF!</f>
        <v>#REF!</v>
      </c>
      <c r="C69" t="e">
        <f>'Product info'!#REF!</f>
        <v>#REF!</v>
      </c>
      <c r="D69" s="6" t="e">
        <f>'Product info'!#REF!</f>
        <v>#REF!</v>
      </c>
      <c r="E69" t="e">
        <f t="shared" si="15"/>
        <v>#REF!</v>
      </c>
      <c r="F69" s="50" t="e">
        <f>'Product info'!#REF!</f>
        <v>#REF!</v>
      </c>
      <c r="G69" s="50" t="e">
        <f>'Product info'!#REF!</f>
        <v>#REF!</v>
      </c>
      <c r="H69" s="50" t="e">
        <f>'Product info'!#REF!</f>
        <v>#REF!</v>
      </c>
      <c r="I69" s="50" t="e">
        <f>'Product info'!#REF!</f>
        <v>#REF!</v>
      </c>
      <c r="J69" s="51" t="e">
        <f>'Product info'!#REF!</f>
        <v>#REF!</v>
      </c>
      <c r="K69" s="52" t="e">
        <f t="shared" si="16"/>
        <v>#REF!</v>
      </c>
      <c r="L69" s="50" t="e">
        <f t="shared" si="17"/>
        <v>#REF!</v>
      </c>
      <c r="M69" s="50" t="e">
        <f t="shared" si="18"/>
        <v>#REF!</v>
      </c>
      <c r="N69" s="50" t="e">
        <f t="shared" si="19"/>
        <v>#REF!</v>
      </c>
      <c r="O69" s="50" t="e">
        <f t="shared" si="20"/>
        <v>#REF!</v>
      </c>
      <c r="P69" s="53" t="e">
        <f t="shared" si="21"/>
        <v>#REF!</v>
      </c>
      <c r="Q69" s="54" t="e">
        <f>'Product info'!#REF!</f>
        <v>#REF!</v>
      </c>
      <c r="R69" s="54" t="e">
        <f>'Product info'!#REF!</f>
        <v>#REF!</v>
      </c>
      <c r="S69" s="54" t="e">
        <f>'Product info'!#REF!</f>
        <v>#REF!</v>
      </c>
      <c r="T69" s="50" t="e">
        <f>'Product info'!#REF!</f>
        <v>#REF!</v>
      </c>
      <c r="U69" s="52" t="e">
        <f t="shared" si="22"/>
        <v>#REF!</v>
      </c>
      <c r="V69" s="50" t="e">
        <f t="shared" si="23"/>
        <v>#REF!</v>
      </c>
      <c r="W69" s="50" t="e">
        <f t="shared" si="24"/>
        <v>#REF!</v>
      </c>
      <c r="X69" s="50" t="e">
        <f t="shared" si="25"/>
        <v>#REF!</v>
      </c>
      <c r="Y69" s="50" t="e">
        <f t="shared" si="26"/>
        <v>#REF!</v>
      </c>
      <c r="Z69" t="e">
        <f t="shared" si="27"/>
        <v>#REF!</v>
      </c>
    </row>
    <row r="70" spans="1:26" x14ac:dyDescent="0.4">
      <c r="A70" t="e">
        <f>'Product info'!#REF!</f>
        <v>#REF!</v>
      </c>
      <c r="B70" t="e">
        <f>'Product info'!#REF!</f>
        <v>#REF!</v>
      </c>
      <c r="C70" t="e">
        <f>'Product info'!#REF!</f>
        <v>#REF!</v>
      </c>
      <c r="D70" s="6" t="e">
        <f>'Product info'!#REF!</f>
        <v>#REF!</v>
      </c>
      <c r="E70" t="e">
        <f t="shared" si="15"/>
        <v>#REF!</v>
      </c>
      <c r="F70" s="50" t="e">
        <f>'Product info'!#REF!</f>
        <v>#REF!</v>
      </c>
      <c r="G70" s="50" t="e">
        <f>'Product info'!#REF!</f>
        <v>#REF!</v>
      </c>
      <c r="H70" s="50" t="e">
        <f>'Product info'!#REF!</f>
        <v>#REF!</v>
      </c>
      <c r="I70" s="50" t="e">
        <f>'Product info'!#REF!</f>
        <v>#REF!</v>
      </c>
      <c r="J70" s="51" t="e">
        <f>'Product info'!#REF!</f>
        <v>#REF!</v>
      </c>
      <c r="K70" s="52" t="e">
        <f t="shared" si="16"/>
        <v>#REF!</v>
      </c>
      <c r="L70" s="50" t="e">
        <f t="shared" si="17"/>
        <v>#REF!</v>
      </c>
      <c r="M70" s="50" t="e">
        <f t="shared" si="18"/>
        <v>#REF!</v>
      </c>
      <c r="N70" s="50" t="e">
        <f t="shared" si="19"/>
        <v>#REF!</v>
      </c>
      <c r="O70" s="50" t="e">
        <f t="shared" si="20"/>
        <v>#REF!</v>
      </c>
      <c r="P70" s="53" t="e">
        <f t="shared" si="21"/>
        <v>#REF!</v>
      </c>
      <c r="Q70" s="54" t="e">
        <f>'Product info'!#REF!</f>
        <v>#REF!</v>
      </c>
      <c r="R70" s="54" t="e">
        <f>'Product info'!#REF!</f>
        <v>#REF!</v>
      </c>
      <c r="S70" s="54" t="e">
        <f>'Product info'!#REF!</f>
        <v>#REF!</v>
      </c>
      <c r="T70" s="50" t="e">
        <f>'Product info'!#REF!</f>
        <v>#REF!</v>
      </c>
      <c r="U70" s="52" t="e">
        <f t="shared" si="22"/>
        <v>#REF!</v>
      </c>
      <c r="V70" s="50" t="e">
        <f t="shared" si="23"/>
        <v>#REF!</v>
      </c>
      <c r="W70" s="50" t="e">
        <f t="shared" si="24"/>
        <v>#REF!</v>
      </c>
      <c r="X70" s="50" t="e">
        <f t="shared" si="25"/>
        <v>#REF!</v>
      </c>
      <c r="Y70" s="50" t="e">
        <f t="shared" si="26"/>
        <v>#REF!</v>
      </c>
      <c r="Z70" t="e">
        <f t="shared" si="27"/>
        <v>#REF!</v>
      </c>
    </row>
    <row r="71" spans="1:26" x14ac:dyDescent="0.4">
      <c r="A71" t="e">
        <f>'Product info'!#REF!</f>
        <v>#REF!</v>
      </c>
      <c r="B71" t="e">
        <f>'Product info'!#REF!</f>
        <v>#REF!</v>
      </c>
      <c r="C71" t="e">
        <f>'Product info'!#REF!</f>
        <v>#REF!</v>
      </c>
      <c r="D71" s="6" t="e">
        <f>'Product info'!#REF!</f>
        <v>#REF!</v>
      </c>
      <c r="E71" t="e">
        <f t="shared" si="15"/>
        <v>#REF!</v>
      </c>
      <c r="F71" s="50" t="e">
        <f>'Product info'!#REF!</f>
        <v>#REF!</v>
      </c>
      <c r="G71" s="50" t="e">
        <f>'Product info'!#REF!</f>
        <v>#REF!</v>
      </c>
      <c r="H71" s="50" t="e">
        <f>'Product info'!#REF!</f>
        <v>#REF!</v>
      </c>
      <c r="I71" s="50" t="e">
        <f>'Product info'!#REF!</f>
        <v>#REF!</v>
      </c>
      <c r="J71" s="51" t="e">
        <f>'Product info'!#REF!</f>
        <v>#REF!</v>
      </c>
      <c r="K71" s="52" t="e">
        <f t="shared" si="16"/>
        <v>#REF!</v>
      </c>
      <c r="L71" s="50" t="e">
        <f t="shared" si="17"/>
        <v>#REF!</v>
      </c>
      <c r="M71" s="50" t="e">
        <f t="shared" si="18"/>
        <v>#REF!</v>
      </c>
      <c r="N71" s="50" t="e">
        <f t="shared" si="19"/>
        <v>#REF!</v>
      </c>
      <c r="O71" s="50" t="e">
        <f t="shared" si="20"/>
        <v>#REF!</v>
      </c>
      <c r="P71" s="53" t="e">
        <f t="shared" si="21"/>
        <v>#REF!</v>
      </c>
      <c r="Q71" s="54" t="e">
        <f>'Product info'!#REF!</f>
        <v>#REF!</v>
      </c>
      <c r="R71" s="54" t="e">
        <f>'Product info'!#REF!</f>
        <v>#REF!</v>
      </c>
      <c r="S71" s="54" t="e">
        <f>'Product info'!#REF!</f>
        <v>#REF!</v>
      </c>
      <c r="T71" s="50" t="e">
        <f>'Product info'!#REF!</f>
        <v>#REF!</v>
      </c>
      <c r="U71" s="52" t="e">
        <f t="shared" si="22"/>
        <v>#REF!</v>
      </c>
      <c r="V71" s="50" t="e">
        <f t="shared" si="23"/>
        <v>#REF!</v>
      </c>
      <c r="W71" s="50" t="e">
        <f t="shared" si="24"/>
        <v>#REF!</v>
      </c>
      <c r="X71" s="50" t="e">
        <f t="shared" si="25"/>
        <v>#REF!</v>
      </c>
      <c r="Y71" s="50" t="e">
        <f t="shared" si="26"/>
        <v>#REF!</v>
      </c>
      <c r="Z71" t="e">
        <f t="shared" si="27"/>
        <v>#REF!</v>
      </c>
    </row>
    <row r="72" spans="1:26" x14ac:dyDescent="0.4">
      <c r="A72" t="e">
        <f>'Product info'!#REF!</f>
        <v>#REF!</v>
      </c>
      <c r="B72" t="e">
        <f>'Product info'!#REF!</f>
        <v>#REF!</v>
      </c>
      <c r="C72" t="e">
        <f>'Product info'!#REF!</f>
        <v>#REF!</v>
      </c>
      <c r="D72" s="6" t="e">
        <f>'Product info'!#REF!</f>
        <v>#REF!</v>
      </c>
      <c r="E72" t="e">
        <f t="shared" si="15"/>
        <v>#REF!</v>
      </c>
      <c r="F72" s="50" t="e">
        <f>'Product info'!#REF!</f>
        <v>#REF!</v>
      </c>
      <c r="G72" s="50" t="e">
        <f>'Product info'!#REF!</f>
        <v>#REF!</v>
      </c>
      <c r="H72" s="50" t="e">
        <f>'Product info'!#REF!</f>
        <v>#REF!</v>
      </c>
      <c r="I72" s="50" t="e">
        <f>'Product info'!#REF!</f>
        <v>#REF!</v>
      </c>
      <c r="J72" s="51" t="e">
        <f>'Product info'!#REF!</f>
        <v>#REF!</v>
      </c>
      <c r="K72" s="52" t="e">
        <f t="shared" si="16"/>
        <v>#REF!</v>
      </c>
      <c r="L72" s="50" t="e">
        <f t="shared" si="17"/>
        <v>#REF!</v>
      </c>
      <c r="M72" s="50" t="e">
        <f t="shared" si="18"/>
        <v>#REF!</v>
      </c>
      <c r="N72" s="50" t="e">
        <f t="shared" si="19"/>
        <v>#REF!</v>
      </c>
      <c r="O72" s="50" t="e">
        <f t="shared" si="20"/>
        <v>#REF!</v>
      </c>
      <c r="P72" s="53" t="e">
        <f t="shared" si="21"/>
        <v>#REF!</v>
      </c>
      <c r="Q72" s="54" t="e">
        <f>'Product info'!#REF!</f>
        <v>#REF!</v>
      </c>
      <c r="R72" s="54" t="e">
        <f>'Product info'!#REF!</f>
        <v>#REF!</v>
      </c>
      <c r="S72" s="54" t="e">
        <f>'Product info'!#REF!</f>
        <v>#REF!</v>
      </c>
      <c r="T72" s="50" t="e">
        <f>'Product info'!#REF!</f>
        <v>#REF!</v>
      </c>
      <c r="U72" s="52" t="e">
        <f t="shared" si="22"/>
        <v>#REF!</v>
      </c>
      <c r="V72" s="50" t="e">
        <f t="shared" si="23"/>
        <v>#REF!</v>
      </c>
      <c r="W72" s="50" t="e">
        <f t="shared" si="24"/>
        <v>#REF!</v>
      </c>
      <c r="X72" s="50" t="e">
        <f t="shared" si="25"/>
        <v>#REF!</v>
      </c>
      <c r="Y72" s="50" t="e">
        <f t="shared" si="26"/>
        <v>#REF!</v>
      </c>
      <c r="Z72" t="e">
        <f t="shared" si="27"/>
        <v>#REF!</v>
      </c>
    </row>
    <row r="73" spans="1:26" x14ac:dyDescent="0.4">
      <c r="A73" t="e">
        <f>'Product info'!#REF!</f>
        <v>#REF!</v>
      </c>
      <c r="B73" t="e">
        <f>'Product info'!#REF!</f>
        <v>#REF!</v>
      </c>
      <c r="C73" t="e">
        <f>'Product info'!#REF!</f>
        <v>#REF!</v>
      </c>
      <c r="D73" s="6" t="e">
        <f>'Product info'!#REF!</f>
        <v>#REF!</v>
      </c>
      <c r="E73" t="e">
        <f t="shared" si="15"/>
        <v>#REF!</v>
      </c>
      <c r="F73" s="50" t="e">
        <f>'Product info'!#REF!</f>
        <v>#REF!</v>
      </c>
      <c r="G73" s="50" t="e">
        <f>'Product info'!#REF!</f>
        <v>#REF!</v>
      </c>
      <c r="H73" s="50" t="e">
        <f>'Product info'!#REF!</f>
        <v>#REF!</v>
      </c>
      <c r="I73" s="50" t="e">
        <f>'Product info'!#REF!</f>
        <v>#REF!</v>
      </c>
      <c r="J73" s="51" t="e">
        <f>'Product info'!#REF!</f>
        <v>#REF!</v>
      </c>
      <c r="K73" s="52" t="e">
        <f t="shared" si="16"/>
        <v>#REF!</v>
      </c>
      <c r="L73" s="50" t="e">
        <f t="shared" si="17"/>
        <v>#REF!</v>
      </c>
      <c r="M73" s="50" t="e">
        <f t="shared" si="18"/>
        <v>#REF!</v>
      </c>
      <c r="N73" s="50" t="e">
        <f t="shared" si="19"/>
        <v>#REF!</v>
      </c>
      <c r="O73" s="50" t="e">
        <f t="shared" si="20"/>
        <v>#REF!</v>
      </c>
      <c r="P73" s="53" t="e">
        <f t="shared" si="21"/>
        <v>#REF!</v>
      </c>
      <c r="Q73" s="54" t="e">
        <f>'Product info'!#REF!</f>
        <v>#REF!</v>
      </c>
      <c r="R73" s="54" t="e">
        <f>'Product info'!#REF!</f>
        <v>#REF!</v>
      </c>
      <c r="S73" s="54" t="e">
        <f>'Product info'!#REF!</f>
        <v>#REF!</v>
      </c>
      <c r="T73" s="50" t="e">
        <f>'Product info'!#REF!</f>
        <v>#REF!</v>
      </c>
      <c r="U73" s="52" t="e">
        <f t="shared" si="22"/>
        <v>#REF!</v>
      </c>
      <c r="V73" s="50" t="e">
        <f t="shared" si="23"/>
        <v>#REF!</v>
      </c>
      <c r="W73" s="50" t="e">
        <f t="shared" si="24"/>
        <v>#REF!</v>
      </c>
      <c r="X73" s="50" t="e">
        <f t="shared" si="25"/>
        <v>#REF!</v>
      </c>
      <c r="Y73" s="50" t="e">
        <f t="shared" si="26"/>
        <v>#REF!</v>
      </c>
      <c r="Z73" t="e">
        <f t="shared" si="27"/>
        <v>#REF!</v>
      </c>
    </row>
    <row r="74" spans="1:26" x14ac:dyDescent="0.4">
      <c r="A74" t="e">
        <f>'Product info'!#REF!</f>
        <v>#REF!</v>
      </c>
      <c r="B74" t="e">
        <f>'Product info'!#REF!</f>
        <v>#REF!</v>
      </c>
      <c r="C74" t="e">
        <f>'Product info'!#REF!</f>
        <v>#REF!</v>
      </c>
      <c r="D74" s="6" t="e">
        <f>'Product info'!#REF!</f>
        <v>#REF!</v>
      </c>
      <c r="E74" t="e">
        <f t="shared" si="15"/>
        <v>#REF!</v>
      </c>
      <c r="F74" s="50" t="e">
        <f>'Product info'!#REF!</f>
        <v>#REF!</v>
      </c>
      <c r="G74" s="50" t="e">
        <f>'Product info'!#REF!</f>
        <v>#REF!</v>
      </c>
      <c r="H74" s="50" t="e">
        <f>'Product info'!#REF!</f>
        <v>#REF!</v>
      </c>
      <c r="I74" s="50" t="e">
        <f>'Product info'!#REF!</f>
        <v>#REF!</v>
      </c>
      <c r="J74" s="51" t="e">
        <f>'Product info'!#REF!</f>
        <v>#REF!</v>
      </c>
      <c r="K74" s="52" t="e">
        <f t="shared" si="16"/>
        <v>#REF!</v>
      </c>
      <c r="L74" s="50" t="e">
        <f t="shared" si="17"/>
        <v>#REF!</v>
      </c>
      <c r="M74" s="50" t="e">
        <f t="shared" si="18"/>
        <v>#REF!</v>
      </c>
      <c r="N74" s="50" t="e">
        <f t="shared" si="19"/>
        <v>#REF!</v>
      </c>
      <c r="O74" s="50" t="e">
        <f t="shared" si="20"/>
        <v>#REF!</v>
      </c>
      <c r="P74" s="53" t="e">
        <f t="shared" si="21"/>
        <v>#REF!</v>
      </c>
      <c r="Q74" s="54" t="e">
        <f>'Product info'!#REF!</f>
        <v>#REF!</v>
      </c>
      <c r="R74" s="54" t="e">
        <f>'Product info'!#REF!</f>
        <v>#REF!</v>
      </c>
      <c r="S74" s="54" t="e">
        <f>'Product info'!#REF!</f>
        <v>#REF!</v>
      </c>
      <c r="T74" s="50" t="e">
        <f>'Product info'!#REF!</f>
        <v>#REF!</v>
      </c>
      <c r="U74" s="52" t="e">
        <f t="shared" si="22"/>
        <v>#REF!</v>
      </c>
      <c r="V74" s="50" t="e">
        <f t="shared" si="23"/>
        <v>#REF!</v>
      </c>
      <c r="W74" s="50" t="e">
        <f t="shared" si="24"/>
        <v>#REF!</v>
      </c>
      <c r="X74" s="50" t="e">
        <f t="shared" si="25"/>
        <v>#REF!</v>
      </c>
      <c r="Y74" s="50" t="e">
        <f t="shared" si="26"/>
        <v>#REF!</v>
      </c>
      <c r="Z74" t="e">
        <f t="shared" si="27"/>
        <v>#REF!</v>
      </c>
    </row>
    <row r="75" spans="1:26" x14ac:dyDescent="0.4">
      <c r="A75" t="e">
        <f>'Product info'!#REF!</f>
        <v>#REF!</v>
      </c>
      <c r="B75" t="e">
        <f>'Product info'!#REF!</f>
        <v>#REF!</v>
      </c>
      <c r="C75" t="e">
        <f>'Product info'!#REF!</f>
        <v>#REF!</v>
      </c>
      <c r="D75" s="6" t="e">
        <f>'Product info'!#REF!</f>
        <v>#REF!</v>
      </c>
      <c r="E75" t="e">
        <f t="shared" si="15"/>
        <v>#REF!</v>
      </c>
      <c r="F75" s="50" t="e">
        <f>'Product info'!#REF!</f>
        <v>#REF!</v>
      </c>
      <c r="G75" s="50" t="e">
        <f>'Product info'!#REF!</f>
        <v>#REF!</v>
      </c>
      <c r="H75" s="50" t="e">
        <f>'Product info'!#REF!</f>
        <v>#REF!</v>
      </c>
      <c r="I75" s="50" t="e">
        <f>'Product info'!#REF!</f>
        <v>#REF!</v>
      </c>
      <c r="J75" s="51" t="e">
        <f>'Product info'!#REF!</f>
        <v>#REF!</v>
      </c>
      <c r="K75" s="52" t="e">
        <f t="shared" si="16"/>
        <v>#REF!</v>
      </c>
      <c r="L75" s="50" t="e">
        <f t="shared" si="17"/>
        <v>#REF!</v>
      </c>
      <c r="M75" s="50" t="e">
        <f t="shared" si="18"/>
        <v>#REF!</v>
      </c>
      <c r="N75" s="50" t="e">
        <f t="shared" si="19"/>
        <v>#REF!</v>
      </c>
      <c r="O75" s="50" t="e">
        <f t="shared" si="20"/>
        <v>#REF!</v>
      </c>
      <c r="P75" s="53" t="e">
        <f t="shared" si="21"/>
        <v>#REF!</v>
      </c>
      <c r="Q75" s="54" t="e">
        <f>'Product info'!#REF!</f>
        <v>#REF!</v>
      </c>
      <c r="R75" s="54" t="e">
        <f>'Product info'!#REF!</f>
        <v>#REF!</v>
      </c>
      <c r="S75" s="54" t="e">
        <f>'Product info'!#REF!</f>
        <v>#REF!</v>
      </c>
      <c r="T75" s="50" t="e">
        <f>'Product info'!#REF!</f>
        <v>#REF!</v>
      </c>
      <c r="U75" s="52" t="e">
        <f t="shared" si="22"/>
        <v>#REF!</v>
      </c>
      <c r="V75" s="50" t="e">
        <f t="shared" si="23"/>
        <v>#REF!</v>
      </c>
      <c r="W75" s="50" t="e">
        <f t="shared" si="24"/>
        <v>#REF!</v>
      </c>
      <c r="X75" s="50" t="e">
        <f t="shared" si="25"/>
        <v>#REF!</v>
      </c>
      <c r="Y75" s="50" t="e">
        <f t="shared" si="26"/>
        <v>#REF!</v>
      </c>
      <c r="Z75" t="e">
        <f t="shared" si="27"/>
        <v>#REF!</v>
      </c>
    </row>
    <row r="76" spans="1:26" x14ac:dyDescent="0.4">
      <c r="A76" t="e">
        <f>'Product info'!#REF!</f>
        <v>#REF!</v>
      </c>
      <c r="B76" t="e">
        <f>'Product info'!#REF!</f>
        <v>#REF!</v>
      </c>
      <c r="C76" t="e">
        <f>'Product info'!#REF!</f>
        <v>#REF!</v>
      </c>
      <c r="D76" s="6" t="e">
        <f>'Product info'!#REF!</f>
        <v>#REF!</v>
      </c>
      <c r="E76" t="e">
        <f t="shared" si="15"/>
        <v>#REF!</v>
      </c>
      <c r="F76" s="50" t="e">
        <f>'Product info'!#REF!</f>
        <v>#REF!</v>
      </c>
      <c r="G76" s="50" t="e">
        <f>'Product info'!#REF!</f>
        <v>#REF!</v>
      </c>
      <c r="H76" s="50" t="e">
        <f>'Product info'!#REF!</f>
        <v>#REF!</v>
      </c>
      <c r="I76" s="50" t="e">
        <f>'Product info'!#REF!</f>
        <v>#REF!</v>
      </c>
      <c r="J76" s="51" t="e">
        <f>'Product info'!#REF!</f>
        <v>#REF!</v>
      </c>
      <c r="K76" s="52" t="e">
        <f t="shared" si="16"/>
        <v>#REF!</v>
      </c>
      <c r="L76" s="50" t="e">
        <f t="shared" si="17"/>
        <v>#REF!</v>
      </c>
      <c r="M76" s="50" t="e">
        <f t="shared" si="18"/>
        <v>#REF!</v>
      </c>
      <c r="N76" s="50" t="e">
        <f t="shared" si="19"/>
        <v>#REF!</v>
      </c>
      <c r="O76" s="50" t="e">
        <f t="shared" si="20"/>
        <v>#REF!</v>
      </c>
      <c r="P76" s="53" t="e">
        <f t="shared" si="21"/>
        <v>#REF!</v>
      </c>
      <c r="Q76" s="54" t="e">
        <f>'Product info'!#REF!</f>
        <v>#REF!</v>
      </c>
      <c r="R76" s="54" t="e">
        <f>'Product info'!#REF!</f>
        <v>#REF!</v>
      </c>
      <c r="S76" s="54" t="e">
        <f>'Product info'!#REF!</f>
        <v>#REF!</v>
      </c>
      <c r="T76" s="50" t="e">
        <f>'Product info'!#REF!</f>
        <v>#REF!</v>
      </c>
      <c r="U76" s="52" t="e">
        <f t="shared" si="22"/>
        <v>#REF!</v>
      </c>
      <c r="V76" s="50" t="e">
        <f t="shared" si="23"/>
        <v>#REF!</v>
      </c>
      <c r="W76" s="50" t="e">
        <f t="shared" si="24"/>
        <v>#REF!</v>
      </c>
      <c r="X76" s="50" t="e">
        <f t="shared" si="25"/>
        <v>#REF!</v>
      </c>
      <c r="Y76" s="50" t="e">
        <f t="shared" si="26"/>
        <v>#REF!</v>
      </c>
      <c r="Z76" t="e">
        <f t="shared" si="27"/>
        <v>#REF!</v>
      </c>
    </row>
    <row r="77" spans="1:26" x14ac:dyDescent="0.4">
      <c r="A77" t="e">
        <f>'Product info'!#REF!</f>
        <v>#REF!</v>
      </c>
      <c r="B77" t="e">
        <f>'Product info'!#REF!</f>
        <v>#REF!</v>
      </c>
      <c r="C77" t="e">
        <f>'Product info'!#REF!</f>
        <v>#REF!</v>
      </c>
      <c r="D77" s="6" t="e">
        <f>'Product info'!#REF!</f>
        <v>#REF!</v>
      </c>
      <c r="E77" t="e">
        <f t="shared" si="15"/>
        <v>#REF!</v>
      </c>
      <c r="F77" s="50" t="e">
        <f>'Product info'!#REF!</f>
        <v>#REF!</v>
      </c>
      <c r="G77" s="50" t="e">
        <f>'Product info'!#REF!</f>
        <v>#REF!</v>
      </c>
      <c r="H77" s="50" t="e">
        <f>'Product info'!#REF!</f>
        <v>#REF!</v>
      </c>
      <c r="I77" s="50" t="e">
        <f>'Product info'!#REF!</f>
        <v>#REF!</v>
      </c>
      <c r="J77" s="51" t="e">
        <f>'Product info'!#REF!</f>
        <v>#REF!</v>
      </c>
      <c r="K77" s="52" t="e">
        <f t="shared" si="16"/>
        <v>#REF!</v>
      </c>
      <c r="L77" s="50" t="e">
        <f t="shared" si="17"/>
        <v>#REF!</v>
      </c>
      <c r="M77" s="50" t="e">
        <f t="shared" si="18"/>
        <v>#REF!</v>
      </c>
      <c r="N77" s="50" t="e">
        <f t="shared" si="19"/>
        <v>#REF!</v>
      </c>
      <c r="O77" s="50" t="e">
        <f t="shared" si="20"/>
        <v>#REF!</v>
      </c>
      <c r="P77" s="53" t="e">
        <f t="shared" si="21"/>
        <v>#REF!</v>
      </c>
      <c r="Q77" s="54" t="e">
        <f>'Product info'!#REF!</f>
        <v>#REF!</v>
      </c>
      <c r="R77" s="54" t="e">
        <f>'Product info'!#REF!</f>
        <v>#REF!</v>
      </c>
      <c r="S77" s="54" t="e">
        <f>'Product info'!#REF!</f>
        <v>#REF!</v>
      </c>
      <c r="T77" s="50" t="e">
        <f>'Product info'!#REF!</f>
        <v>#REF!</v>
      </c>
      <c r="U77" s="52" t="e">
        <f t="shared" si="22"/>
        <v>#REF!</v>
      </c>
      <c r="V77" s="50" t="e">
        <f t="shared" si="23"/>
        <v>#REF!</v>
      </c>
      <c r="W77" s="50" t="e">
        <f t="shared" si="24"/>
        <v>#REF!</v>
      </c>
      <c r="X77" s="50" t="e">
        <f t="shared" si="25"/>
        <v>#REF!</v>
      </c>
      <c r="Y77" s="50" t="e">
        <f t="shared" si="26"/>
        <v>#REF!</v>
      </c>
      <c r="Z77" t="e">
        <f t="shared" si="27"/>
        <v>#REF!</v>
      </c>
    </row>
    <row r="78" spans="1:26" x14ac:dyDescent="0.4">
      <c r="A78" t="e">
        <f>'Product info'!#REF!</f>
        <v>#REF!</v>
      </c>
      <c r="B78" t="e">
        <f>'Product info'!#REF!</f>
        <v>#REF!</v>
      </c>
      <c r="C78" t="e">
        <f>'Product info'!#REF!</f>
        <v>#REF!</v>
      </c>
      <c r="D78" s="6" t="e">
        <f>'Product info'!#REF!</f>
        <v>#REF!</v>
      </c>
      <c r="E78" t="e">
        <f t="shared" si="15"/>
        <v>#REF!</v>
      </c>
      <c r="F78" s="50" t="e">
        <f>'Product info'!#REF!</f>
        <v>#REF!</v>
      </c>
      <c r="G78" s="50" t="e">
        <f>'Product info'!#REF!</f>
        <v>#REF!</v>
      </c>
      <c r="H78" s="50" t="e">
        <f>'Product info'!#REF!</f>
        <v>#REF!</v>
      </c>
      <c r="I78" s="50" t="e">
        <f>'Product info'!#REF!</f>
        <v>#REF!</v>
      </c>
      <c r="J78" s="51" t="e">
        <f>'Product info'!#REF!</f>
        <v>#REF!</v>
      </c>
      <c r="K78" s="52" t="e">
        <f t="shared" si="16"/>
        <v>#REF!</v>
      </c>
      <c r="L78" s="50" t="e">
        <f t="shared" si="17"/>
        <v>#REF!</v>
      </c>
      <c r="M78" s="50" t="e">
        <f t="shared" si="18"/>
        <v>#REF!</v>
      </c>
      <c r="N78" s="50" t="e">
        <f t="shared" si="19"/>
        <v>#REF!</v>
      </c>
      <c r="O78" s="50" t="e">
        <f t="shared" si="20"/>
        <v>#REF!</v>
      </c>
      <c r="P78" s="53" t="e">
        <f t="shared" si="21"/>
        <v>#REF!</v>
      </c>
      <c r="Q78" s="54" t="e">
        <f>'Product info'!#REF!</f>
        <v>#REF!</v>
      </c>
      <c r="R78" s="54" t="e">
        <f>'Product info'!#REF!</f>
        <v>#REF!</v>
      </c>
      <c r="S78" s="54" t="e">
        <f>'Product info'!#REF!</f>
        <v>#REF!</v>
      </c>
      <c r="T78" s="50" t="e">
        <f>'Product info'!#REF!</f>
        <v>#REF!</v>
      </c>
      <c r="U78" s="52" t="e">
        <f t="shared" si="22"/>
        <v>#REF!</v>
      </c>
      <c r="V78" s="50" t="e">
        <f t="shared" si="23"/>
        <v>#REF!</v>
      </c>
      <c r="W78" s="50" t="e">
        <f t="shared" si="24"/>
        <v>#REF!</v>
      </c>
      <c r="X78" s="50" t="e">
        <f t="shared" si="25"/>
        <v>#REF!</v>
      </c>
      <c r="Y78" s="50" t="e">
        <f t="shared" si="26"/>
        <v>#REF!</v>
      </c>
      <c r="Z78" t="e">
        <f t="shared" si="27"/>
        <v>#REF!</v>
      </c>
    </row>
    <row r="79" spans="1:26" x14ac:dyDescent="0.4">
      <c r="A79" t="e">
        <f>'Product info'!#REF!</f>
        <v>#REF!</v>
      </c>
      <c r="B79" t="e">
        <f>'Product info'!#REF!</f>
        <v>#REF!</v>
      </c>
      <c r="C79" t="e">
        <f>'Product info'!#REF!</f>
        <v>#REF!</v>
      </c>
      <c r="D79" s="6" t="e">
        <f>'Product info'!#REF!</f>
        <v>#REF!</v>
      </c>
      <c r="E79" t="e">
        <f t="shared" si="15"/>
        <v>#REF!</v>
      </c>
      <c r="F79" s="50" t="e">
        <f>'Product info'!#REF!</f>
        <v>#REF!</v>
      </c>
      <c r="G79" s="50" t="e">
        <f>'Product info'!#REF!</f>
        <v>#REF!</v>
      </c>
      <c r="H79" s="50" t="e">
        <f>'Product info'!#REF!</f>
        <v>#REF!</v>
      </c>
      <c r="I79" s="50" t="e">
        <f>'Product info'!#REF!</f>
        <v>#REF!</v>
      </c>
      <c r="J79" s="51" t="e">
        <f>'Product info'!#REF!</f>
        <v>#REF!</v>
      </c>
      <c r="K79" s="52" t="e">
        <f t="shared" si="16"/>
        <v>#REF!</v>
      </c>
      <c r="L79" s="50" t="e">
        <f t="shared" si="17"/>
        <v>#REF!</v>
      </c>
      <c r="M79" s="50" t="e">
        <f t="shared" si="18"/>
        <v>#REF!</v>
      </c>
      <c r="N79" s="50" t="e">
        <f t="shared" si="19"/>
        <v>#REF!</v>
      </c>
      <c r="O79" s="50" t="e">
        <f t="shared" si="20"/>
        <v>#REF!</v>
      </c>
      <c r="P79" s="53" t="e">
        <f t="shared" si="21"/>
        <v>#REF!</v>
      </c>
      <c r="Q79" s="54" t="e">
        <f>'Product info'!#REF!</f>
        <v>#REF!</v>
      </c>
      <c r="R79" s="54" t="e">
        <f>'Product info'!#REF!</f>
        <v>#REF!</v>
      </c>
      <c r="S79" s="54" t="e">
        <f>'Product info'!#REF!</f>
        <v>#REF!</v>
      </c>
      <c r="T79" s="50" t="e">
        <f>'Product info'!#REF!</f>
        <v>#REF!</v>
      </c>
      <c r="U79" s="52" t="e">
        <f t="shared" si="22"/>
        <v>#REF!</v>
      </c>
      <c r="V79" s="50" t="e">
        <f t="shared" si="23"/>
        <v>#REF!</v>
      </c>
      <c r="W79" s="50" t="e">
        <f t="shared" si="24"/>
        <v>#REF!</v>
      </c>
      <c r="X79" s="50" t="e">
        <f t="shared" si="25"/>
        <v>#REF!</v>
      </c>
      <c r="Y79" s="50" t="e">
        <f t="shared" si="26"/>
        <v>#REF!</v>
      </c>
      <c r="Z79" t="e">
        <f t="shared" si="27"/>
        <v>#REF!</v>
      </c>
    </row>
    <row r="80" spans="1:26" x14ac:dyDescent="0.4">
      <c r="A80" t="e">
        <f>'Product info'!#REF!</f>
        <v>#REF!</v>
      </c>
      <c r="B80" t="e">
        <f>'Product info'!#REF!</f>
        <v>#REF!</v>
      </c>
      <c r="C80" t="e">
        <f>'Product info'!#REF!</f>
        <v>#REF!</v>
      </c>
      <c r="D80" s="6" t="e">
        <f>'Product info'!#REF!</f>
        <v>#REF!</v>
      </c>
      <c r="E80" t="e">
        <f t="shared" si="15"/>
        <v>#REF!</v>
      </c>
      <c r="F80" s="50" t="e">
        <f>'Product info'!#REF!</f>
        <v>#REF!</v>
      </c>
      <c r="G80" s="50" t="e">
        <f>'Product info'!#REF!</f>
        <v>#REF!</v>
      </c>
      <c r="H80" s="50" t="e">
        <f>'Product info'!#REF!</f>
        <v>#REF!</v>
      </c>
      <c r="I80" s="50" t="e">
        <f>'Product info'!#REF!</f>
        <v>#REF!</v>
      </c>
      <c r="J80" s="51" t="e">
        <f>'Product info'!#REF!</f>
        <v>#REF!</v>
      </c>
      <c r="K80" s="52" t="e">
        <f t="shared" si="16"/>
        <v>#REF!</v>
      </c>
      <c r="L80" s="50" t="e">
        <f t="shared" si="17"/>
        <v>#REF!</v>
      </c>
      <c r="M80" s="50" t="e">
        <f t="shared" si="18"/>
        <v>#REF!</v>
      </c>
      <c r="N80" s="50" t="e">
        <f t="shared" si="19"/>
        <v>#REF!</v>
      </c>
      <c r="O80" s="50" t="e">
        <f t="shared" si="20"/>
        <v>#REF!</v>
      </c>
      <c r="P80" s="53" t="e">
        <f t="shared" si="21"/>
        <v>#REF!</v>
      </c>
      <c r="Q80" s="54" t="e">
        <f>'Product info'!#REF!</f>
        <v>#REF!</v>
      </c>
      <c r="R80" s="54" t="e">
        <f>'Product info'!#REF!</f>
        <v>#REF!</v>
      </c>
      <c r="S80" s="54" t="e">
        <f>'Product info'!#REF!</f>
        <v>#REF!</v>
      </c>
      <c r="T80" s="50" t="e">
        <f>'Product info'!#REF!</f>
        <v>#REF!</v>
      </c>
      <c r="U80" s="52" t="e">
        <f t="shared" si="22"/>
        <v>#REF!</v>
      </c>
      <c r="V80" s="50" t="e">
        <f t="shared" si="23"/>
        <v>#REF!</v>
      </c>
      <c r="W80" s="50" t="e">
        <f t="shared" si="24"/>
        <v>#REF!</v>
      </c>
      <c r="X80" s="50" t="e">
        <f t="shared" si="25"/>
        <v>#REF!</v>
      </c>
      <c r="Y80" s="50" t="e">
        <f t="shared" si="26"/>
        <v>#REF!</v>
      </c>
      <c r="Z80" t="e">
        <f t="shared" si="27"/>
        <v>#REF!</v>
      </c>
    </row>
    <row r="81" spans="1:26" x14ac:dyDescent="0.4">
      <c r="A81" t="e">
        <f>'Product info'!#REF!</f>
        <v>#REF!</v>
      </c>
      <c r="B81" t="e">
        <f>'Product info'!#REF!</f>
        <v>#REF!</v>
      </c>
      <c r="C81" t="e">
        <f>'Product info'!#REF!</f>
        <v>#REF!</v>
      </c>
      <c r="D81" s="6" t="e">
        <f>'Product info'!#REF!</f>
        <v>#REF!</v>
      </c>
      <c r="E81" t="e">
        <f t="shared" si="15"/>
        <v>#REF!</v>
      </c>
      <c r="F81" s="50" t="e">
        <f>'Product info'!#REF!</f>
        <v>#REF!</v>
      </c>
      <c r="G81" s="50" t="e">
        <f>'Product info'!#REF!</f>
        <v>#REF!</v>
      </c>
      <c r="H81" s="50" t="e">
        <f>'Product info'!#REF!</f>
        <v>#REF!</v>
      </c>
      <c r="I81" s="50" t="e">
        <f>'Product info'!#REF!</f>
        <v>#REF!</v>
      </c>
      <c r="J81" s="51" t="e">
        <f>'Product info'!#REF!</f>
        <v>#REF!</v>
      </c>
      <c r="K81" s="52" t="e">
        <f t="shared" si="16"/>
        <v>#REF!</v>
      </c>
      <c r="L81" s="50" t="e">
        <f t="shared" si="17"/>
        <v>#REF!</v>
      </c>
      <c r="M81" s="50" t="e">
        <f t="shared" si="18"/>
        <v>#REF!</v>
      </c>
      <c r="N81" s="50" t="e">
        <f t="shared" si="19"/>
        <v>#REF!</v>
      </c>
      <c r="O81" s="50" t="e">
        <f t="shared" si="20"/>
        <v>#REF!</v>
      </c>
      <c r="P81" s="53" t="e">
        <f t="shared" si="21"/>
        <v>#REF!</v>
      </c>
      <c r="Q81" s="54" t="e">
        <f>'Product info'!#REF!</f>
        <v>#REF!</v>
      </c>
      <c r="R81" s="54" t="e">
        <f>'Product info'!#REF!</f>
        <v>#REF!</v>
      </c>
      <c r="S81" s="54" t="e">
        <f>'Product info'!#REF!</f>
        <v>#REF!</v>
      </c>
      <c r="T81" s="50" t="e">
        <f>'Product info'!#REF!</f>
        <v>#REF!</v>
      </c>
      <c r="U81" s="52" t="e">
        <f t="shared" si="22"/>
        <v>#REF!</v>
      </c>
      <c r="V81" s="50" t="e">
        <f t="shared" si="23"/>
        <v>#REF!</v>
      </c>
      <c r="W81" s="50" t="e">
        <f t="shared" si="24"/>
        <v>#REF!</v>
      </c>
      <c r="X81" s="50" t="e">
        <f t="shared" si="25"/>
        <v>#REF!</v>
      </c>
      <c r="Y81" s="50" t="e">
        <f t="shared" si="26"/>
        <v>#REF!</v>
      </c>
      <c r="Z81" t="e">
        <f t="shared" si="27"/>
        <v>#REF!</v>
      </c>
    </row>
    <row r="82" spans="1:26" x14ac:dyDescent="0.4">
      <c r="A82" t="e">
        <f>'Product info'!#REF!</f>
        <v>#REF!</v>
      </c>
      <c r="B82" t="e">
        <f>'Product info'!#REF!</f>
        <v>#REF!</v>
      </c>
      <c r="C82" t="e">
        <f>'Product info'!#REF!</f>
        <v>#REF!</v>
      </c>
      <c r="D82" s="6" t="e">
        <f>'Product info'!#REF!</f>
        <v>#REF!</v>
      </c>
      <c r="E82" t="e">
        <f t="shared" si="15"/>
        <v>#REF!</v>
      </c>
      <c r="F82" s="50" t="e">
        <f>'Product info'!#REF!</f>
        <v>#REF!</v>
      </c>
      <c r="G82" s="50" t="e">
        <f>'Product info'!#REF!</f>
        <v>#REF!</v>
      </c>
      <c r="H82" s="50" t="e">
        <f>'Product info'!#REF!</f>
        <v>#REF!</v>
      </c>
      <c r="I82" s="50" t="e">
        <f>'Product info'!#REF!</f>
        <v>#REF!</v>
      </c>
      <c r="J82" s="51" t="e">
        <f>'Product info'!#REF!</f>
        <v>#REF!</v>
      </c>
      <c r="K82" s="52" t="e">
        <f t="shared" si="16"/>
        <v>#REF!</v>
      </c>
      <c r="L82" s="50" t="e">
        <f t="shared" si="17"/>
        <v>#REF!</v>
      </c>
      <c r="M82" s="50" t="e">
        <f t="shared" si="18"/>
        <v>#REF!</v>
      </c>
      <c r="N82" s="50" t="e">
        <f t="shared" si="19"/>
        <v>#REF!</v>
      </c>
      <c r="O82" s="50" t="e">
        <f t="shared" si="20"/>
        <v>#REF!</v>
      </c>
      <c r="P82" s="53" t="e">
        <f t="shared" si="21"/>
        <v>#REF!</v>
      </c>
      <c r="Q82" s="54" t="e">
        <f>'Product info'!#REF!</f>
        <v>#REF!</v>
      </c>
      <c r="R82" s="54" t="e">
        <f>'Product info'!#REF!</f>
        <v>#REF!</v>
      </c>
      <c r="S82" s="54" t="e">
        <f>'Product info'!#REF!</f>
        <v>#REF!</v>
      </c>
      <c r="T82" s="50" t="e">
        <f>'Product info'!#REF!</f>
        <v>#REF!</v>
      </c>
      <c r="U82" s="52" t="e">
        <f t="shared" si="22"/>
        <v>#REF!</v>
      </c>
      <c r="V82" s="50" t="e">
        <f t="shared" si="23"/>
        <v>#REF!</v>
      </c>
      <c r="W82" s="50" t="e">
        <f t="shared" si="24"/>
        <v>#REF!</v>
      </c>
      <c r="X82" s="50" t="e">
        <f t="shared" si="25"/>
        <v>#REF!</v>
      </c>
      <c r="Y82" s="50" t="e">
        <f t="shared" si="26"/>
        <v>#REF!</v>
      </c>
      <c r="Z82" t="e">
        <f t="shared" si="27"/>
        <v>#REF!</v>
      </c>
    </row>
    <row r="83" spans="1:26" x14ac:dyDescent="0.4">
      <c r="A83" t="e">
        <f>'Product info'!#REF!</f>
        <v>#REF!</v>
      </c>
      <c r="B83" t="e">
        <f>'Product info'!#REF!</f>
        <v>#REF!</v>
      </c>
      <c r="C83" t="e">
        <f>'Product info'!#REF!</f>
        <v>#REF!</v>
      </c>
      <c r="D83" s="6" t="e">
        <f>'Product info'!#REF!</f>
        <v>#REF!</v>
      </c>
      <c r="E83" t="e">
        <f t="shared" si="15"/>
        <v>#REF!</v>
      </c>
      <c r="F83" s="50" t="e">
        <f>'Product info'!#REF!</f>
        <v>#REF!</v>
      </c>
      <c r="G83" s="50" t="e">
        <f>'Product info'!#REF!</f>
        <v>#REF!</v>
      </c>
      <c r="H83" s="50" t="e">
        <f>'Product info'!#REF!</f>
        <v>#REF!</v>
      </c>
      <c r="I83" s="50" t="e">
        <f>'Product info'!#REF!</f>
        <v>#REF!</v>
      </c>
      <c r="J83" s="51" t="e">
        <f>'Product info'!#REF!</f>
        <v>#REF!</v>
      </c>
      <c r="K83" s="52" t="e">
        <f t="shared" si="16"/>
        <v>#REF!</v>
      </c>
      <c r="L83" s="50" t="e">
        <f t="shared" si="17"/>
        <v>#REF!</v>
      </c>
      <c r="M83" s="50" t="e">
        <f t="shared" si="18"/>
        <v>#REF!</v>
      </c>
      <c r="N83" s="50" t="e">
        <f t="shared" si="19"/>
        <v>#REF!</v>
      </c>
      <c r="O83" s="50" t="e">
        <f t="shared" si="20"/>
        <v>#REF!</v>
      </c>
      <c r="P83" s="53" t="e">
        <f t="shared" si="21"/>
        <v>#REF!</v>
      </c>
      <c r="Q83" s="54" t="e">
        <f>'Product info'!#REF!</f>
        <v>#REF!</v>
      </c>
      <c r="R83" s="54" t="e">
        <f>'Product info'!#REF!</f>
        <v>#REF!</v>
      </c>
      <c r="S83" s="54" t="e">
        <f>'Product info'!#REF!</f>
        <v>#REF!</v>
      </c>
      <c r="T83" s="50" t="e">
        <f>'Product info'!#REF!</f>
        <v>#REF!</v>
      </c>
      <c r="U83" s="52" t="e">
        <f t="shared" si="22"/>
        <v>#REF!</v>
      </c>
      <c r="V83" s="50" t="e">
        <f t="shared" si="23"/>
        <v>#REF!</v>
      </c>
      <c r="W83" s="50" t="e">
        <f t="shared" si="24"/>
        <v>#REF!</v>
      </c>
      <c r="X83" s="50" t="e">
        <f t="shared" si="25"/>
        <v>#REF!</v>
      </c>
      <c r="Y83" s="50" t="e">
        <f t="shared" si="26"/>
        <v>#REF!</v>
      </c>
      <c r="Z83" t="e">
        <f t="shared" si="27"/>
        <v>#REF!</v>
      </c>
    </row>
    <row r="84" spans="1:26" x14ac:dyDescent="0.4">
      <c r="A84" t="e">
        <f>'Product info'!#REF!</f>
        <v>#REF!</v>
      </c>
      <c r="B84" t="e">
        <f>'Product info'!#REF!</f>
        <v>#REF!</v>
      </c>
      <c r="C84" t="e">
        <f>'Product info'!#REF!</f>
        <v>#REF!</v>
      </c>
      <c r="D84" s="6" t="e">
        <f>'Product info'!#REF!</f>
        <v>#REF!</v>
      </c>
      <c r="E84" t="e">
        <f t="shared" si="15"/>
        <v>#REF!</v>
      </c>
      <c r="F84" s="50" t="e">
        <f>'Product info'!#REF!</f>
        <v>#REF!</v>
      </c>
      <c r="G84" s="50" t="e">
        <f>'Product info'!#REF!</f>
        <v>#REF!</v>
      </c>
      <c r="H84" s="50" t="e">
        <f>'Product info'!#REF!</f>
        <v>#REF!</v>
      </c>
      <c r="I84" s="50" t="e">
        <f>'Product info'!#REF!</f>
        <v>#REF!</v>
      </c>
      <c r="J84" s="51" t="e">
        <f>'Product info'!#REF!</f>
        <v>#REF!</v>
      </c>
      <c r="K84" s="52" t="e">
        <f t="shared" si="16"/>
        <v>#REF!</v>
      </c>
      <c r="L84" s="50" t="e">
        <f t="shared" si="17"/>
        <v>#REF!</v>
      </c>
      <c r="M84" s="50" t="e">
        <f t="shared" si="18"/>
        <v>#REF!</v>
      </c>
      <c r="N84" s="50" t="e">
        <f t="shared" si="19"/>
        <v>#REF!</v>
      </c>
      <c r="O84" s="50" t="e">
        <f t="shared" si="20"/>
        <v>#REF!</v>
      </c>
      <c r="P84" s="53" t="e">
        <f t="shared" si="21"/>
        <v>#REF!</v>
      </c>
      <c r="Q84" s="54" t="e">
        <f>'Product info'!#REF!</f>
        <v>#REF!</v>
      </c>
      <c r="R84" s="54" t="e">
        <f>'Product info'!#REF!</f>
        <v>#REF!</v>
      </c>
      <c r="S84" s="54" t="e">
        <f>'Product info'!#REF!</f>
        <v>#REF!</v>
      </c>
      <c r="T84" s="50" t="e">
        <f>'Product info'!#REF!</f>
        <v>#REF!</v>
      </c>
      <c r="U84" s="52" t="e">
        <f t="shared" si="22"/>
        <v>#REF!</v>
      </c>
      <c r="V84" s="50" t="e">
        <f t="shared" si="23"/>
        <v>#REF!</v>
      </c>
      <c r="W84" s="50" t="e">
        <f t="shared" si="24"/>
        <v>#REF!</v>
      </c>
      <c r="X84" s="50" t="e">
        <f t="shared" si="25"/>
        <v>#REF!</v>
      </c>
      <c r="Y84" s="50" t="e">
        <f t="shared" si="26"/>
        <v>#REF!</v>
      </c>
      <c r="Z84" t="e">
        <f t="shared" si="27"/>
        <v>#REF!</v>
      </c>
    </row>
    <row r="85" spans="1:26" x14ac:dyDescent="0.4">
      <c r="A85" t="e">
        <f>'Product info'!#REF!</f>
        <v>#REF!</v>
      </c>
      <c r="B85" t="e">
        <f>'Product info'!#REF!</f>
        <v>#REF!</v>
      </c>
      <c r="C85" t="e">
        <f>'Product info'!#REF!</f>
        <v>#REF!</v>
      </c>
      <c r="D85" s="6" t="e">
        <f>'Product info'!#REF!</f>
        <v>#REF!</v>
      </c>
      <c r="E85" t="e">
        <f t="shared" si="15"/>
        <v>#REF!</v>
      </c>
      <c r="F85" s="50" t="e">
        <f>'Product info'!#REF!</f>
        <v>#REF!</v>
      </c>
      <c r="G85" s="50" t="e">
        <f>'Product info'!#REF!</f>
        <v>#REF!</v>
      </c>
      <c r="H85" s="50" t="e">
        <f>'Product info'!#REF!</f>
        <v>#REF!</v>
      </c>
      <c r="I85" s="50" t="e">
        <f>'Product info'!#REF!</f>
        <v>#REF!</v>
      </c>
      <c r="J85" s="51" t="e">
        <f>'Product info'!#REF!</f>
        <v>#REF!</v>
      </c>
      <c r="K85" s="52" t="e">
        <f t="shared" si="16"/>
        <v>#REF!</v>
      </c>
      <c r="L85" s="50" t="e">
        <f t="shared" si="17"/>
        <v>#REF!</v>
      </c>
      <c r="M85" s="50" t="e">
        <f t="shared" si="18"/>
        <v>#REF!</v>
      </c>
      <c r="N85" s="50" t="e">
        <f t="shared" si="19"/>
        <v>#REF!</v>
      </c>
      <c r="O85" s="50" t="e">
        <f t="shared" si="20"/>
        <v>#REF!</v>
      </c>
      <c r="P85" s="53" t="e">
        <f t="shared" si="21"/>
        <v>#REF!</v>
      </c>
      <c r="Q85" s="54" t="e">
        <f>'Product info'!#REF!</f>
        <v>#REF!</v>
      </c>
      <c r="R85" s="54" t="e">
        <f>'Product info'!#REF!</f>
        <v>#REF!</v>
      </c>
      <c r="S85" s="54" t="e">
        <f>'Product info'!#REF!</f>
        <v>#REF!</v>
      </c>
      <c r="T85" s="50" t="e">
        <f>'Product info'!#REF!</f>
        <v>#REF!</v>
      </c>
      <c r="U85" s="52" t="e">
        <f t="shared" si="22"/>
        <v>#REF!</v>
      </c>
      <c r="V85" s="50" t="e">
        <f t="shared" si="23"/>
        <v>#REF!</v>
      </c>
      <c r="W85" s="50" t="e">
        <f t="shared" si="24"/>
        <v>#REF!</v>
      </c>
      <c r="X85" s="50" t="e">
        <f t="shared" si="25"/>
        <v>#REF!</v>
      </c>
      <c r="Y85" s="50" t="e">
        <f t="shared" si="26"/>
        <v>#REF!</v>
      </c>
      <c r="Z85" t="e">
        <f t="shared" si="27"/>
        <v>#REF!</v>
      </c>
    </row>
    <row r="86" spans="1:26" x14ac:dyDescent="0.4">
      <c r="A86" t="e">
        <f>'Product info'!#REF!</f>
        <v>#REF!</v>
      </c>
      <c r="B86" t="e">
        <f>'Product info'!#REF!</f>
        <v>#REF!</v>
      </c>
      <c r="C86" t="e">
        <f>'Product info'!#REF!</f>
        <v>#REF!</v>
      </c>
      <c r="D86" s="6" t="e">
        <f>'Product info'!#REF!</f>
        <v>#REF!</v>
      </c>
      <c r="E86" t="e">
        <f t="shared" si="15"/>
        <v>#REF!</v>
      </c>
      <c r="F86" s="50" t="e">
        <f>'Product info'!#REF!</f>
        <v>#REF!</v>
      </c>
      <c r="G86" s="50" t="e">
        <f>'Product info'!#REF!</f>
        <v>#REF!</v>
      </c>
      <c r="H86" s="50" t="e">
        <f>'Product info'!#REF!</f>
        <v>#REF!</v>
      </c>
      <c r="I86" s="50" t="e">
        <f>'Product info'!#REF!</f>
        <v>#REF!</v>
      </c>
      <c r="J86" s="51" t="e">
        <f>'Product info'!#REF!</f>
        <v>#REF!</v>
      </c>
      <c r="K86" s="52" t="e">
        <f t="shared" si="16"/>
        <v>#REF!</v>
      </c>
      <c r="L86" s="50" t="e">
        <f t="shared" si="17"/>
        <v>#REF!</v>
      </c>
      <c r="M86" s="50" t="e">
        <f t="shared" si="18"/>
        <v>#REF!</v>
      </c>
      <c r="N86" s="50" t="e">
        <f t="shared" si="19"/>
        <v>#REF!</v>
      </c>
      <c r="O86" s="50" t="e">
        <f t="shared" si="20"/>
        <v>#REF!</v>
      </c>
      <c r="P86" s="53" t="e">
        <f t="shared" si="21"/>
        <v>#REF!</v>
      </c>
      <c r="Q86" s="54" t="e">
        <f>'Product info'!#REF!</f>
        <v>#REF!</v>
      </c>
      <c r="R86" s="54" t="e">
        <f>'Product info'!#REF!</f>
        <v>#REF!</v>
      </c>
      <c r="S86" s="54" t="e">
        <f>'Product info'!#REF!</f>
        <v>#REF!</v>
      </c>
      <c r="T86" s="50" t="e">
        <f>'Product info'!#REF!</f>
        <v>#REF!</v>
      </c>
      <c r="U86" s="52" t="e">
        <f t="shared" si="22"/>
        <v>#REF!</v>
      </c>
      <c r="V86" s="50" t="e">
        <f t="shared" si="23"/>
        <v>#REF!</v>
      </c>
      <c r="W86" s="50" t="e">
        <f t="shared" si="24"/>
        <v>#REF!</v>
      </c>
      <c r="X86" s="50" t="e">
        <f t="shared" si="25"/>
        <v>#REF!</v>
      </c>
      <c r="Y86" s="50" t="e">
        <f t="shared" si="26"/>
        <v>#REF!</v>
      </c>
      <c r="Z86" t="e">
        <f t="shared" si="27"/>
        <v>#REF!</v>
      </c>
    </row>
    <row r="87" spans="1:26" x14ac:dyDescent="0.4">
      <c r="A87" t="e">
        <f>'Product info'!#REF!</f>
        <v>#REF!</v>
      </c>
      <c r="B87" t="e">
        <f>'Product info'!#REF!</f>
        <v>#REF!</v>
      </c>
      <c r="C87" t="e">
        <f>'Product info'!#REF!</f>
        <v>#REF!</v>
      </c>
      <c r="D87" s="6" t="e">
        <f>'Product info'!#REF!</f>
        <v>#REF!</v>
      </c>
      <c r="E87" t="e">
        <f t="shared" si="15"/>
        <v>#REF!</v>
      </c>
      <c r="F87" s="50" t="e">
        <f>'Product info'!#REF!</f>
        <v>#REF!</v>
      </c>
      <c r="G87" s="50" t="e">
        <f>'Product info'!#REF!</f>
        <v>#REF!</v>
      </c>
      <c r="H87" s="50" t="e">
        <f>'Product info'!#REF!</f>
        <v>#REF!</v>
      </c>
      <c r="I87" s="50" t="e">
        <f>'Product info'!#REF!</f>
        <v>#REF!</v>
      </c>
      <c r="J87" s="51" t="e">
        <f>'Product info'!#REF!</f>
        <v>#REF!</v>
      </c>
      <c r="K87" s="52" t="e">
        <f t="shared" si="16"/>
        <v>#REF!</v>
      </c>
      <c r="L87" s="50" t="e">
        <f t="shared" si="17"/>
        <v>#REF!</v>
      </c>
      <c r="M87" s="50" t="e">
        <f t="shared" si="18"/>
        <v>#REF!</v>
      </c>
      <c r="N87" s="50" t="e">
        <f t="shared" si="19"/>
        <v>#REF!</v>
      </c>
      <c r="O87" s="50" t="e">
        <f t="shared" si="20"/>
        <v>#REF!</v>
      </c>
      <c r="P87" s="53" t="e">
        <f t="shared" si="21"/>
        <v>#REF!</v>
      </c>
      <c r="Q87" s="54" t="e">
        <f>'Product info'!#REF!</f>
        <v>#REF!</v>
      </c>
      <c r="R87" s="54" t="e">
        <f>'Product info'!#REF!</f>
        <v>#REF!</v>
      </c>
      <c r="S87" s="54" t="e">
        <f>'Product info'!#REF!</f>
        <v>#REF!</v>
      </c>
      <c r="T87" s="50" t="e">
        <f>'Product info'!#REF!</f>
        <v>#REF!</v>
      </c>
      <c r="U87" s="52" t="e">
        <f t="shared" si="22"/>
        <v>#REF!</v>
      </c>
      <c r="V87" s="50" t="e">
        <f t="shared" si="23"/>
        <v>#REF!</v>
      </c>
      <c r="W87" s="50" t="e">
        <f t="shared" si="24"/>
        <v>#REF!</v>
      </c>
      <c r="X87" s="50" t="e">
        <f t="shared" si="25"/>
        <v>#REF!</v>
      </c>
      <c r="Y87" s="50" t="e">
        <f t="shared" si="26"/>
        <v>#REF!</v>
      </c>
      <c r="Z87" t="e">
        <f t="shared" si="27"/>
        <v>#REF!</v>
      </c>
    </row>
    <row r="88" spans="1:26" x14ac:dyDescent="0.4">
      <c r="A88" t="e">
        <f>'Product info'!#REF!</f>
        <v>#REF!</v>
      </c>
      <c r="B88" t="e">
        <f>'Product info'!#REF!</f>
        <v>#REF!</v>
      </c>
      <c r="C88" t="e">
        <f>'Product info'!#REF!</f>
        <v>#REF!</v>
      </c>
      <c r="D88" s="6" t="e">
        <f>'Product info'!#REF!</f>
        <v>#REF!</v>
      </c>
      <c r="E88" t="e">
        <f t="shared" si="15"/>
        <v>#REF!</v>
      </c>
      <c r="F88" s="50" t="e">
        <f>'Product info'!#REF!</f>
        <v>#REF!</v>
      </c>
      <c r="G88" s="50" t="e">
        <f>'Product info'!#REF!</f>
        <v>#REF!</v>
      </c>
      <c r="H88" s="50" t="e">
        <f>'Product info'!#REF!</f>
        <v>#REF!</v>
      </c>
      <c r="I88" s="50" t="e">
        <f>'Product info'!#REF!</f>
        <v>#REF!</v>
      </c>
      <c r="J88" s="51" t="e">
        <f>'Product info'!#REF!</f>
        <v>#REF!</v>
      </c>
      <c r="K88" s="52" t="e">
        <f t="shared" si="16"/>
        <v>#REF!</v>
      </c>
      <c r="L88" s="50" t="e">
        <f t="shared" si="17"/>
        <v>#REF!</v>
      </c>
      <c r="M88" s="50" t="e">
        <f t="shared" si="18"/>
        <v>#REF!</v>
      </c>
      <c r="N88" s="50" t="e">
        <f t="shared" si="19"/>
        <v>#REF!</v>
      </c>
      <c r="O88" s="50" t="e">
        <f t="shared" si="20"/>
        <v>#REF!</v>
      </c>
      <c r="P88" s="53" t="e">
        <f t="shared" si="21"/>
        <v>#REF!</v>
      </c>
      <c r="Q88" s="54" t="e">
        <f>'Product info'!#REF!</f>
        <v>#REF!</v>
      </c>
      <c r="R88" s="54" t="e">
        <f>'Product info'!#REF!</f>
        <v>#REF!</v>
      </c>
      <c r="S88" s="54" t="e">
        <f>'Product info'!#REF!</f>
        <v>#REF!</v>
      </c>
      <c r="T88" s="50" t="e">
        <f>'Product info'!#REF!</f>
        <v>#REF!</v>
      </c>
      <c r="U88" s="52" t="e">
        <f t="shared" si="22"/>
        <v>#REF!</v>
      </c>
      <c r="V88" s="50" t="e">
        <f t="shared" si="23"/>
        <v>#REF!</v>
      </c>
      <c r="W88" s="50" t="e">
        <f t="shared" si="24"/>
        <v>#REF!</v>
      </c>
      <c r="X88" s="50" t="e">
        <f t="shared" si="25"/>
        <v>#REF!</v>
      </c>
      <c r="Y88" s="50" t="e">
        <f t="shared" si="26"/>
        <v>#REF!</v>
      </c>
      <c r="Z88" t="e">
        <f t="shared" si="27"/>
        <v>#REF!</v>
      </c>
    </row>
    <row r="89" spans="1:26" x14ac:dyDescent="0.4">
      <c r="A89" t="e">
        <f>'Product info'!#REF!</f>
        <v>#REF!</v>
      </c>
      <c r="B89" t="e">
        <f>'Product info'!#REF!</f>
        <v>#REF!</v>
      </c>
      <c r="C89" t="e">
        <f>'Product info'!#REF!</f>
        <v>#REF!</v>
      </c>
      <c r="D89" s="6" t="e">
        <f>'Product info'!#REF!</f>
        <v>#REF!</v>
      </c>
      <c r="E89" t="e">
        <f t="shared" si="15"/>
        <v>#REF!</v>
      </c>
      <c r="F89" s="50" t="e">
        <f>'Product info'!#REF!</f>
        <v>#REF!</v>
      </c>
      <c r="G89" s="50" t="e">
        <f>'Product info'!#REF!</f>
        <v>#REF!</v>
      </c>
      <c r="H89" s="50" t="e">
        <f>'Product info'!#REF!</f>
        <v>#REF!</v>
      </c>
      <c r="I89" s="50" t="e">
        <f>'Product info'!#REF!</f>
        <v>#REF!</v>
      </c>
      <c r="J89" s="51" t="e">
        <f>'Product info'!#REF!</f>
        <v>#REF!</v>
      </c>
      <c r="K89" s="52" t="e">
        <f t="shared" si="16"/>
        <v>#REF!</v>
      </c>
      <c r="L89" s="50" t="e">
        <f t="shared" si="17"/>
        <v>#REF!</v>
      </c>
      <c r="M89" s="50" t="e">
        <f t="shared" si="18"/>
        <v>#REF!</v>
      </c>
      <c r="N89" s="50" t="e">
        <f t="shared" si="19"/>
        <v>#REF!</v>
      </c>
      <c r="O89" s="50" t="e">
        <f t="shared" si="20"/>
        <v>#REF!</v>
      </c>
      <c r="P89" s="53" t="e">
        <f t="shared" si="21"/>
        <v>#REF!</v>
      </c>
      <c r="Q89" s="54" t="e">
        <f>'Product info'!#REF!</f>
        <v>#REF!</v>
      </c>
      <c r="R89" s="54" t="e">
        <f>'Product info'!#REF!</f>
        <v>#REF!</v>
      </c>
      <c r="S89" s="54" t="e">
        <f>'Product info'!#REF!</f>
        <v>#REF!</v>
      </c>
      <c r="T89" s="50" t="e">
        <f>'Product info'!#REF!</f>
        <v>#REF!</v>
      </c>
      <c r="U89" s="52" t="e">
        <f t="shared" si="22"/>
        <v>#REF!</v>
      </c>
      <c r="V89" s="50" t="e">
        <f t="shared" si="23"/>
        <v>#REF!</v>
      </c>
      <c r="W89" s="50" t="e">
        <f t="shared" si="24"/>
        <v>#REF!</v>
      </c>
      <c r="X89" s="50" t="e">
        <f t="shared" si="25"/>
        <v>#REF!</v>
      </c>
      <c r="Y89" s="50" t="e">
        <f t="shared" si="26"/>
        <v>#REF!</v>
      </c>
      <c r="Z89" t="e">
        <f t="shared" si="27"/>
        <v>#REF!</v>
      </c>
    </row>
    <row r="90" spans="1:26" x14ac:dyDescent="0.4">
      <c r="A90" t="e">
        <f>'Product info'!#REF!</f>
        <v>#REF!</v>
      </c>
      <c r="B90" t="e">
        <f>'Product info'!#REF!</f>
        <v>#REF!</v>
      </c>
      <c r="C90" t="e">
        <f>'Product info'!#REF!</f>
        <v>#REF!</v>
      </c>
      <c r="D90" s="6" t="e">
        <f>'Product info'!#REF!</f>
        <v>#REF!</v>
      </c>
      <c r="E90" t="e">
        <f t="shared" si="15"/>
        <v>#REF!</v>
      </c>
      <c r="F90" s="50" t="e">
        <f>'Product info'!#REF!</f>
        <v>#REF!</v>
      </c>
      <c r="G90" s="50" t="e">
        <f>'Product info'!#REF!</f>
        <v>#REF!</v>
      </c>
      <c r="H90" s="50" t="e">
        <f>'Product info'!#REF!</f>
        <v>#REF!</v>
      </c>
      <c r="I90" s="50" t="e">
        <f>'Product info'!#REF!</f>
        <v>#REF!</v>
      </c>
      <c r="J90" s="51" t="e">
        <f>'Product info'!#REF!</f>
        <v>#REF!</v>
      </c>
      <c r="K90" s="52" t="e">
        <f t="shared" si="16"/>
        <v>#REF!</v>
      </c>
      <c r="L90" s="50" t="e">
        <f t="shared" si="17"/>
        <v>#REF!</v>
      </c>
      <c r="M90" s="50" t="e">
        <f t="shared" si="18"/>
        <v>#REF!</v>
      </c>
      <c r="N90" s="50" t="e">
        <f t="shared" si="19"/>
        <v>#REF!</v>
      </c>
      <c r="O90" s="50" t="e">
        <f t="shared" si="20"/>
        <v>#REF!</v>
      </c>
      <c r="P90" s="53" t="e">
        <f t="shared" si="21"/>
        <v>#REF!</v>
      </c>
      <c r="Q90" s="54" t="e">
        <f>'Product info'!#REF!</f>
        <v>#REF!</v>
      </c>
      <c r="R90" s="54" t="e">
        <f>'Product info'!#REF!</f>
        <v>#REF!</v>
      </c>
      <c r="S90" s="54" t="e">
        <f>'Product info'!#REF!</f>
        <v>#REF!</v>
      </c>
      <c r="T90" s="50" t="e">
        <f>'Product info'!#REF!</f>
        <v>#REF!</v>
      </c>
      <c r="U90" s="52" t="e">
        <f t="shared" si="22"/>
        <v>#REF!</v>
      </c>
      <c r="V90" s="50" t="e">
        <f t="shared" si="23"/>
        <v>#REF!</v>
      </c>
      <c r="W90" s="50" t="e">
        <f t="shared" si="24"/>
        <v>#REF!</v>
      </c>
      <c r="X90" s="50" t="e">
        <f t="shared" si="25"/>
        <v>#REF!</v>
      </c>
      <c r="Y90" s="50" t="e">
        <f t="shared" si="26"/>
        <v>#REF!</v>
      </c>
      <c r="Z90" t="e">
        <f t="shared" si="27"/>
        <v>#REF!</v>
      </c>
    </row>
    <row r="91" spans="1:26" x14ac:dyDescent="0.4">
      <c r="A91" t="e">
        <f>'Product info'!#REF!</f>
        <v>#REF!</v>
      </c>
      <c r="B91" t="e">
        <f>'Product info'!#REF!</f>
        <v>#REF!</v>
      </c>
      <c r="C91" t="e">
        <f>'Product info'!#REF!</f>
        <v>#REF!</v>
      </c>
      <c r="D91" s="6" t="e">
        <f>'Product info'!#REF!</f>
        <v>#REF!</v>
      </c>
      <c r="E91" t="e">
        <f t="shared" si="15"/>
        <v>#REF!</v>
      </c>
      <c r="F91" s="50" t="e">
        <f>'Product info'!#REF!</f>
        <v>#REF!</v>
      </c>
      <c r="G91" s="50" t="e">
        <f>'Product info'!#REF!</f>
        <v>#REF!</v>
      </c>
      <c r="H91" s="50" t="e">
        <f>'Product info'!#REF!</f>
        <v>#REF!</v>
      </c>
      <c r="I91" s="50" t="e">
        <f>'Product info'!#REF!</f>
        <v>#REF!</v>
      </c>
      <c r="J91" s="51" t="e">
        <f>'Product info'!#REF!</f>
        <v>#REF!</v>
      </c>
      <c r="K91" s="52" t="e">
        <f t="shared" si="16"/>
        <v>#REF!</v>
      </c>
      <c r="L91" s="50" t="e">
        <f t="shared" si="17"/>
        <v>#REF!</v>
      </c>
      <c r="M91" s="50" t="e">
        <f t="shared" si="18"/>
        <v>#REF!</v>
      </c>
      <c r="N91" s="50" t="e">
        <f t="shared" si="19"/>
        <v>#REF!</v>
      </c>
      <c r="O91" s="50" t="e">
        <f t="shared" si="20"/>
        <v>#REF!</v>
      </c>
      <c r="P91" s="53" t="e">
        <f t="shared" si="21"/>
        <v>#REF!</v>
      </c>
      <c r="Q91" s="54" t="e">
        <f>'Product info'!#REF!</f>
        <v>#REF!</v>
      </c>
      <c r="R91" s="54" t="e">
        <f>'Product info'!#REF!</f>
        <v>#REF!</v>
      </c>
      <c r="S91" s="54" t="e">
        <f>'Product info'!#REF!</f>
        <v>#REF!</v>
      </c>
      <c r="T91" s="50" t="e">
        <f>'Product info'!#REF!</f>
        <v>#REF!</v>
      </c>
      <c r="U91" s="52" t="e">
        <f t="shared" si="22"/>
        <v>#REF!</v>
      </c>
      <c r="V91" s="50" t="e">
        <f t="shared" si="23"/>
        <v>#REF!</v>
      </c>
      <c r="W91" s="50" t="e">
        <f t="shared" si="24"/>
        <v>#REF!</v>
      </c>
      <c r="X91" s="50" t="e">
        <f t="shared" si="25"/>
        <v>#REF!</v>
      </c>
      <c r="Y91" s="50" t="e">
        <f t="shared" si="26"/>
        <v>#REF!</v>
      </c>
      <c r="Z91" t="e">
        <f t="shared" si="27"/>
        <v>#REF!</v>
      </c>
    </row>
    <row r="92" spans="1:26" x14ac:dyDescent="0.4">
      <c r="A92" t="e">
        <f>'Product info'!#REF!</f>
        <v>#REF!</v>
      </c>
      <c r="B92" t="e">
        <f>'Product info'!#REF!</f>
        <v>#REF!</v>
      </c>
      <c r="C92" t="e">
        <f>'Product info'!#REF!</f>
        <v>#REF!</v>
      </c>
      <c r="D92" s="6" t="e">
        <f>'Product info'!#REF!</f>
        <v>#REF!</v>
      </c>
      <c r="E92" t="e">
        <f t="shared" si="15"/>
        <v>#REF!</v>
      </c>
      <c r="F92" s="50" t="e">
        <f>'Product info'!#REF!</f>
        <v>#REF!</v>
      </c>
      <c r="G92" s="50" t="e">
        <f>'Product info'!#REF!</f>
        <v>#REF!</v>
      </c>
      <c r="H92" s="50" t="e">
        <f>'Product info'!#REF!</f>
        <v>#REF!</v>
      </c>
      <c r="I92" s="50" t="e">
        <f>'Product info'!#REF!</f>
        <v>#REF!</v>
      </c>
      <c r="J92" s="51" t="e">
        <f>'Product info'!#REF!</f>
        <v>#REF!</v>
      </c>
      <c r="K92" s="52" t="e">
        <f t="shared" si="16"/>
        <v>#REF!</v>
      </c>
      <c r="L92" s="50" t="e">
        <f t="shared" si="17"/>
        <v>#REF!</v>
      </c>
      <c r="M92" s="50" t="e">
        <f t="shared" si="18"/>
        <v>#REF!</v>
      </c>
      <c r="N92" s="50" t="e">
        <f t="shared" si="19"/>
        <v>#REF!</v>
      </c>
      <c r="O92" s="50" t="e">
        <f t="shared" si="20"/>
        <v>#REF!</v>
      </c>
      <c r="P92" s="53" t="e">
        <f t="shared" si="21"/>
        <v>#REF!</v>
      </c>
      <c r="Q92" s="54" t="e">
        <f>'Product info'!#REF!</f>
        <v>#REF!</v>
      </c>
      <c r="R92" s="54" t="e">
        <f>'Product info'!#REF!</f>
        <v>#REF!</v>
      </c>
      <c r="S92" s="54" t="e">
        <f>'Product info'!#REF!</f>
        <v>#REF!</v>
      </c>
      <c r="T92" s="50" t="e">
        <f>'Product info'!#REF!</f>
        <v>#REF!</v>
      </c>
      <c r="U92" s="52" t="e">
        <f t="shared" si="22"/>
        <v>#REF!</v>
      </c>
      <c r="V92" s="50" t="e">
        <f t="shared" si="23"/>
        <v>#REF!</v>
      </c>
      <c r="W92" s="50" t="e">
        <f t="shared" si="24"/>
        <v>#REF!</v>
      </c>
      <c r="X92" s="50" t="e">
        <f t="shared" si="25"/>
        <v>#REF!</v>
      </c>
      <c r="Y92" s="50" t="e">
        <f t="shared" si="26"/>
        <v>#REF!</v>
      </c>
      <c r="Z92" t="e">
        <f t="shared" si="27"/>
        <v>#REF!</v>
      </c>
    </row>
    <row r="93" spans="1:26" x14ac:dyDescent="0.4">
      <c r="A93" t="e">
        <f>'Product info'!#REF!</f>
        <v>#REF!</v>
      </c>
      <c r="B93" t="e">
        <f>'Product info'!#REF!</f>
        <v>#REF!</v>
      </c>
      <c r="C93" t="e">
        <f>'Product info'!#REF!</f>
        <v>#REF!</v>
      </c>
      <c r="D93" s="6" t="e">
        <f>'Product info'!#REF!</f>
        <v>#REF!</v>
      </c>
      <c r="E93" t="e">
        <f t="shared" si="15"/>
        <v>#REF!</v>
      </c>
      <c r="F93" s="50" t="e">
        <f>'Product info'!#REF!</f>
        <v>#REF!</v>
      </c>
      <c r="G93" s="50" t="e">
        <f>'Product info'!#REF!</f>
        <v>#REF!</v>
      </c>
      <c r="H93" s="50" t="e">
        <f>'Product info'!#REF!</f>
        <v>#REF!</v>
      </c>
      <c r="I93" s="50" t="e">
        <f>'Product info'!#REF!</f>
        <v>#REF!</v>
      </c>
      <c r="J93" s="51" t="e">
        <f>'Product info'!#REF!</f>
        <v>#REF!</v>
      </c>
      <c r="K93" s="52" t="e">
        <f t="shared" si="16"/>
        <v>#REF!</v>
      </c>
      <c r="L93" s="50" t="e">
        <f t="shared" si="17"/>
        <v>#REF!</v>
      </c>
      <c r="M93" s="50" t="e">
        <f t="shared" si="18"/>
        <v>#REF!</v>
      </c>
      <c r="N93" s="50" t="e">
        <f t="shared" si="19"/>
        <v>#REF!</v>
      </c>
      <c r="O93" s="50" t="e">
        <f t="shared" si="20"/>
        <v>#REF!</v>
      </c>
      <c r="P93" s="53" t="e">
        <f t="shared" si="21"/>
        <v>#REF!</v>
      </c>
      <c r="Q93" s="54" t="e">
        <f>'Product info'!#REF!</f>
        <v>#REF!</v>
      </c>
      <c r="R93" s="54" t="e">
        <f>'Product info'!#REF!</f>
        <v>#REF!</v>
      </c>
      <c r="S93" s="54" t="e">
        <f>'Product info'!#REF!</f>
        <v>#REF!</v>
      </c>
      <c r="T93" s="50" t="e">
        <f>'Product info'!#REF!</f>
        <v>#REF!</v>
      </c>
      <c r="U93" s="52" t="e">
        <f t="shared" si="22"/>
        <v>#REF!</v>
      </c>
      <c r="V93" s="50" t="e">
        <f t="shared" si="23"/>
        <v>#REF!</v>
      </c>
      <c r="W93" s="50" t="e">
        <f t="shared" si="24"/>
        <v>#REF!</v>
      </c>
      <c r="X93" s="50" t="e">
        <f t="shared" si="25"/>
        <v>#REF!</v>
      </c>
      <c r="Y93" s="50" t="e">
        <f t="shared" si="26"/>
        <v>#REF!</v>
      </c>
      <c r="Z93" t="e">
        <f t="shared" si="27"/>
        <v>#REF!</v>
      </c>
    </row>
    <row r="94" spans="1:26" x14ac:dyDescent="0.4">
      <c r="A94" t="e">
        <f>'Product info'!#REF!</f>
        <v>#REF!</v>
      </c>
      <c r="B94" t="e">
        <f>'Product info'!#REF!</f>
        <v>#REF!</v>
      </c>
      <c r="C94" t="e">
        <f>'Product info'!#REF!</f>
        <v>#REF!</v>
      </c>
      <c r="D94" s="6" t="e">
        <f>'Product info'!#REF!</f>
        <v>#REF!</v>
      </c>
      <c r="E94" t="e">
        <f t="shared" si="15"/>
        <v>#REF!</v>
      </c>
      <c r="F94" s="50" t="e">
        <f>'Product info'!#REF!</f>
        <v>#REF!</v>
      </c>
      <c r="G94" s="50" t="e">
        <f>'Product info'!#REF!</f>
        <v>#REF!</v>
      </c>
      <c r="H94" s="50" t="e">
        <f>'Product info'!#REF!</f>
        <v>#REF!</v>
      </c>
      <c r="I94" s="50" t="e">
        <f>'Product info'!#REF!</f>
        <v>#REF!</v>
      </c>
      <c r="J94" s="51" t="e">
        <f>'Product info'!#REF!</f>
        <v>#REF!</v>
      </c>
      <c r="K94" s="52" t="e">
        <f t="shared" si="16"/>
        <v>#REF!</v>
      </c>
      <c r="L94" s="50" t="e">
        <f t="shared" si="17"/>
        <v>#REF!</v>
      </c>
      <c r="M94" s="50" t="e">
        <f t="shared" si="18"/>
        <v>#REF!</v>
      </c>
      <c r="N94" s="50" t="e">
        <f t="shared" si="19"/>
        <v>#REF!</v>
      </c>
      <c r="O94" s="50" t="e">
        <f t="shared" si="20"/>
        <v>#REF!</v>
      </c>
      <c r="P94" s="53" t="e">
        <f t="shared" si="21"/>
        <v>#REF!</v>
      </c>
      <c r="Q94" s="54" t="e">
        <f>'Product info'!#REF!</f>
        <v>#REF!</v>
      </c>
      <c r="R94" s="54" t="e">
        <f>'Product info'!#REF!</f>
        <v>#REF!</v>
      </c>
      <c r="S94" s="54" t="e">
        <f>'Product info'!#REF!</f>
        <v>#REF!</v>
      </c>
      <c r="T94" s="50" t="e">
        <f>'Product info'!#REF!</f>
        <v>#REF!</v>
      </c>
      <c r="U94" s="52" t="e">
        <f t="shared" si="22"/>
        <v>#REF!</v>
      </c>
      <c r="V94" s="50" t="e">
        <f t="shared" si="23"/>
        <v>#REF!</v>
      </c>
      <c r="W94" s="50" t="e">
        <f t="shared" si="24"/>
        <v>#REF!</v>
      </c>
      <c r="X94" s="50" t="e">
        <f t="shared" si="25"/>
        <v>#REF!</v>
      </c>
      <c r="Y94" s="50" t="e">
        <f t="shared" si="26"/>
        <v>#REF!</v>
      </c>
      <c r="Z94" t="e">
        <f t="shared" si="27"/>
        <v>#REF!</v>
      </c>
    </row>
    <row r="95" spans="1:26" x14ac:dyDescent="0.4">
      <c r="A95" t="e">
        <f>'Product info'!#REF!</f>
        <v>#REF!</v>
      </c>
      <c r="B95" t="e">
        <f>'Product info'!#REF!</f>
        <v>#REF!</v>
      </c>
      <c r="C95" t="e">
        <f>'Product info'!#REF!</f>
        <v>#REF!</v>
      </c>
      <c r="D95" s="6" t="e">
        <f>'Product info'!#REF!</f>
        <v>#REF!</v>
      </c>
      <c r="E95" t="e">
        <f t="shared" si="15"/>
        <v>#REF!</v>
      </c>
      <c r="F95" s="50" t="e">
        <f>'Product info'!#REF!</f>
        <v>#REF!</v>
      </c>
      <c r="G95" s="50" t="e">
        <f>'Product info'!#REF!</f>
        <v>#REF!</v>
      </c>
      <c r="H95" s="50" t="e">
        <f>'Product info'!#REF!</f>
        <v>#REF!</v>
      </c>
      <c r="I95" s="50" t="e">
        <f>'Product info'!#REF!</f>
        <v>#REF!</v>
      </c>
      <c r="J95" s="51" t="e">
        <f>'Product info'!#REF!</f>
        <v>#REF!</v>
      </c>
      <c r="K95" s="52" t="e">
        <f t="shared" si="16"/>
        <v>#REF!</v>
      </c>
      <c r="L95" s="50" t="e">
        <f t="shared" si="17"/>
        <v>#REF!</v>
      </c>
      <c r="M95" s="50" t="e">
        <f t="shared" si="18"/>
        <v>#REF!</v>
      </c>
      <c r="N95" s="50" t="e">
        <f t="shared" si="19"/>
        <v>#REF!</v>
      </c>
      <c r="O95" s="50" t="e">
        <f t="shared" si="20"/>
        <v>#REF!</v>
      </c>
      <c r="P95" s="53" t="e">
        <f t="shared" si="21"/>
        <v>#REF!</v>
      </c>
      <c r="Q95" s="54" t="e">
        <f>'Product info'!#REF!</f>
        <v>#REF!</v>
      </c>
      <c r="R95" s="54" t="e">
        <f>'Product info'!#REF!</f>
        <v>#REF!</v>
      </c>
      <c r="S95" s="54" t="e">
        <f>'Product info'!#REF!</f>
        <v>#REF!</v>
      </c>
      <c r="T95" s="50" t="e">
        <f>'Product info'!#REF!</f>
        <v>#REF!</v>
      </c>
      <c r="U95" s="52" t="e">
        <f t="shared" si="22"/>
        <v>#REF!</v>
      </c>
      <c r="V95" s="50" t="e">
        <f t="shared" si="23"/>
        <v>#REF!</v>
      </c>
      <c r="W95" s="50" t="e">
        <f t="shared" si="24"/>
        <v>#REF!</v>
      </c>
      <c r="X95" s="50" t="e">
        <f t="shared" si="25"/>
        <v>#REF!</v>
      </c>
      <c r="Y95" s="50" t="e">
        <f t="shared" si="26"/>
        <v>#REF!</v>
      </c>
      <c r="Z95" t="e">
        <f t="shared" si="27"/>
        <v>#REF!</v>
      </c>
    </row>
    <row r="96" spans="1:26" x14ac:dyDescent="0.4">
      <c r="A96" t="e">
        <f>'Product info'!#REF!</f>
        <v>#REF!</v>
      </c>
      <c r="B96" t="e">
        <f>'Product info'!#REF!</f>
        <v>#REF!</v>
      </c>
      <c r="C96" t="e">
        <f>'Product info'!#REF!</f>
        <v>#REF!</v>
      </c>
      <c r="D96" s="6" t="e">
        <f>'Product info'!#REF!</f>
        <v>#REF!</v>
      </c>
      <c r="E96" t="e">
        <f t="shared" si="15"/>
        <v>#REF!</v>
      </c>
      <c r="F96" s="50" t="e">
        <f>'Product info'!#REF!</f>
        <v>#REF!</v>
      </c>
      <c r="G96" s="50" t="e">
        <f>'Product info'!#REF!</f>
        <v>#REF!</v>
      </c>
      <c r="H96" s="50" t="e">
        <f>'Product info'!#REF!</f>
        <v>#REF!</v>
      </c>
      <c r="I96" s="50" t="e">
        <f>'Product info'!#REF!</f>
        <v>#REF!</v>
      </c>
      <c r="J96" s="51" t="e">
        <f>'Product info'!#REF!</f>
        <v>#REF!</v>
      </c>
      <c r="K96" s="52" t="e">
        <f t="shared" si="16"/>
        <v>#REF!</v>
      </c>
      <c r="L96" s="50" t="e">
        <f t="shared" si="17"/>
        <v>#REF!</v>
      </c>
      <c r="M96" s="50" t="e">
        <f t="shared" si="18"/>
        <v>#REF!</v>
      </c>
      <c r="N96" s="50" t="e">
        <f t="shared" si="19"/>
        <v>#REF!</v>
      </c>
      <c r="O96" s="50" t="e">
        <f t="shared" si="20"/>
        <v>#REF!</v>
      </c>
      <c r="P96" s="53" t="e">
        <f t="shared" si="21"/>
        <v>#REF!</v>
      </c>
      <c r="Q96" s="54" t="e">
        <f>'Product info'!#REF!</f>
        <v>#REF!</v>
      </c>
      <c r="R96" s="54" t="e">
        <f>'Product info'!#REF!</f>
        <v>#REF!</v>
      </c>
      <c r="S96" s="54" t="e">
        <f>'Product info'!#REF!</f>
        <v>#REF!</v>
      </c>
      <c r="T96" s="50" t="e">
        <f>'Product info'!#REF!</f>
        <v>#REF!</v>
      </c>
      <c r="U96" s="52" t="e">
        <f t="shared" si="22"/>
        <v>#REF!</v>
      </c>
      <c r="V96" s="50" t="e">
        <f t="shared" si="23"/>
        <v>#REF!</v>
      </c>
      <c r="W96" s="50" t="e">
        <f t="shared" si="24"/>
        <v>#REF!</v>
      </c>
      <c r="X96" s="50" t="e">
        <f t="shared" si="25"/>
        <v>#REF!</v>
      </c>
      <c r="Y96" s="50" t="e">
        <f t="shared" si="26"/>
        <v>#REF!</v>
      </c>
      <c r="Z96" t="e">
        <f t="shared" si="27"/>
        <v>#REF!</v>
      </c>
    </row>
    <row r="97" spans="1:26" x14ac:dyDescent="0.4">
      <c r="A97" t="e">
        <f>'Product info'!#REF!</f>
        <v>#REF!</v>
      </c>
      <c r="B97" t="e">
        <f>'Product info'!#REF!</f>
        <v>#REF!</v>
      </c>
      <c r="C97" t="e">
        <f>'Product info'!#REF!</f>
        <v>#REF!</v>
      </c>
      <c r="D97" s="6" t="e">
        <f>'Product info'!#REF!</f>
        <v>#REF!</v>
      </c>
      <c r="E97" t="e">
        <f t="shared" si="15"/>
        <v>#REF!</v>
      </c>
      <c r="F97" s="50" t="e">
        <f>'Product info'!#REF!</f>
        <v>#REF!</v>
      </c>
      <c r="G97" s="50" t="e">
        <f>'Product info'!#REF!</f>
        <v>#REF!</v>
      </c>
      <c r="H97" s="50" t="e">
        <f>'Product info'!#REF!</f>
        <v>#REF!</v>
      </c>
      <c r="I97" s="50" t="e">
        <f>'Product info'!#REF!</f>
        <v>#REF!</v>
      </c>
      <c r="J97" s="51" t="e">
        <f>'Product info'!#REF!</f>
        <v>#REF!</v>
      </c>
      <c r="K97" s="52" t="e">
        <f t="shared" si="16"/>
        <v>#REF!</v>
      </c>
      <c r="L97" s="50" t="e">
        <f t="shared" si="17"/>
        <v>#REF!</v>
      </c>
      <c r="M97" s="50" t="e">
        <f t="shared" si="18"/>
        <v>#REF!</v>
      </c>
      <c r="N97" s="50" t="e">
        <f t="shared" si="19"/>
        <v>#REF!</v>
      </c>
      <c r="O97" s="50" t="e">
        <f t="shared" si="20"/>
        <v>#REF!</v>
      </c>
      <c r="P97" s="53" t="e">
        <f t="shared" si="21"/>
        <v>#REF!</v>
      </c>
      <c r="Q97" s="54" t="e">
        <f>'Product info'!#REF!</f>
        <v>#REF!</v>
      </c>
      <c r="R97" s="54" t="e">
        <f>'Product info'!#REF!</f>
        <v>#REF!</v>
      </c>
      <c r="S97" s="54" t="e">
        <f>'Product info'!#REF!</f>
        <v>#REF!</v>
      </c>
      <c r="T97" s="50" t="e">
        <f>'Product info'!#REF!</f>
        <v>#REF!</v>
      </c>
      <c r="U97" s="52" t="e">
        <f t="shared" si="22"/>
        <v>#REF!</v>
      </c>
      <c r="V97" s="50" t="e">
        <f t="shared" si="23"/>
        <v>#REF!</v>
      </c>
      <c r="W97" s="50" t="e">
        <f t="shared" si="24"/>
        <v>#REF!</v>
      </c>
      <c r="X97" s="50" t="e">
        <f t="shared" si="25"/>
        <v>#REF!</v>
      </c>
      <c r="Y97" s="50" t="e">
        <f t="shared" si="26"/>
        <v>#REF!</v>
      </c>
      <c r="Z97" t="e">
        <f t="shared" si="27"/>
        <v>#REF!</v>
      </c>
    </row>
    <row r="98" spans="1:26" x14ac:dyDescent="0.4">
      <c r="A98" t="e">
        <f>'Product info'!#REF!</f>
        <v>#REF!</v>
      </c>
      <c r="B98" t="e">
        <f>'Product info'!#REF!</f>
        <v>#REF!</v>
      </c>
      <c r="C98" t="e">
        <f>'Product info'!#REF!</f>
        <v>#REF!</v>
      </c>
      <c r="D98" s="6" t="e">
        <f>'Product info'!#REF!</f>
        <v>#REF!</v>
      </c>
      <c r="E98" t="e">
        <f t="shared" si="15"/>
        <v>#REF!</v>
      </c>
      <c r="F98" s="50" t="e">
        <f>'Product info'!#REF!</f>
        <v>#REF!</v>
      </c>
      <c r="G98" s="50" t="e">
        <f>'Product info'!#REF!</f>
        <v>#REF!</v>
      </c>
      <c r="H98" s="50" t="e">
        <f>'Product info'!#REF!</f>
        <v>#REF!</v>
      </c>
      <c r="I98" s="50" t="e">
        <f>'Product info'!#REF!</f>
        <v>#REF!</v>
      </c>
      <c r="J98" s="51" t="e">
        <f>'Product info'!#REF!</f>
        <v>#REF!</v>
      </c>
      <c r="K98" s="52" t="e">
        <f t="shared" si="16"/>
        <v>#REF!</v>
      </c>
      <c r="L98" s="50" t="e">
        <f t="shared" si="17"/>
        <v>#REF!</v>
      </c>
      <c r="M98" s="50" t="e">
        <f t="shared" si="18"/>
        <v>#REF!</v>
      </c>
      <c r="N98" s="50" t="e">
        <f t="shared" si="19"/>
        <v>#REF!</v>
      </c>
      <c r="O98" s="50" t="e">
        <f t="shared" si="20"/>
        <v>#REF!</v>
      </c>
      <c r="P98" s="53" t="e">
        <f t="shared" si="21"/>
        <v>#REF!</v>
      </c>
      <c r="Q98" s="54" t="e">
        <f>'Product info'!#REF!</f>
        <v>#REF!</v>
      </c>
      <c r="R98" s="54" t="e">
        <f>'Product info'!#REF!</f>
        <v>#REF!</v>
      </c>
      <c r="S98" s="54" t="e">
        <f>'Product info'!#REF!</f>
        <v>#REF!</v>
      </c>
      <c r="T98" s="50" t="e">
        <f>'Product info'!#REF!</f>
        <v>#REF!</v>
      </c>
      <c r="U98" s="52" t="e">
        <f t="shared" si="22"/>
        <v>#REF!</v>
      </c>
      <c r="V98" s="50" t="e">
        <f t="shared" si="23"/>
        <v>#REF!</v>
      </c>
      <c r="W98" s="50" t="e">
        <f t="shared" si="24"/>
        <v>#REF!</v>
      </c>
      <c r="X98" s="50" t="e">
        <f t="shared" si="25"/>
        <v>#REF!</v>
      </c>
      <c r="Y98" s="50" t="e">
        <f t="shared" si="26"/>
        <v>#REF!</v>
      </c>
      <c r="Z98" t="e">
        <f t="shared" si="27"/>
        <v>#REF!</v>
      </c>
    </row>
    <row r="99" spans="1:26" x14ac:dyDescent="0.4">
      <c r="A99" t="e">
        <f>'Product info'!#REF!</f>
        <v>#REF!</v>
      </c>
      <c r="B99" t="e">
        <f>'Product info'!#REF!</f>
        <v>#REF!</v>
      </c>
      <c r="C99" t="e">
        <f>'Product info'!#REF!</f>
        <v>#REF!</v>
      </c>
      <c r="D99" s="6" t="e">
        <f>'Product info'!#REF!</f>
        <v>#REF!</v>
      </c>
      <c r="E99" t="e">
        <f t="shared" si="15"/>
        <v>#REF!</v>
      </c>
      <c r="F99" s="50" t="e">
        <f>'Product info'!#REF!</f>
        <v>#REF!</v>
      </c>
      <c r="G99" s="50" t="e">
        <f>'Product info'!#REF!</f>
        <v>#REF!</v>
      </c>
      <c r="H99" s="50" t="e">
        <f>'Product info'!#REF!</f>
        <v>#REF!</v>
      </c>
      <c r="I99" s="50" t="e">
        <f>'Product info'!#REF!</f>
        <v>#REF!</v>
      </c>
      <c r="J99" s="51" t="e">
        <f>'Product info'!#REF!</f>
        <v>#REF!</v>
      </c>
      <c r="K99" s="52" t="e">
        <f t="shared" si="16"/>
        <v>#REF!</v>
      </c>
      <c r="L99" s="50" t="e">
        <f t="shared" si="17"/>
        <v>#REF!</v>
      </c>
      <c r="M99" s="50" t="e">
        <f t="shared" si="18"/>
        <v>#REF!</v>
      </c>
      <c r="N99" s="50" t="e">
        <f t="shared" si="19"/>
        <v>#REF!</v>
      </c>
      <c r="O99" s="50" t="e">
        <f t="shared" si="20"/>
        <v>#REF!</v>
      </c>
      <c r="P99" s="53" t="e">
        <f t="shared" si="21"/>
        <v>#REF!</v>
      </c>
      <c r="Q99" s="54" t="e">
        <f>'Product info'!#REF!</f>
        <v>#REF!</v>
      </c>
      <c r="R99" s="54" t="e">
        <f>'Product info'!#REF!</f>
        <v>#REF!</v>
      </c>
      <c r="S99" s="54" t="e">
        <f>'Product info'!#REF!</f>
        <v>#REF!</v>
      </c>
      <c r="T99" s="50" t="e">
        <f>'Product info'!#REF!</f>
        <v>#REF!</v>
      </c>
      <c r="U99" s="52" t="e">
        <f t="shared" si="22"/>
        <v>#REF!</v>
      </c>
      <c r="V99" s="50" t="e">
        <f t="shared" si="23"/>
        <v>#REF!</v>
      </c>
      <c r="W99" s="50" t="e">
        <f t="shared" si="24"/>
        <v>#REF!</v>
      </c>
      <c r="X99" s="50" t="e">
        <f t="shared" si="25"/>
        <v>#REF!</v>
      </c>
      <c r="Y99" s="50" t="e">
        <f t="shared" si="26"/>
        <v>#REF!</v>
      </c>
      <c r="Z99" t="e">
        <f t="shared" si="27"/>
        <v>#REF!</v>
      </c>
    </row>
    <row r="100" spans="1:26" x14ac:dyDescent="0.4">
      <c r="A100" t="e">
        <f>'Product info'!#REF!</f>
        <v>#REF!</v>
      </c>
      <c r="B100" t="e">
        <f>'Product info'!#REF!</f>
        <v>#REF!</v>
      </c>
      <c r="C100" t="e">
        <f>'Product info'!#REF!</f>
        <v>#REF!</v>
      </c>
      <c r="D100" s="6" t="e">
        <f>'Product info'!#REF!</f>
        <v>#REF!</v>
      </c>
      <c r="E100" t="e">
        <f t="shared" si="15"/>
        <v>#REF!</v>
      </c>
      <c r="F100" s="50" t="e">
        <f>'Product info'!#REF!</f>
        <v>#REF!</v>
      </c>
      <c r="G100" s="50" t="e">
        <f>'Product info'!#REF!</f>
        <v>#REF!</v>
      </c>
      <c r="H100" s="50" t="e">
        <f>'Product info'!#REF!</f>
        <v>#REF!</v>
      </c>
      <c r="I100" s="50" t="e">
        <f>'Product info'!#REF!</f>
        <v>#REF!</v>
      </c>
      <c r="J100" s="51" t="e">
        <f>'Product info'!#REF!</f>
        <v>#REF!</v>
      </c>
      <c r="K100" s="52" t="e">
        <f t="shared" si="16"/>
        <v>#REF!</v>
      </c>
      <c r="L100" s="50" t="e">
        <f t="shared" si="17"/>
        <v>#REF!</v>
      </c>
      <c r="M100" s="50" t="e">
        <f t="shared" si="18"/>
        <v>#REF!</v>
      </c>
      <c r="N100" s="50" t="e">
        <f t="shared" si="19"/>
        <v>#REF!</v>
      </c>
      <c r="O100" s="50" t="e">
        <f t="shared" si="20"/>
        <v>#REF!</v>
      </c>
      <c r="P100" s="53" t="e">
        <f t="shared" si="21"/>
        <v>#REF!</v>
      </c>
      <c r="Q100" s="54" t="e">
        <f>'Product info'!#REF!</f>
        <v>#REF!</v>
      </c>
      <c r="R100" s="54" t="e">
        <f>'Product info'!#REF!</f>
        <v>#REF!</v>
      </c>
      <c r="S100" s="54" t="e">
        <f>'Product info'!#REF!</f>
        <v>#REF!</v>
      </c>
      <c r="T100" s="50" t="e">
        <f>'Product info'!#REF!</f>
        <v>#REF!</v>
      </c>
      <c r="U100" s="52" t="e">
        <f t="shared" si="22"/>
        <v>#REF!</v>
      </c>
      <c r="V100" s="50" t="e">
        <f t="shared" si="23"/>
        <v>#REF!</v>
      </c>
      <c r="W100" s="50" t="e">
        <f t="shared" si="24"/>
        <v>#REF!</v>
      </c>
      <c r="X100" s="50" t="e">
        <f t="shared" si="25"/>
        <v>#REF!</v>
      </c>
      <c r="Y100" s="50" t="e">
        <f t="shared" si="26"/>
        <v>#REF!</v>
      </c>
      <c r="Z100" t="e">
        <f t="shared" si="27"/>
        <v>#REF!</v>
      </c>
    </row>
    <row r="101" spans="1:26" x14ac:dyDescent="0.4">
      <c r="A101" t="e">
        <f>'Product info'!#REF!</f>
        <v>#REF!</v>
      </c>
      <c r="B101" t="e">
        <f>'Product info'!#REF!</f>
        <v>#REF!</v>
      </c>
      <c r="C101" t="e">
        <f>'Product info'!#REF!</f>
        <v>#REF!</v>
      </c>
      <c r="D101" s="6" t="e">
        <f>'Product info'!#REF!</f>
        <v>#REF!</v>
      </c>
      <c r="E101" t="e">
        <f t="shared" si="15"/>
        <v>#REF!</v>
      </c>
      <c r="F101" s="50" t="e">
        <f>'Product info'!#REF!</f>
        <v>#REF!</v>
      </c>
      <c r="G101" s="50" t="e">
        <f>'Product info'!#REF!</f>
        <v>#REF!</v>
      </c>
      <c r="H101" s="50" t="e">
        <f>'Product info'!#REF!</f>
        <v>#REF!</v>
      </c>
      <c r="I101" s="50" t="e">
        <f>'Product info'!#REF!</f>
        <v>#REF!</v>
      </c>
      <c r="J101" s="51" t="e">
        <f>'Product info'!#REF!</f>
        <v>#REF!</v>
      </c>
      <c r="K101" s="52" t="e">
        <f t="shared" si="16"/>
        <v>#REF!</v>
      </c>
      <c r="L101" s="50" t="e">
        <f t="shared" si="17"/>
        <v>#REF!</v>
      </c>
      <c r="M101" s="50" t="e">
        <f t="shared" si="18"/>
        <v>#REF!</v>
      </c>
      <c r="N101" s="50" t="e">
        <f t="shared" si="19"/>
        <v>#REF!</v>
      </c>
      <c r="O101" s="50" t="e">
        <f t="shared" si="20"/>
        <v>#REF!</v>
      </c>
      <c r="P101" s="53" t="e">
        <f t="shared" si="21"/>
        <v>#REF!</v>
      </c>
      <c r="Q101" s="54" t="e">
        <f>'Product info'!#REF!</f>
        <v>#REF!</v>
      </c>
      <c r="R101" s="54" t="e">
        <f>'Product info'!#REF!</f>
        <v>#REF!</v>
      </c>
      <c r="S101" s="54" t="e">
        <f>'Product info'!#REF!</f>
        <v>#REF!</v>
      </c>
      <c r="T101" s="50" t="e">
        <f>'Product info'!#REF!</f>
        <v>#REF!</v>
      </c>
      <c r="U101" s="52" t="e">
        <f t="shared" si="22"/>
        <v>#REF!</v>
      </c>
      <c r="V101" s="50" t="e">
        <f t="shared" si="23"/>
        <v>#REF!</v>
      </c>
      <c r="W101" s="50" t="e">
        <f t="shared" si="24"/>
        <v>#REF!</v>
      </c>
      <c r="X101" s="50" t="e">
        <f t="shared" si="25"/>
        <v>#REF!</v>
      </c>
      <c r="Y101" s="50" t="e">
        <f t="shared" si="26"/>
        <v>#REF!</v>
      </c>
      <c r="Z101" t="e">
        <f t="shared" si="27"/>
        <v>#REF!</v>
      </c>
    </row>
    <row r="102" spans="1:26" x14ac:dyDescent="0.4">
      <c r="A102" t="e">
        <f>'Product info'!#REF!</f>
        <v>#REF!</v>
      </c>
      <c r="B102" t="e">
        <f>'Product info'!#REF!</f>
        <v>#REF!</v>
      </c>
      <c r="C102" t="e">
        <f>'Product info'!#REF!</f>
        <v>#REF!</v>
      </c>
      <c r="D102" s="6" t="e">
        <f>'Product info'!#REF!</f>
        <v>#REF!</v>
      </c>
      <c r="E102" t="e">
        <f t="shared" si="15"/>
        <v>#REF!</v>
      </c>
      <c r="F102" s="50" t="e">
        <f>'Product info'!#REF!</f>
        <v>#REF!</v>
      </c>
      <c r="G102" s="50" t="e">
        <f>'Product info'!#REF!</f>
        <v>#REF!</v>
      </c>
      <c r="H102" s="50" t="e">
        <f>'Product info'!#REF!</f>
        <v>#REF!</v>
      </c>
      <c r="I102" s="50" t="e">
        <f>'Product info'!#REF!</f>
        <v>#REF!</v>
      </c>
      <c r="J102" s="51" t="e">
        <f>'Product info'!#REF!</f>
        <v>#REF!</v>
      </c>
      <c r="K102" s="52" t="e">
        <f t="shared" si="16"/>
        <v>#REF!</v>
      </c>
      <c r="L102" s="50" t="e">
        <f t="shared" si="17"/>
        <v>#REF!</v>
      </c>
      <c r="M102" s="50" t="e">
        <f t="shared" si="18"/>
        <v>#REF!</v>
      </c>
      <c r="N102" s="50" t="e">
        <f t="shared" si="19"/>
        <v>#REF!</v>
      </c>
      <c r="O102" s="50" t="e">
        <f t="shared" si="20"/>
        <v>#REF!</v>
      </c>
      <c r="P102" s="53" t="e">
        <f t="shared" si="21"/>
        <v>#REF!</v>
      </c>
      <c r="Q102" s="54" t="e">
        <f>'Product info'!#REF!</f>
        <v>#REF!</v>
      </c>
      <c r="R102" s="54" t="e">
        <f>'Product info'!#REF!</f>
        <v>#REF!</v>
      </c>
      <c r="S102" s="54" t="e">
        <f>'Product info'!#REF!</f>
        <v>#REF!</v>
      </c>
      <c r="T102" s="50" t="e">
        <f>'Product info'!#REF!</f>
        <v>#REF!</v>
      </c>
      <c r="U102" s="52" t="e">
        <f t="shared" si="22"/>
        <v>#REF!</v>
      </c>
      <c r="V102" s="50" t="e">
        <f t="shared" si="23"/>
        <v>#REF!</v>
      </c>
      <c r="W102" s="50" t="e">
        <f t="shared" si="24"/>
        <v>#REF!</v>
      </c>
      <c r="X102" s="50" t="e">
        <f t="shared" si="25"/>
        <v>#REF!</v>
      </c>
      <c r="Y102" s="50" t="e">
        <f t="shared" si="26"/>
        <v>#REF!</v>
      </c>
      <c r="Z102" t="e">
        <f t="shared" si="27"/>
        <v>#REF!</v>
      </c>
    </row>
    <row r="103" spans="1:26" x14ac:dyDescent="0.4">
      <c r="A103" t="e">
        <f>'Product info'!#REF!</f>
        <v>#REF!</v>
      </c>
      <c r="B103" t="e">
        <f>'Product info'!#REF!</f>
        <v>#REF!</v>
      </c>
      <c r="C103" t="e">
        <f>'Product info'!#REF!</f>
        <v>#REF!</v>
      </c>
      <c r="D103" s="6" t="e">
        <f>'Product info'!#REF!</f>
        <v>#REF!</v>
      </c>
      <c r="E103" t="e">
        <f t="shared" si="15"/>
        <v>#REF!</v>
      </c>
      <c r="F103" s="50" t="e">
        <f>'Product info'!#REF!</f>
        <v>#REF!</v>
      </c>
      <c r="G103" s="50" t="e">
        <f>'Product info'!#REF!</f>
        <v>#REF!</v>
      </c>
      <c r="H103" s="50" t="e">
        <f>'Product info'!#REF!</f>
        <v>#REF!</v>
      </c>
      <c r="I103" s="50" t="e">
        <f>'Product info'!#REF!</f>
        <v>#REF!</v>
      </c>
      <c r="J103" s="51" t="e">
        <f>'Product info'!#REF!</f>
        <v>#REF!</v>
      </c>
      <c r="K103" s="52" t="e">
        <f t="shared" si="16"/>
        <v>#REF!</v>
      </c>
      <c r="L103" s="50" t="e">
        <f t="shared" si="17"/>
        <v>#REF!</v>
      </c>
      <c r="M103" s="50" t="e">
        <f t="shared" si="18"/>
        <v>#REF!</v>
      </c>
      <c r="N103" s="50" t="e">
        <f t="shared" si="19"/>
        <v>#REF!</v>
      </c>
      <c r="O103" s="50" t="e">
        <f t="shared" si="20"/>
        <v>#REF!</v>
      </c>
      <c r="P103" s="53" t="e">
        <f t="shared" si="21"/>
        <v>#REF!</v>
      </c>
      <c r="Q103" s="54" t="e">
        <f>'Product info'!#REF!</f>
        <v>#REF!</v>
      </c>
      <c r="R103" s="54" t="e">
        <f>'Product info'!#REF!</f>
        <v>#REF!</v>
      </c>
      <c r="S103" s="54" t="e">
        <f>'Product info'!#REF!</f>
        <v>#REF!</v>
      </c>
      <c r="T103" s="50" t="e">
        <f>'Product info'!#REF!</f>
        <v>#REF!</v>
      </c>
      <c r="U103" s="52" t="e">
        <f t="shared" si="22"/>
        <v>#REF!</v>
      </c>
      <c r="V103" s="50" t="e">
        <f t="shared" si="23"/>
        <v>#REF!</v>
      </c>
      <c r="W103" s="50" t="e">
        <f t="shared" si="24"/>
        <v>#REF!</v>
      </c>
      <c r="X103" s="50" t="e">
        <f t="shared" si="25"/>
        <v>#REF!</v>
      </c>
      <c r="Y103" s="50" t="e">
        <f t="shared" si="26"/>
        <v>#REF!</v>
      </c>
      <c r="Z103" t="e">
        <f t="shared" si="27"/>
        <v>#REF!</v>
      </c>
    </row>
    <row r="104" spans="1:26" x14ac:dyDescent="0.4">
      <c r="A104" t="e">
        <f>'Product info'!#REF!</f>
        <v>#REF!</v>
      </c>
      <c r="B104" t="e">
        <f>'Product info'!#REF!</f>
        <v>#REF!</v>
      </c>
      <c r="C104" t="e">
        <f>'Product info'!#REF!</f>
        <v>#REF!</v>
      </c>
      <c r="D104" s="6" t="e">
        <f>'Product info'!#REF!</f>
        <v>#REF!</v>
      </c>
      <c r="E104" t="e">
        <f t="shared" si="15"/>
        <v>#REF!</v>
      </c>
      <c r="F104" s="50" t="e">
        <f>'Product info'!#REF!</f>
        <v>#REF!</v>
      </c>
      <c r="G104" s="50" t="e">
        <f>'Product info'!#REF!</f>
        <v>#REF!</v>
      </c>
      <c r="H104" s="50" t="e">
        <f>'Product info'!#REF!</f>
        <v>#REF!</v>
      </c>
      <c r="I104" s="50" t="e">
        <f>'Product info'!#REF!</f>
        <v>#REF!</v>
      </c>
      <c r="J104" s="51" t="e">
        <f>'Product info'!#REF!</f>
        <v>#REF!</v>
      </c>
      <c r="K104" s="52" t="e">
        <f t="shared" si="16"/>
        <v>#REF!</v>
      </c>
      <c r="L104" s="50" t="e">
        <f t="shared" si="17"/>
        <v>#REF!</v>
      </c>
      <c r="M104" s="50" t="e">
        <f t="shared" si="18"/>
        <v>#REF!</v>
      </c>
      <c r="N104" s="50" t="e">
        <f t="shared" si="19"/>
        <v>#REF!</v>
      </c>
      <c r="O104" s="50" t="e">
        <f t="shared" si="20"/>
        <v>#REF!</v>
      </c>
      <c r="P104" s="53" t="e">
        <f t="shared" si="21"/>
        <v>#REF!</v>
      </c>
      <c r="Q104" s="54" t="e">
        <f>'Product info'!#REF!</f>
        <v>#REF!</v>
      </c>
      <c r="R104" s="54" t="e">
        <f>'Product info'!#REF!</f>
        <v>#REF!</v>
      </c>
      <c r="S104" s="54" t="e">
        <f>'Product info'!#REF!</f>
        <v>#REF!</v>
      </c>
      <c r="T104" s="50" t="e">
        <f>'Product info'!#REF!</f>
        <v>#REF!</v>
      </c>
      <c r="U104" s="52" t="e">
        <f t="shared" si="22"/>
        <v>#REF!</v>
      </c>
      <c r="V104" s="50" t="e">
        <f t="shared" si="23"/>
        <v>#REF!</v>
      </c>
      <c r="W104" s="50" t="e">
        <f t="shared" si="24"/>
        <v>#REF!</v>
      </c>
      <c r="X104" s="50" t="e">
        <f t="shared" si="25"/>
        <v>#REF!</v>
      </c>
      <c r="Y104" s="50" t="e">
        <f t="shared" si="26"/>
        <v>#REF!</v>
      </c>
      <c r="Z104" t="e">
        <f t="shared" si="27"/>
        <v>#REF!</v>
      </c>
    </row>
    <row r="105" spans="1:26" x14ac:dyDescent="0.4">
      <c r="A105" t="e">
        <f>'Product info'!#REF!</f>
        <v>#REF!</v>
      </c>
      <c r="B105" t="e">
        <f>'Product info'!#REF!</f>
        <v>#REF!</v>
      </c>
      <c r="C105" t="e">
        <f>'Product info'!#REF!</f>
        <v>#REF!</v>
      </c>
      <c r="D105" s="6" t="e">
        <f>'Product info'!#REF!</f>
        <v>#REF!</v>
      </c>
      <c r="E105" t="e">
        <f t="shared" si="15"/>
        <v>#REF!</v>
      </c>
      <c r="F105" s="50" t="e">
        <f>'Product info'!#REF!</f>
        <v>#REF!</v>
      </c>
      <c r="G105" s="50" t="e">
        <f>'Product info'!#REF!</f>
        <v>#REF!</v>
      </c>
      <c r="H105" s="50" t="e">
        <f>'Product info'!#REF!</f>
        <v>#REF!</v>
      </c>
      <c r="I105" s="50" t="e">
        <f>'Product info'!#REF!</f>
        <v>#REF!</v>
      </c>
      <c r="J105" s="51" t="e">
        <f>'Product info'!#REF!</f>
        <v>#REF!</v>
      </c>
      <c r="K105" s="52" t="e">
        <f t="shared" si="16"/>
        <v>#REF!</v>
      </c>
      <c r="L105" s="50" t="e">
        <f t="shared" si="17"/>
        <v>#REF!</v>
      </c>
      <c r="M105" s="50" t="e">
        <f t="shared" si="18"/>
        <v>#REF!</v>
      </c>
      <c r="N105" s="50" t="e">
        <f t="shared" si="19"/>
        <v>#REF!</v>
      </c>
      <c r="O105" s="50" t="e">
        <f t="shared" si="20"/>
        <v>#REF!</v>
      </c>
      <c r="P105" s="53" t="e">
        <f t="shared" si="21"/>
        <v>#REF!</v>
      </c>
      <c r="Q105" s="54" t="e">
        <f>'Product info'!#REF!</f>
        <v>#REF!</v>
      </c>
      <c r="R105" s="54" t="e">
        <f>'Product info'!#REF!</f>
        <v>#REF!</v>
      </c>
      <c r="S105" s="54" t="e">
        <f>'Product info'!#REF!</f>
        <v>#REF!</v>
      </c>
      <c r="T105" s="50" t="e">
        <f>'Product info'!#REF!</f>
        <v>#REF!</v>
      </c>
      <c r="U105" s="52" t="e">
        <f t="shared" si="22"/>
        <v>#REF!</v>
      </c>
      <c r="V105" s="50" t="e">
        <f t="shared" si="23"/>
        <v>#REF!</v>
      </c>
      <c r="W105" s="50" t="e">
        <f t="shared" si="24"/>
        <v>#REF!</v>
      </c>
      <c r="X105" s="50" t="e">
        <f t="shared" si="25"/>
        <v>#REF!</v>
      </c>
      <c r="Y105" s="50" t="e">
        <f t="shared" si="26"/>
        <v>#REF!</v>
      </c>
      <c r="Z105" t="e">
        <f t="shared" si="27"/>
        <v>#REF!</v>
      </c>
    </row>
    <row r="106" spans="1:26" x14ac:dyDescent="0.4">
      <c r="A106" t="e">
        <f>'Product info'!#REF!</f>
        <v>#REF!</v>
      </c>
      <c r="B106" t="e">
        <f>'Product info'!#REF!</f>
        <v>#REF!</v>
      </c>
      <c r="C106" t="e">
        <f>'Product info'!#REF!</f>
        <v>#REF!</v>
      </c>
      <c r="D106" s="6" t="e">
        <f>'Product info'!#REF!</f>
        <v>#REF!</v>
      </c>
      <c r="E106" t="e">
        <f t="shared" si="15"/>
        <v>#REF!</v>
      </c>
      <c r="F106" s="50" t="e">
        <f>'Product info'!#REF!</f>
        <v>#REF!</v>
      </c>
      <c r="G106" s="50" t="e">
        <f>'Product info'!#REF!</f>
        <v>#REF!</v>
      </c>
      <c r="H106" s="50" t="e">
        <f>'Product info'!#REF!</f>
        <v>#REF!</v>
      </c>
      <c r="I106" s="50" t="e">
        <f>'Product info'!#REF!</f>
        <v>#REF!</v>
      </c>
      <c r="J106" s="51" t="e">
        <f>'Product info'!#REF!</f>
        <v>#REF!</v>
      </c>
      <c r="K106" s="52" t="e">
        <f t="shared" si="16"/>
        <v>#REF!</v>
      </c>
      <c r="L106" s="50" t="e">
        <f t="shared" si="17"/>
        <v>#REF!</v>
      </c>
      <c r="M106" s="50" t="e">
        <f t="shared" si="18"/>
        <v>#REF!</v>
      </c>
      <c r="N106" s="50" t="e">
        <f t="shared" si="19"/>
        <v>#REF!</v>
      </c>
      <c r="O106" s="50" t="e">
        <f t="shared" si="20"/>
        <v>#REF!</v>
      </c>
      <c r="P106" s="53" t="e">
        <f t="shared" si="21"/>
        <v>#REF!</v>
      </c>
      <c r="Q106" s="54" t="e">
        <f>'Product info'!#REF!</f>
        <v>#REF!</v>
      </c>
      <c r="R106" s="54" t="e">
        <f>'Product info'!#REF!</f>
        <v>#REF!</v>
      </c>
      <c r="S106" s="54" t="e">
        <f>'Product info'!#REF!</f>
        <v>#REF!</v>
      </c>
      <c r="T106" s="50" t="e">
        <f>'Product info'!#REF!</f>
        <v>#REF!</v>
      </c>
      <c r="U106" s="52" t="e">
        <f t="shared" si="22"/>
        <v>#REF!</v>
      </c>
      <c r="V106" s="50" t="e">
        <f t="shared" si="23"/>
        <v>#REF!</v>
      </c>
      <c r="W106" s="50" t="e">
        <f t="shared" si="24"/>
        <v>#REF!</v>
      </c>
      <c r="X106" s="50" t="e">
        <f t="shared" si="25"/>
        <v>#REF!</v>
      </c>
      <c r="Y106" s="50" t="e">
        <f t="shared" si="26"/>
        <v>#REF!</v>
      </c>
      <c r="Z106" t="e">
        <f t="shared" si="27"/>
        <v>#REF!</v>
      </c>
    </row>
    <row r="107" spans="1:26" x14ac:dyDescent="0.4">
      <c r="A107" t="e">
        <f>'Product info'!#REF!</f>
        <v>#REF!</v>
      </c>
      <c r="B107" t="e">
        <f>'Product info'!#REF!</f>
        <v>#REF!</v>
      </c>
      <c r="C107" t="e">
        <f>'Product info'!#REF!</f>
        <v>#REF!</v>
      </c>
      <c r="D107" s="6" t="e">
        <f>'Product info'!#REF!</f>
        <v>#REF!</v>
      </c>
      <c r="E107" t="e">
        <f t="shared" si="15"/>
        <v>#REF!</v>
      </c>
      <c r="F107" s="50" t="e">
        <f>'Product info'!#REF!</f>
        <v>#REF!</v>
      </c>
      <c r="G107" s="50" t="e">
        <f>'Product info'!#REF!</f>
        <v>#REF!</v>
      </c>
      <c r="H107" s="50" t="e">
        <f>'Product info'!#REF!</f>
        <v>#REF!</v>
      </c>
      <c r="I107" s="50" t="e">
        <f>'Product info'!#REF!</f>
        <v>#REF!</v>
      </c>
      <c r="J107" s="51" t="e">
        <f>'Product info'!#REF!</f>
        <v>#REF!</v>
      </c>
      <c r="K107" s="52" t="e">
        <f t="shared" si="16"/>
        <v>#REF!</v>
      </c>
      <c r="L107" s="50" t="e">
        <f t="shared" si="17"/>
        <v>#REF!</v>
      </c>
      <c r="M107" s="50" t="e">
        <f t="shared" si="18"/>
        <v>#REF!</v>
      </c>
      <c r="N107" s="50" t="e">
        <f t="shared" si="19"/>
        <v>#REF!</v>
      </c>
      <c r="O107" s="50" t="e">
        <f t="shared" si="20"/>
        <v>#REF!</v>
      </c>
      <c r="P107" s="53" t="e">
        <f t="shared" si="21"/>
        <v>#REF!</v>
      </c>
      <c r="Q107" s="54" t="e">
        <f>'Product info'!#REF!</f>
        <v>#REF!</v>
      </c>
      <c r="R107" s="54" t="e">
        <f>'Product info'!#REF!</f>
        <v>#REF!</v>
      </c>
      <c r="S107" s="54" t="e">
        <f>'Product info'!#REF!</f>
        <v>#REF!</v>
      </c>
      <c r="T107" s="50" t="e">
        <f>'Product info'!#REF!</f>
        <v>#REF!</v>
      </c>
      <c r="U107" s="52" t="e">
        <f t="shared" si="22"/>
        <v>#REF!</v>
      </c>
      <c r="V107" s="50" t="e">
        <f t="shared" si="23"/>
        <v>#REF!</v>
      </c>
      <c r="W107" s="50" t="e">
        <f t="shared" si="24"/>
        <v>#REF!</v>
      </c>
      <c r="X107" s="50" t="e">
        <f t="shared" si="25"/>
        <v>#REF!</v>
      </c>
      <c r="Y107" s="50" t="e">
        <f t="shared" si="26"/>
        <v>#REF!</v>
      </c>
      <c r="Z107" t="e">
        <f t="shared" si="27"/>
        <v>#REF!</v>
      </c>
    </row>
    <row r="108" spans="1:26" x14ac:dyDescent="0.4">
      <c r="A108" t="e">
        <f>'Product info'!#REF!</f>
        <v>#REF!</v>
      </c>
      <c r="B108" t="e">
        <f>'Product info'!#REF!</f>
        <v>#REF!</v>
      </c>
      <c r="C108" t="e">
        <f>'Product info'!#REF!</f>
        <v>#REF!</v>
      </c>
      <c r="D108" s="6" t="e">
        <f>'Product info'!#REF!</f>
        <v>#REF!</v>
      </c>
      <c r="E108" t="e">
        <f t="shared" si="15"/>
        <v>#REF!</v>
      </c>
      <c r="F108" s="50" t="e">
        <f>'Product info'!#REF!</f>
        <v>#REF!</v>
      </c>
      <c r="G108" s="50" t="e">
        <f>'Product info'!#REF!</f>
        <v>#REF!</v>
      </c>
      <c r="H108" s="50" t="e">
        <f>'Product info'!#REF!</f>
        <v>#REF!</v>
      </c>
      <c r="I108" s="50" t="e">
        <f>'Product info'!#REF!</f>
        <v>#REF!</v>
      </c>
      <c r="J108" s="51" t="e">
        <f>'Product info'!#REF!</f>
        <v>#REF!</v>
      </c>
      <c r="K108" s="52" t="e">
        <f t="shared" si="16"/>
        <v>#REF!</v>
      </c>
      <c r="L108" s="50" t="e">
        <f t="shared" si="17"/>
        <v>#REF!</v>
      </c>
      <c r="M108" s="50" t="e">
        <f t="shared" si="18"/>
        <v>#REF!</v>
      </c>
      <c r="N108" s="50" t="e">
        <f t="shared" si="19"/>
        <v>#REF!</v>
      </c>
      <c r="O108" s="50" t="e">
        <f t="shared" si="20"/>
        <v>#REF!</v>
      </c>
      <c r="P108" s="53" t="e">
        <f t="shared" si="21"/>
        <v>#REF!</v>
      </c>
      <c r="Q108" s="54" t="e">
        <f>'Product info'!#REF!</f>
        <v>#REF!</v>
      </c>
      <c r="R108" s="54" t="e">
        <f>'Product info'!#REF!</f>
        <v>#REF!</v>
      </c>
      <c r="S108" s="54" t="e">
        <f>'Product info'!#REF!</f>
        <v>#REF!</v>
      </c>
      <c r="T108" s="50" t="e">
        <f>'Product info'!#REF!</f>
        <v>#REF!</v>
      </c>
      <c r="U108" s="52" t="e">
        <f t="shared" si="22"/>
        <v>#REF!</v>
      </c>
      <c r="V108" s="50" t="e">
        <f t="shared" si="23"/>
        <v>#REF!</v>
      </c>
      <c r="W108" s="50" t="e">
        <f t="shared" si="24"/>
        <v>#REF!</v>
      </c>
      <c r="X108" s="50" t="e">
        <f t="shared" si="25"/>
        <v>#REF!</v>
      </c>
      <c r="Y108" s="50" t="e">
        <f t="shared" si="26"/>
        <v>#REF!</v>
      </c>
      <c r="Z108" t="e">
        <f t="shared" si="27"/>
        <v>#REF!</v>
      </c>
    </row>
    <row r="109" spans="1:26" x14ac:dyDescent="0.4">
      <c r="A109" t="e">
        <f>'Product info'!#REF!</f>
        <v>#REF!</v>
      </c>
      <c r="B109" t="e">
        <f>'Product info'!#REF!</f>
        <v>#REF!</v>
      </c>
      <c r="C109" t="e">
        <f>'Product info'!#REF!</f>
        <v>#REF!</v>
      </c>
      <c r="D109" s="6" t="e">
        <f>'Product info'!#REF!</f>
        <v>#REF!</v>
      </c>
      <c r="E109" t="e">
        <f t="shared" si="15"/>
        <v>#REF!</v>
      </c>
      <c r="F109" s="50" t="e">
        <f>'Product info'!#REF!</f>
        <v>#REF!</v>
      </c>
      <c r="G109" s="50" t="e">
        <f>'Product info'!#REF!</f>
        <v>#REF!</v>
      </c>
      <c r="H109" s="50" t="e">
        <f>'Product info'!#REF!</f>
        <v>#REF!</v>
      </c>
      <c r="I109" s="50" t="e">
        <f>'Product info'!#REF!</f>
        <v>#REF!</v>
      </c>
      <c r="J109" s="51" t="e">
        <f>'Product info'!#REF!</f>
        <v>#REF!</v>
      </c>
      <c r="K109" s="52" t="e">
        <f t="shared" si="16"/>
        <v>#REF!</v>
      </c>
      <c r="L109" s="50" t="e">
        <f t="shared" si="17"/>
        <v>#REF!</v>
      </c>
      <c r="M109" s="50" t="e">
        <f t="shared" si="18"/>
        <v>#REF!</v>
      </c>
      <c r="N109" s="50" t="e">
        <f t="shared" si="19"/>
        <v>#REF!</v>
      </c>
      <c r="O109" s="50" t="e">
        <f t="shared" si="20"/>
        <v>#REF!</v>
      </c>
      <c r="P109" s="53" t="e">
        <f t="shared" si="21"/>
        <v>#REF!</v>
      </c>
      <c r="Q109" s="54" t="e">
        <f>'Product info'!#REF!</f>
        <v>#REF!</v>
      </c>
      <c r="R109" s="54" t="e">
        <f>'Product info'!#REF!</f>
        <v>#REF!</v>
      </c>
      <c r="S109" s="54" t="e">
        <f>'Product info'!#REF!</f>
        <v>#REF!</v>
      </c>
      <c r="T109" s="50" t="e">
        <f>'Product info'!#REF!</f>
        <v>#REF!</v>
      </c>
      <c r="U109" s="52" t="e">
        <f t="shared" si="22"/>
        <v>#REF!</v>
      </c>
      <c r="V109" s="50" t="e">
        <f t="shared" si="23"/>
        <v>#REF!</v>
      </c>
      <c r="W109" s="50" t="e">
        <f t="shared" si="24"/>
        <v>#REF!</v>
      </c>
      <c r="X109" s="50" t="e">
        <f t="shared" si="25"/>
        <v>#REF!</v>
      </c>
      <c r="Y109" s="50" t="e">
        <f t="shared" si="26"/>
        <v>#REF!</v>
      </c>
      <c r="Z109" t="e">
        <f t="shared" si="27"/>
        <v>#REF!</v>
      </c>
    </row>
    <row r="110" spans="1:26" x14ac:dyDescent="0.4">
      <c r="A110" t="e">
        <f>'Product info'!#REF!</f>
        <v>#REF!</v>
      </c>
      <c r="B110" t="e">
        <f>'Product info'!#REF!</f>
        <v>#REF!</v>
      </c>
      <c r="C110" t="e">
        <f>'Product info'!#REF!</f>
        <v>#REF!</v>
      </c>
      <c r="D110" s="6" t="e">
        <f>'Product info'!#REF!</f>
        <v>#REF!</v>
      </c>
      <c r="E110" t="e">
        <f t="shared" si="15"/>
        <v>#REF!</v>
      </c>
      <c r="F110" s="50" t="e">
        <f>'Product info'!#REF!</f>
        <v>#REF!</v>
      </c>
      <c r="G110" s="50" t="e">
        <f>'Product info'!#REF!</f>
        <v>#REF!</v>
      </c>
      <c r="H110" s="50" t="e">
        <f>'Product info'!#REF!</f>
        <v>#REF!</v>
      </c>
      <c r="I110" s="50" t="e">
        <f>'Product info'!#REF!</f>
        <v>#REF!</v>
      </c>
      <c r="J110" s="51" t="e">
        <f>'Product info'!#REF!</f>
        <v>#REF!</v>
      </c>
      <c r="K110" s="52" t="e">
        <f t="shared" si="16"/>
        <v>#REF!</v>
      </c>
      <c r="L110" s="50" t="e">
        <f t="shared" si="17"/>
        <v>#REF!</v>
      </c>
      <c r="M110" s="50" t="e">
        <f t="shared" si="18"/>
        <v>#REF!</v>
      </c>
      <c r="N110" s="50" t="e">
        <f t="shared" si="19"/>
        <v>#REF!</v>
      </c>
      <c r="O110" s="50" t="e">
        <f t="shared" si="20"/>
        <v>#REF!</v>
      </c>
      <c r="P110" s="53" t="e">
        <f t="shared" si="21"/>
        <v>#REF!</v>
      </c>
      <c r="Q110" s="54" t="e">
        <f>'Product info'!#REF!</f>
        <v>#REF!</v>
      </c>
      <c r="R110" s="54" t="e">
        <f>'Product info'!#REF!</f>
        <v>#REF!</v>
      </c>
      <c r="S110" s="54" t="e">
        <f>'Product info'!#REF!</f>
        <v>#REF!</v>
      </c>
      <c r="T110" s="50" t="e">
        <f>'Product info'!#REF!</f>
        <v>#REF!</v>
      </c>
      <c r="U110" s="52" t="e">
        <f t="shared" si="22"/>
        <v>#REF!</v>
      </c>
      <c r="V110" s="50" t="e">
        <f t="shared" si="23"/>
        <v>#REF!</v>
      </c>
      <c r="W110" s="50" t="e">
        <f t="shared" si="24"/>
        <v>#REF!</v>
      </c>
      <c r="X110" s="50" t="e">
        <f t="shared" si="25"/>
        <v>#REF!</v>
      </c>
      <c r="Y110" s="50" t="e">
        <f t="shared" si="26"/>
        <v>#REF!</v>
      </c>
      <c r="Z110" t="e">
        <f t="shared" si="27"/>
        <v>#REF!</v>
      </c>
    </row>
    <row r="111" spans="1:26" x14ac:dyDescent="0.4">
      <c r="A111" t="e">
        <f>'Product info'!#REF!</f>
        <v>#REF!</v>
      </c>
      <c r="B111" t="e">
        <f>'Product info'!#REF!</f>
        <v>#REF!</v>
      </c>
      <c r="C111" t="e">
        <f>'Product info'!#REF!</f>
        <v>#REF!</v>
      </c>
      <c r="D111" s="6" t="e">
        <f>'Product info'!#REF!</f>
        <v>#REF!</v>
      </c>
      <c r="E111" t="e">
        <f t="shared" si="15"/>
        <v>#REF!</v>
      </c>
      <c r="F111" s="50" t="e">
        <f>'Product info'!#REF!</f>
        <v>#REF!</v>
      </c>
      <c r="G111" s="50" t="e">
        <f>'Product info'!#REF!</f>
        <v>#REF!</v>
      </c>
      <c r="H111" s="50" t="e">
        <f>'Product info'!#REF!</f>
        <v>#REF!</v>
      </c>
      <c r="I111" s="50" t="e">
        <f>'Product info'!#REF!</f>
        <v>#REF!</v>
      </c>
      <c r="J111" s="51" t="e">
        <f>'Product info'!#REF!</f>
        <v>#REF!</v>
      </c>
      <c r="K111" s="52" t="e">
        <f t="shared" si="16"/>
        <v>#REF!</v>
      </c>
      <c r="L111" s="50" t="e">
        <f t="shared" si="17"/>
        <v>#REF!</v>
      </c>
      <c r="M111" s="50" t="e">
        <f t="shared" si="18"/>
        <v>#REF!</v>
      </c>
      <c r="N111" s="50" t="e">
        <f t="shared" si="19"/>
        <v>#REF!</v>
      </c>
      <c r="O111" s="50" t="e">
        <f t="shared" si="20"/>
        <v>#REF!</v>
      </c>
      <c r="P111" s="53" t="e">
        <f t="shared" si="21"/>
        <v>#REF!</v>
      </c>
      <c r="Q111" s="54" t="e">
        <f>'Product info'!#REF!</f>
        <v>#REF!</v>
      </c>
      <c r="R111" s="54" t="e">
        <f>'Product info'!#REF!</f>
        <v>#REF!</v>
      </c>
      <c r="S111" s="54" t="e">
        <f>'Product info'!#REF!</f>
        <v>#REF!</v>
      </c>
      <c r="T111" s="50" t="e">
        <f>'Product info'!#REF!</f>
        <v>#REF!</v>
      </c>
      <c r="U111" s="52" t="e">
        <f t="shared" si="22"/>
        <v>#REF!</v>
      </c>
      <c r="V111" s="50" t="e">
        <f t="shared" si="23"/>
        <v>#REF!</v>
      </c>
      <c r="W111" s="50" t="e">
        <f t="shared" si="24"/>
        <v>#REF!</v>
      </c>
      <c r="X111" s="50" t="e">
        <f t="shared" si="25"/>
        <v>#REF!</v>
      </c>
      <c r="Y111" s="50" t="e">
        <f t="shared" si="26"/>
        <v>#REF!</v>
      </c>
      <c r="Z111" t="e">
        <f t="shared" si="27"/>
        <v>#REF!</v>
      </c>
    </row>
    <row r="112" spans="1:26" x14ac:dyDescent="0.4">
      <c r="A112" t="e">
        <f>'Product info'!#REF!</f>
        <v>#REF!</v>
      </c>
      <c r="B112" t="e">
        <f>'Product info'!#REF!</f>
        <v>#REF!</v>
      </c>
      <c r="C112" t="e">
        <f>'Product info'!#REF!</f>
        <v>#REF!</v>
      </c>
      <c r="D112" s="6" t="e">
        <f>'Product info'!#REF!</f>
        <v>#REF!</v>
      </c>
      <c r="E112" t="e">
        <f t="shared" si="15"/>
        <v>#REF!</v>
      </c>
      <c r="F112" s="50" t="e">
        <f>'Product info'!#REF!</f>
        <v>#REF!</v>
      </c>
      <c r="G112" s="50" t="e">
        <f>'Product info'!#REF!</f>
        <v>#REF!</v>
      </c>
      <c r="H112" s="50" t="e">
        <f>'Product info'!#REF!</f>
        <v>#REF!</v>
      </c>
      <c r="I112" s="50" t="e">
        <f>'Product info'!#REF!</f>
        <v>#REF!</v>
      </c>
      <c r="J112" s="51" t="e">
        <f>'Product info'!#REF!</f>
        <v>#REF!</v>
      </c>
      <c r="K112" s="52" t="e">
        <f t="shared" si="16"/>
        <v>#REF!</v>
      </c>
      <c r="L112" s="50" t="e">
        <f t="shared" si="17"/>
        <v>#REF!</v>
      </c>
      <c r="M112" s="50" t="e">
        <f t="shared" si="18"/>
        <v>#REF!</v>
      </c>
      <c r="N112" s="50" t="e">
        <f t="shared" si="19"/>
        <v>#REF!</v>
      </c>
      <c r="O112" s="50" t="e">
        <f t="shared" si="20"/>
        <v>#REF!</v>
      </c>
      <c r="P112" s="53" t="e">
        <f t="shared" si="21"/>
        <v>#REF!</v>
      </c>
      <c r="Q112" s="54" t="e">
        <f>'Product info'!#REF!</f>
        <v>#REF!</v>
      </c>
      <c r="R112" s="54" t="e">
        <f>'Product info'!#REF!</f>
        <v>#REF!</v>
      </c>
      <c r="S112" s="54" t="e">
        <f>'Product info'!#REF!</f>
        <v>#REF!</v>
      </c>
      <c r="T112" s="50" t="e">
        <f>'Product info'!#REF!</f>
        <v>#REF!</v>
      </c>
      <c r="U112" s="52" t="e">
        <f t="shared" si="22"/>
        <v>#REF!</v>
      </c>
      <c r="V112" s="50" t="e">
        <f t="shared" si="23"/>
        <v>#REF!</v>
      </c>
      <c r="W112" s="50" t="e">
        <f t="shared" si="24"/>
        <v>#REF!</v>
      </c>
      <c r="X112" s="50" t="e">
        <f t="shared" si="25"/>
        <v>#REF!</v>
      </c>
      <c r="Y112" s="50" t="e">
        <f t="shared" si="26"/>
        <v>#REF!</v>
      </c>
      <c r="Z112" t="e">
        <f t="shared" si="27"/>
        <v>#REF!</v>
      </c>
    </row>
    <row r="113" spans="1:26" x14ac:dyDescent="0.4">
      <c r="A113" t="e">
        <f>'Product info'!#REF!</f>
        <v>#REF!</v>
      </c>
      <c r="B113" t="e">
        <f>'Product info'!#REF!</f>
        <v>#REF!</v>
      </c>
      <c r="C113" t="e">
        <f>'Product info'!#REF!</f>
        <v>#REF!</v>
      </c>
      <c r="D113" s="6" t="e">
        <f>'Product info'!#REF!</f>
        <v>#REF!</v>
      </c>
      <c r="E113" t="e">
        <f t="shared" si="15"/>
        <v>#REF!</v>
      </c>
      <c r="F113" s="50" t="e">
        <f>'Product info'!#REF!</f>
        <v>#REF!</v>
      </c>
      <c r="G113" s="50" t="e">
        <f>'Product info'!#REF!</f>
        <v>#REF!</v>
      </c>
      <c r="H113" s="50" t="e">
        <f>'Product info'!#REF!</f>
        <v>#REF!</v>
      </c>
      <c r="I113" s="50" t="e">
        <f>'Product info'!#REF!</f>
        <v>#REF!</v>
      </c>
      <c r="J113" s="51" t="e">
        <f>'Product info'!#REF!</f>
        <v>#REF!</v>
      </c>
      <c r="K113" s="52" t="e">
        <f t="shared" si="16"/>
        <v>#REF!</v>
      </c>
      <c r="L113" s="50" t="e">
        <f t="shared" si="17"/>
        <v>#REF!</v>
      </c>
      <c r="M113" s="50" t="e">
        <f t="shared" si="18"/>
        <v>#REF!</v>
      </c>
      <c r="N113" s="50" t="e">
        <f t="shared" si="19"/>
        <v>#REF!</v>
      </c>
      <c r="O113" s="50" t="e">
        <f t="shared" si="20"/>
        <v>#REF!</v>
      </c>
      <c r="P113" s="53" t="e">
        <f t="shared" si="21"/>
        <v>#REF!</v>
      </c>
      <c r="Q113" s="54" t="e">
        <f>'Product info'!#REF!</f>
        <v>#REF!</v>
      </c>
      <c r="R113" s="54" t="e">
        <f>'Product info'!#REF!</f>
        <v>#REF!</v>
      </c>
      <c r="S113" s="54" t="e">
        <f>'Product info'!#REF!</f>
        <v>#REF!</v>
      </c>
      <c r="T113" s="50" t="e">
        <f>'Product info'!#REF!</f>
        <v>#REF!</v>
      </c>
      <c r="U113" s="52" t="e">
        <f t="shared" si="22"/>
        <v>#REF!</v>
      </c>
      <c r="V113" s="50" t="e">
        <f t="shared" si="23"/>
        <v>#REF!</v>
      </c>
      <c r="W113" s="50" t="e">
        <f t="shared" si="24"/>
        <v>#REF!</v>
      </c>
      <c r="X113" s="50" t="e">
        <f t="shared" si="25"/>
        <v>#REF!</v>
      </c>
      <c r="Y113" s="50" t="e">
        <f t="shared" si="26"/>
        <v>#REF!</v>
      </c>
      <c r="Z113" t="e">
        <f t="shared" si="27"/>
        <v>#REF!</v>
      </c>
    </row>
    <row r="114" spans="1:26" x14ac:dyDescent="0.4">
      <c r="A114" t="e">
        <f>'Product info'!#REF!</f>
        <v>#REF!</v>
      </c>
      <c r="B114" t="e">
        <f>'Product info'!#REF!</f>
        <v>#REF!</v>
      </c>
      <c r="C114" t="e">
        <f>'Product info'!#REF!</f>
        <v>#REF!</v>
      </c>
      <c r="D114" s="6" t="e">
        <f>'Product info'!#REF!</f>
        <v>#REF!</v>
      </c>
      <c r="E114" t="e">
        <f t="shared" si="15"/>
        <v>#REF!</v>
      </c>
      <c r="F114" s="50" t="e">
        <f>'Product info'!#REF!</f>
        <v>#REF!</v>
      </c>
      <c r="G114" s="50" t="e">
        <f>'Product info'!#REF!</f>
        <v>#REF!</v>
      </c>
      <c r="H114" s="50" t="e">
        <f>'Product info'!#REF!</f>
        <v>#REF!</v>
      </c>
      <c r="I114" s="50" t="e">
        <f>'Product info'!#REF!</f>
        <v>#REF!</v>
      </c>
      <c r="J114" s="51" t="e">
        <f>'Product info'!#REF!</f>
        <v>#REF!</v>
      </c>
      <c r="K114" s="52" t="e">
        <f t="shared" si="16"/>
        <v>#REF!</v>
      </c>
      <c r="L114" s="50" t="e">
        <f t="shared" si="17"/>
        <v>#REF!</v>
      </c>
      <c r="M114" s="50" t="e">
        <f t="shared" si="18"/>
        <v>#REF!</v>
      </c>
      <c r="N114" s="50" t="e">
        <f t="shared" si="19"/>
        <v>#REF!</v>
      </c>
      <c r="O114" s="50" t="e">
        <f t="shared" si="20"/>
        <v>#REF!</v>
      </c>
      <c r="P114" s="53" t="e">
        <f t="shared" si="21"/>
        <v>#REF!</v>
      </c>
      <c r="Q114" s="54" t="e">
        <f>'Product info'!#REF!</f>
        <v>#REF!</v>
      </c>
      <c r="R114" s="54" t="e">
        <f>'Product info'!#REF!</f>
        <v>#REF!</v>
      </c>
      <c r="S114" s="54" t="e">
        <f>'Product info'!#REF!</f>
        <v>#REF!</v>
      </c>
      <c r="T114" s="50" t="e">
        <f>'Product info'!#REF!</f>
        <v>#REF!</v>
      </c>
      <c r="U114" s="52" t="e">
        <f t="shared" si="22"/>
        <v>#REF!</v>
      </c>
      <c r="V114" s="50" t="e">
        <f t="shared" si="23"/>
        <v>#REF!</v>
      </c>
      <c r="W114" s="50" t="e">
        <f t="shared" si="24"/>
        <v>#REF!</v>
      </c>
      <c r="X114" s="50" t="e">
        <f t="shared" si="25"/>
        <v>#REF!</v>
      </c>
      <c r="Y114" s="50" t="e">
        <f t="shared" si="26"/>
        <v>#REF!</v>
      </c>
      <c r="Z114" t="e">
        <f t="shared" si="27"/>
        <v>#REF!</v>
      </c>
    </row>
    <row r="115" spans="1:26" x14ac:dyDescent="0.4">
      <c r="A115" t="e">
        <f>'Product info'!#REF!</f>
        <v>#REF!</v>
      </c>
      <c r="B115" t="e">
        <f>'Product info'!#REF!</f>
        <v>#REF!</v>
      </c>
      <c r="C115" t="e">
        <f>'Product info'!#REF!</f>
        <v>#REF!</v>
      </c>
      <c r="D115" s="6" t="e">
        <f>'Product info'!#REF!</f>
        <v>#REF!</v>
      </c>
      <c r="E115" t="e">
        <f t="shared" si="15"/>
        <v>#REF!</v>
      </c>
      <c r="F115" s="50" t="e">
        <f>'Product info'!#REF!</f>
        <v>#REF!</v>
      </c>
      <c r="G115" s="50" t="e">
        <f>'Product info'!#REF!</f>
        <v>#REF!</v>
      </c>
      <c r="H115" s="50" t="e">
        <f>'Product info'!#REF!</f>
        <v>#REF!</v>
      </c>
      <c r="I115" s="50" t="e">
        <f>'Product info'!#REF!</f>
        <v>#REF!</v>
      </c>
      <c r="J115" s="51" t="e">
        <f>'Product info'!#REF!</f>
        <v>#REF!</v>
      </c>
      <c r="K115" s="52" t="e">
        <f t="shared" si="16"/>
        <v>#REF!</v>
      </c>
      <c r="L115" s="50" t="e">
        <f t="shared" si="17"/>
        <v>#REF!</v>
      </c>
      <c r="M115" s="50" t="e">
        <f t="shared" si="18"/>
        <v>#REF!</v>
      </c>
      <c r="N115" s="50" t="e">
        <f t="shared" si="19"/>
        <v>#REF!</v>
      </c>
      <c r="O115" s="50" t="e">
        <f t="shared" si="20"/>
        <v>#REF!</v>
      </c>
      <c r="P115" s="53" t="e">
        <f t="shared" si="21"/>
        <v>#REF!</v>
      </c>
      <c r="Q115" s="54" t="e">
        <f>'Product info'!#REF!</f>
        <v>#REF!</v>
      </c>
      <c r="R115" s="54" t="e">
        <f>'Product info'!#REF!</f>
        <v>#REF!</v>
      </c>
      <c r="S115" s="54" t="e">
        <f>'Product info'!#REF!</f>
        <v>#REF!</v>
      </c>
      <c r="T115" s="50" t="e">
        <f>'Product info'!#REF!</f>
        <v>#REF!</v>
      </c>
      <c r="U115" s="52" t="e">
        <f t="shared" si="22"/>
        <v>#REF!</v>
      </c>
      <c r="V115" s="50" t="e">
        <f t="shared" si="23"/>
        <v>#REF!</v>
      </c>
      <c r="W115" s="50" t="e">
        <f t="shared" si="24"/>
        <v>#REF!</v>
      </c>
      <c r="X115" s="50" t="e">
        <f t="shared" si="25"/>
        <v>#REF!</v>
      </c>
      <c r="Y115" s="50" t="e">
        <f t="shared" si="26"/>
        <v>#REF!</v>
      </c>
      <c r="Z115" t="e">
        <f t="shared" si="27"/>
        <v>#REF!</v>
      </c>
    </row>
    <row r="116" spans="1:26" x14ac:dyDescent="0.4">
      <c r="A116" t="e">
        <f>'Product info'!#REF!</f>
        <v>#REF!</v>
      </c>
      <c r="B116" t="e">
        <f>'Product info'!#REF!</f>
        <v>#REF!</v>
      </c>
      <c r="C116" t="e">
        <f>'Product info'!#REF!</f>
        <v>#REF!</v>
      </c>
      <c r="D116" s="6" t="e">
        <f>'Product info'!#REF!</f>
        <v>#REF!</v>
      </c>
      <c r="E116" t="e">
        <f t="shared" si="15"/>
        <v>#REF!</v>
      </c>
      <c r="F116" s="50" t="e">
        <f>'Product info'!#REF!</f>
        <v>#REF!</v>
      </c>
      <c r="G116" s="50" t="e">
        <f>'Product info'!#REF!</f>
        <v>#REF!</v>
      </c>
      <c r="H116" s="50" t="e">
        <f>'Product info'!#REF!</f>
        <v>#REF!</v>
      </c>
      <c r="I116" s="50" t="e">
        <f>'Product info'!#REF!</f>
        <v>#REF!</v>
      </c>
      <c r="J116" s="51" t="e">
        <f>'Product info'!#REF!</f>
        <v>#REF!</v>
      </c>
      <c r="K116" s="52" t="e">
        <f t="shared" si="16"/>
        <v>#REF!</v>
      </c>
      <c r="L116" s="50" t="e">
        <f t="shared" si="17"/>
        <v>#REF!</v>
      </c>
      <c r="M116" s="50" t="e">
        <f t="shared" si="18"/>
        <v>#REF!</v>
      </c>
      <c r="N116" s="50" t="e">
        <f t="shared" si="19"/>
        <v>#REF!</v>
      </c>
      <c r="O116" s="50" t="e">
        <f t="shared" si="20"/>
        <v>#REF!</v>
      </c>
      <c r="P116" s="53" t="e">
        <f t="shared" si="21"/>
        <v>#REF!</v>
      </c>
      <c r="Q116" s="54" t="e">
        <f>'Product info'!#REF!</f>
        <v>#REF!</v>
      </c>
      <c r="R116" s="54" t="e">
        <f>'Product info'!#REF!</f>
        <v>#REF!</v>
      </c>
      <c r="S116" s="54" t="e">
        <f>'Product info'!#REF!</f>
        <v>#REF!</v>
      </c>
      <c r="T116" s="50" t="e">
        <f>'Product info'!#REF!</f>
        <v>#REF!</v>
      </c>
      <c r="U116" s="52" t="e">
        <f t="shared" si="22"/>
        <v>#REF!</v>
      </c>
      <c r="V116" s="50" t="e">
        <f t="shared" si="23"/>
        <v>#REF!</v>
      </c>
      <c r="W116" s="50" t="e">
        <f t="shared" si="24"/>
        <v>#REF!</v>
      </c>
      <c r="X116" s="50" t="e">
        <f t="shared" si="25"/>
        <v>#REF!</v>
      </c>
      <c r="Y116" s="50" t="e">
        <f t="shared" si="26"/>
        <v>#REF!</v>
      </c>
      <c r="Z116" t="e">
        <f t="shared" si="27"/>
        <v>#REF!</v>
      </c>
    </row>
    <row r="117" spans="1:26" x14ac:dyDescent="0.4">
      <c r="A117" t="e">
        <f>'Product info'!#REF!</f>
        <v>#REF!</v>
      </c>
      <c r="B117" t="e">
        <f>'Product info'!#REF!</f>
        <v>#REF!</v>
      </c>
      <c r="C117" t="e">
        <f>'Product info'!#REF!</f>
        <v>#REF!</v>
      </c>
      <c r="D117" s="6" t="e">
        <f>'Product info'!#REF!</f>
        <v>#REF!</v>
      </c>
      <c r="E117" t="e">
        <f t="shared" si="15"/>
        <v>#REF!</v>
      </c>
      <c r="F117" s="50" t="e">
        <f>'Product info'!#REF!</f>
        <v>#REF!</v>
      </c>
      <c r="G117" s="50" t="e">
        <f>'Product info'!#REF!</f>
        <v>#REF!</v>
      </c>
      <c r="H117" s="50" t="e">
        <f>'Product info'!#REF!</f>
        <v>#REF!</v>
      </c>
      <c r="I117" s="50" t="e">
        <f>'Product info'!#REF!</f>
        <v>#REF!</v>
      </c>
      <c r="J117" s="51" t="e">
        <f>'Product info'!#REF!</f>
        <v>#REF!</v>
      </c>
      <c r="K117" s="52" t="e">
        <f t="shared" si="16"/>
        <v>#REF!</v>
      </c>
      <c r="L117" s="50" t="e">
        <f t="shared" si="17"/>
        <v>#REF!</v>
      </c>
      <c r="M117" s="50" t="e">
        <f t="shared" si="18"/>
        <v>#REF!</v>
      </c>
      <c r="N117" s="50" t="e">
        <f t="shared" si="19"/>
        <v>#REF!</v>
      </c>
      <c r="O117" s="50" t="e">
        <f t="shared" si="20"/>
        <v>#REF!</v>
      </c>
      <c r="P117" s="53" t="e">
        <f t="shared" si="21"/>
        <v>#REF!</v>
      </c>
      <c r="Q117" s="54" t="e">
        <f>'Product info'!#REF!</f>
        <v>#REF!</v>
      </c>
      <c r="R117" s="54" t="e">
        <f>'Product info'!#REF!</f>
        <v>#REF!</v>
      </c>
      <c r="S117" s="54" t="e">
        <f>'Product info'!#REF!</f>
        <v>#REF!</v>
      </c>
      <c r="T117" s="50" t="e">
        <f>'Product info'!#REF!</f>
        <v>#REF!</v>
      </c>
      <c r="U117" s="52" t="e">
        <f t="shared" si="22"/>
        <v>#REF!</v>
      </c>
      <c r="V117" s="50" t="e">
        <f t="shared" si="23"/>
        <v>#REF!</v>
      </c>
      <c r="W117" s="50" t="e">
        <f t="shared" si="24"/>
        <v>#REF!</v>
      </c>
      <c r="X117" s="50" t="e">
        <f t="shared" si="25"/>
        <v>#REF!</v>
      </c>
      <c r="Y117" s="50" t="e">
        <f t="shared" si="26"/>
        <v>#REF!</v>
      </c>
      <c r="Z117" t="e">
        <f t="shared" si="27"/>
        <v>#REF!</v>
      </c>
    </row>
    <row r="118" spans="1:26" x14ac:dyDescent="0.4">
      <c r="A118" t="e">
        <f>'Product info'!#REF!</f>
        <v>#REF!</v>
      </c>
      <c r="B118" t="e">
        <f>'Product info'!#REF!</f>
        <v>#REF!</v>
      </c>
      <c r="C118" t="e">
        <f>'Product info'!#REF!</f>
        <v>#REF!</v>
      </c>
      <c r="D118" s="6" t="e">
        <f>'Product info'!#REF!</f>
        <v>#REF!</v>
      </c>
      <c r="E118" t="e">
        <f t="shared" si="15"/>
        <v>#REF!</v>
      </c>
      <c r="F118" s="50" t="e">
        <f>'Product info'!#REF!</f>
        <v>#REF!</v>
      </c>
      <c r="G118" s="50" t="e">
        <f>'Product info'!#REF!</f>
        <v>#REF!</v>
      </c>
      <c r="H118" s="50" t="e">
        <f>'Product info'!#REF!</f>
        <v>#REF!</v>
      </c>
      <c r="I118" s="50" t="e">
        <f>'Product info'!#REF!</f>
        <v>#REF!</v>
      </c>
      <c r="J118" s="51" t="e">
        <f>'Product info'!#REF!</f>
        <v>#REF!</v>
      </c>
      <c r="K118" s="52" t="e">
        <f t="shared" si="16"/>
        <v>#REF!</v>
      </c>
      <c r="L118" s="50" t="e">
        <f t="shared" si="17"/>
        <v>#REF!</v>
      </c>
      <c r="M118" s="50" t="e">
        <f t="shared" si="18"/>
        <v>#REF!</v>
      </c>
      <c r="N118" s="50" t="e">
        <f t="shared" si="19"/>
        <v>#REF!</v>
      </c>
      <c r="O118" s="50" t="e">
        <f t="shared" si="20"/>
        <v>#REF!</v>
      </c>
      <c r="P118" s="53" t="e">
        <f t="shared" si="21"/>
        <v>#REF!</v>
      </c>
      <c r="Q118" s="54" t="e">
        <f>'Product info'!#REF!</f>
        <v>#REF!</v>
      </c>
      <c r="R118" s="54" t="e">
        <f>'Product info'!#REF!</f>
        <v>#REF!</v>
      </c>
      <c r="S118" s="54" t="e">
        <f>'Product info'!#REF!</f>
        <v>#REF!</v>
      </c>
      <c r="T118" s="50" t="e">
        <f>'Product info'!#REF!</f>
        <v>#REF!</v>
      </c>
      <c r="U118" s="52" t="e">
        <f t="shared" si="22"/>
        <v>#REF!</v>
      </c>
      <c r="V118" s="50" t="e">
        <f t="shared" si="23"/>
        <v>#REF!</v>
      </c>
      <c r="W118" s="50" t="e">
        <f t="shared" si="24"/>
        <v>#REF!</v>
      </c>
      <c r="X118" s="50" t="e">
        <f t="shared" si="25"/>
        <v>#REF!</v>
      </c>
      <c r="Y118" s="50" t="e">
        <f t="shared" si="26"/>
        <v>#REF!</v>
      </c>
      <c r="Z118" t="e">
        <f t="shared" si="27"/>
        <v>#REF!</v>
      </c>
    </row>
    <row r="119" spans="1:26" x14ac:dyDescent="0.4">
      <c r="A119" t="e">
        <f>'Product info'!#REF!</f>
        <v>#REF!</v>
      </c>
      <c r="B119" t="e">
        <f>'Product info'!#REF!</f>
        <v>#REF!</v>
      </c>
      <c r="C119" t="e">
        <f>'Product info'!#REF!</f>
        <v>#REF!</v>
      </c>
      <c r="D119" s="6" t="e">
        <f>'Product info'!#REF!</f>
        <v>#REF!</v>
      </c>
      <c r="E119" t="e">
        <f t="shared" si="15"/>
        <v>#REF!</v>
      </c>
      <c r="F119" s="50" t="e">
        <f>'Product info'!#REF!</f>
        <v>#REF!</v>
      </c>
      <c r="G119" s="50" t="e">
        <f>'Product info'!#REF!</f>
        <v>#REF!</v>
      </c>
      <c r="H119" s="50" t="e">
        <f>'Product info'!#REF!</f>
        <v>#REF!</v>
      </c>
      <c r="I119" s="50" t="e">
        <f>'Product info'!#REF!</f>
        <v>#REF!</v>
      </c>
      <c r="J119" s="51" t="e">
        <f>'Product info'!#REF!</f>
        <v>#REF!</v>
      </c>
      <c r="K119" s="52" t="e">
        <f t="shared" si="16"/>
        <v>#REF!</v>
      </c>
      <c r="L119" s="50" t="e">
        <f t="shared" si="17"/>
        <v>#REF!</v>
      </c>
      <c r="M119" s="50" t="e">
        <f t="shared" si="18"/>
        <v>#REF!</v>
      </c>
      <c r="N119" s="50" t="e">
        <f t="shared" si="19"/>
        <v>#REF!</v>
      </c>
      <c r="O119" s="50" t="e">
        <f t="shared" si="20"/>
        <v>#REF!</v>
      </c>
      <c r="P119" s="53" t="e">
        <f t="shared" si="21"/>
        <v>#REF!</v>
      </c>
      <c r="Q119" s="54" t="e">
        <f>'Product info'!#REF!</f>
        <v>#REF!</v>
      </c>
      <c r="R119" s="54" t="e">
        <f>'Product info'!#REF!</f>
        <v>#REF!</v>
      </c>
      <c r="S119" s="54" t="e">
        <f>'Product info'!#REF!</f>
        <v>#REF!</v>
      </c>
      <c r="T119" s="50" t="e">
        <f>'Product info'!#REF!</f>
        <v>#REF!</v>
      </c>
      <c r="U119" s="52" t="e">
        <f t="shared" si="22"/>
        <v>#REF!</v>
      </c>
      <c r="V119" s="50" t="e">
        <f t="shared" si="23"/>
        <v>#REF!</v>
      </c>
      <c r="W119" s="50" t="e">
        <f t="shared" si="24"/>
        <v>#REF!</v>
      </c>
      <c r="X119" s="50" t="e">
        <f t="shared" si="25"/>
        <v>#REF!</v>
      </c>
      <c r="Y119" s="50" t="e">
        <f t="shared" si="26"/>
        <v>#REF!</v>
      </c>
      <c r="Z119" t="e">
        <f t="shared" si="27"/>
        <v>#REF!</v>
      </c>
    </row>
    <row r="120" spans="1:26" x14ac:dyDescent="0.4">
      <c r="A120" t="e">
        <f>'Product info'!#REF!</f>
        <v>#REF!</v>
      </c>
      <c r="B120" t="e">
        <f>'Product info'!#REF!</f>
        <v>#REF!</v>
      </c>
      <c r="C120" t="e">
        <f>'Product info'!#REF!</f>
        <v>#REF!</v>
      </c>
      <c r="D120" s="6" t="e">
        <f>'Product info'!#REF!</f>
        <v>#REF!</v>
      </c>
      <c r="E120" t="e">
        <f t="shared" si="15"/>
        <v>#REF!</v>
      </c>
      <c r="F120" s="50" t="e">
        <f>'Product info'!#REF!</f>
        <v>#REF!</v>
      </c>
      <c r="G120" s="50" t="e">
        <f>'Product info'!#REF!</f>
        <v>#REF!</v>
      </c>
      <c r="H120" s="50" t="e">
        <f>'Product info'!#REF!</f>
        <v>#REF!</v>
      </c>
      <c r="I120" s="50" t="e">
        <f>'Product info'!#REF!</f>
        <v>#REF!</v>
      </c>
      <c r="J120" s="51" t="e">
        <f>'Product info'!#REF!</f>
        <v>#REF!</v>
      </c>
      <c r="K120" s="52" t="e">
        <f t="shared" si="16"/>
        <v>#REF!</v>
      </c>
      <c r="L120" s="50" t="e">
        <f t="shared" si="17"/>
        <v>#REF!</v>
      </c>
      <c r="M120" s="50" t="e">
        <f t="shared" si="18"/>
        <v>#REF!</v>
      </c>
      <c r="N120" s="50" t="e">
        <f t="shared" si="19"/>
        <v>#REF!</v>
      </c>
      <c r="O120" s="50" t="e">
        <f t="shared" si="20"/>
        <v>#REF!</v>
      </c>
      <c r="P120" s="53" t="e">
        <f t="shared" si="21"/>
        <v>#REF!</v>
      </c>
      <c r="Q120" s="54" t="e">
        <f>'Product info'!#REF!</f>
        <v>#REF!</v>
      </c>
      <c r="R120" s="54" t="e">
        <f>'Product info'!#REF!</f>
        <v>#REF!</v>
      </c>
      <c r="S120" s="54" t="e">
        <f>'Product info'!#REF!</f>
        <v>#REF!</v>
      </c>
      <c r="T120" s="50" t="e">
        <f>'Product info'!#REF!</f>
        <v>#REF!</v>
      </c>
      <c r="U120" s="52" t="e">
        <f t="shared" si="22"/>
        <v>#REF!</v>
      </c>
      <c r="V120" s="50" t="e">
        <f t="shared" si="23"/>
        <v>#REF!</v>
      </c>
      <c r="W120" s="50" t="e">
        <f t="shared" si="24"/>
        <v>#REF!</v>
      </c>
      <c r="X120" s="50" t="e">
        <f t="shared" si="25"/>
        <v>#REF!</v>
      </c>
      <c r="Y120" s="50" t="e">
        <f t="shared" si="26"/>
        <v>#REF!</v>
      </c>
      <c r="Z120" t="e">
        <f t="shared" si="27"/>
        <v>#REF!</v>
      </c>
    </row>
    <row r="121" spans="1:26" x14ac:dyDescent="0.4">
      <c r="A121" t="e">
        <f>'Product info'!#REF!</f>
        <v>#REF!</v>
      </c>
      <c r="B121" t="e">
        <f>'Product info'!#REF!</f>
        <v>#REF!</v>
      </c>
      <c r="C121" t="e">
        <f>'Product info'!#REF!</f>
        <v>#REF!</v>
      </c>
      <c r="D121" s="6" t="e">
        <f>'Product info'!#REF!</f>
        <v>#REF!</v>
      </c>
      <c r="E121" t="e">
        <f t="shared" si="15"/>
        <v>#REF!</v>
      </c>
      <c r="F121" s="50" t="e">
        <f>'Product info'!#REF!</f>
        <v>#REF!</v>
      </c>
      <c r="G121" s="50" t="e">
        <f>'Product info'!#REF!</f>
        <v>#REF!</v>
      </c>
      <c r="H121" s="50" t="e">
        <f>'Product info'!#REF!</f>
        <v>#REF!</v>
      </c>
      <c r="I121" s="50" t="e">
        <f>'Product info'!#REF!</f>
        <v>#REF!</v>
      </c>
      <c r="J121" s="51" t="e">
        <f>'Product info'!#REF!</f>
        <v>#REF!</v>
      </c>
      <c r="K121" s="52" t="e">
        <f t="shared" si="16"/>
        <v>#REF!</v>
      </c>
      <c r="L121" s="50" t="e">
        <f t="shared" si="17"/>
        <v>#REF!</v>
      </c>
      <c r="M121" s="50" t="e">
        <f t="shared" si="18"/>
        <v>#REF!</v>
      </c>
      <c r="N121" s="50" t="e">
        <f t="shared" si="19"/>
        <v>#REF!</v>
      </c>
      <c r="O121" s="50" t="e">
        <f t="shared" si="20"/>
        <v>#REF!</v>
      </c>
      <c r="P121" s="53" t="e">
        <f t="shared" si="21"/>
        <v>#REF!</v>
      </c>
      <c r="Q121" s="54" t="e">
        <f>'Product info'!#REF!</f>
        <v>#REF!</v>
      </c>
      <c r="R121" s="54" t="e">
        <f>'Product info'!#REF!</f>
        <v>#REF!</v>
      </c>
      <c r="S121" s="54" t="e">
        <f>'Product info'!#REF!</f>
        <v>#REF!</v>
      </c>
      <c r="T121" s="50" t="e">
        <f>'Product info'!#REF!</f>
        <v>#REF!</v>
      </c>
      <c r="U121" s="52" t="e">
        <f t="shared" si="22"/>
        <v>#REF!</v>
      </c>
      <c r="V121" s="50" t="e">
        <f t="shared" si="23"/>
        <v>#REF!</v>
      </c>
      <c r="W121" s="50" t="e">
        <f t="shared" si="24"/>
        <v>#REF!</v>
      </c>
      <c r="X121" s="50" t="e">
        <f t="shared" si="25"/>
        <v>#REF!</v>
      </c>
      <c r="Y121" s="50" t="e">
        <f t="shared" si="26"/>
        <v>#REF!</v>
      </c>
      <c r="Z121" t="e">
        <f t="shared" si="27"/>
        <v>#REF!</v>
      </c>
    </row>
    <row r="122" spans="1:26" x14ac:dyDescent="0.4">
      <c r="A122" t="e">
        <f>'Product info'!#REF!</f>
        <v>#REF!</v>
      </c>
      <c r="B122" t="e">
        <f>'Product info'!#REF!</f>
        <v>#REF!</v>
      </c>
      <c r="C122" t="e">
        <f>'Product info'!#REF!</f>
        <v>#REF!</v>
      </c>
      <c r="D122" s="6" t="e">
        <f>'Product info'!#REF!</f>
        <v>#REF!</v>
      </c>
      <c r="E122" t="e">
        <f t="shared" si="15"/>
        <v>#REF!</v>
      </c>
      <c r="F122" s="50" t="e">
        <f>'Product info'!#REF!</f>
        <v>#REF!</v>
      </c>
      <c r="G122" s="50" t="e">
        <f>'Product info'!#REF!</f>
        <v>#REF!</v>
      </c>
      <c r="H122" s="50" t="e">
        <f>'Product info'!#REF!</f>
        <v>#REF!</v>
      </c>
      <c r="I122" s="50" t="e">
        <f>'Product info'!#REF!</f>
        <v>#REF!</v>
      </c>
      <c r="J122" s="51" t="e">
        <f>'Product info'!#REF!</f>
        <v>#REF!</v>
      </c>
      <c r="K122" s="52" t="e">
        <f t="shared" si="16"/>
        <v>#REF!</v>
      </c>
      <c r="L122" s="50" t="e">
        <f t="shared" si="17"/>
        <v>#REF!</v>
      </c>
      <c r="M122" s="50" t="e">
        <f t="shared" si="18"/>
        <v>#REF!</v>
      </c>
      <c r="N122" s="50" t="e">
        <f t="shared" si="19"/>
        <v>#REF!</v>
      </c>
      <c r="O122" s="50" t="e">
        <f t="shared" si="20"/>
        <v>#REF!</v>
      </c>
      <c r="P122" s="53" t="e">
        <f t="shared" si="21"/>
        <v>#REF!</v>
      </c>
      <c r="Q122" s="54" t="e">
        <f>'Product info'!#REF!</f>
        <v>#REF!</v>
      </c>
      <c r="R122" s="54" t="e">
        <f>'Product info'!#REF!</f>
        <v>#REF!</v>
      </c>
      <c r="S122" s="54" t="e">
        <f>'Product info'!#REF!</f>
        <v>#REF!</v>
      </c>
      <c r="T122" s="50" t="e">
        <f>'Product info'!#REF!</f>
        <v>#REF!</v>
      </c>
      <c r="U122" s="52" t="e">
        <f t="shared" si="22"/>
        <v>#REF!</v>
      </c>
      <c r="V122" s="50" t="e">
        <f t="shared" si="23"/>
        <v>#REF!</v>
      </c>
      <c r="W122" s="50" t="e">
        <f t="shared" si="24"/>
        <v>#REF!</v>
      </c>
      <c r="X122" s="50" t="e">
        <f t="shared" si="25"/>
        <v>#REF!</v>
      </c>
      <c r="Y122" s="50" t="e">
        <f t="shared" si="26"/>
        <v>#REF!</v>
      </c>
      <c r="Z122" t="e">
        <f t="shared" si="27"/>
        <v>#REF!</v>
      </c>
    </row>
    <row r="123" spans="1:26" x14ac:dyDescent="0.4">
      <c r="A123" t="e">
        <f>'Product info'!#REF!</f>
        <v>#REF!</v>
      </c>
      <c r="B123" t="e">
        <f>'Product info'!#REF!</f>
        <v>#REF!</v>
      </c>
      <c r="C123" t="e">
        <f>'Product info'!#REF!</f>
        <v>#REF!</v>
      </c>
      <c r="D123" s="6" t="e">
        <f>'Product info'!#REF!</f>
        <v>#REF!</v>
      </c>
      <c r="E123" t="e">
        <f t="shared" si="15"/>
        <v>#REF!</v>
      </c>
      <c r="F123" s="50" t="e">
        <f>'Product info'!#REF!</f>
        <v>#REF!</v>
      </c>
      <c r="G123" s="50" t="e">
        <f>'Product info'!#REF!</f>
        <v>#REF!</v>
      </c>
      <c r="H123" s="50" t="e">
        <f>'Product info'!#REF!</f>
        <v>#REF!</v>
      </c>
      <c r="I123" s="50" t="e">
        <f>'Product info'!#REF!</f>
        <v>#REF!</v>
      </c>
      <c r="J123" s="51" t="e">
        <f>'Product info'!#REF!</f>
        <v>#REF!</v>
      </c>
      <c r="K123" s="52" t="e">
        <f t="shared" si="16"/>
        <v>#REF!</v>
      </c>
      <c r="L123" s="50" t="e">
        <f t="shared" si="17"/>
        <v>#REF!</v>
      </c>
      <c r="M123" s="50" t="e">
        <f t="shared" si="18"/>
        <v>#REF!</v>
      </c>
      <c r="N123" s="50" t="e">
        <f t="shared" si="19"/>
        <v>#REF!</v>
      </c>
      <c r="O123" s="50" t="e">
        <f t="shared" si="20"/>
        <v>#REF!</v>
      </c>
      <c r="P123" s="53" t="e">
        <f t="shared" si="21"/>
        <v>#REF!</v>
      </c>
      <c r="Q123" s="54" t="e">
        <f>'Product info'!#REF!</f>
        <v>#REF!</v>
      </c>
      <c r="R123" s="54" t="e">
        <f>'Product info'!#REF!</f>
        <v>#REF!</v>
      </c>
      <c r="S123" s="54" t="e">
        <f>'Product info'!#REF!</f>
        <v>#REF!</v>
      </c>
      <c r="T123" s="50" t="e">
        <f>'Product info'!#REF!</f>
        <v>#REF!</v>
      </c>
      <c r="U123" s="52" t="e">
        <f t="shared" si="22"/>
        <v>#REF!</v>
      </c>
      <c r="V123" s="50" t="e">
        <f t="shared" si="23"/>
        <v>#REF!</v>
      </c>
      <c r="W123" s="50" t="e">
        <f t="shared" si="24"/>
        <v>#REF!</v>
      </c>
      <c r="X123" s="50" t="e">
        <f t="shared" si="25"/>
        <v>#REF!</v>
      </c>
      <c r="Y123" s="50" t="e">
        <f t="shared" si="26"/>
        <v>#REF!</v>
      </c>
      <c r="Z123" t="e">
        <f t="shared" si="27"/>
        <v>#REF!</v>
      </c>
    </row>
    <row r="124" spans="1:26" x14ac:dyDescent="0.4">
      <c r="A124" t="e">
        <f>'Product info'!#REF!</f>
        <v>#REF!</v>
      </c>
      <c r="B124" t="e">
        <f>'Product info'!#REF!</f>
        <v>#REF!</v>
      </c>
      <c r="C124" t="e">
        <f>'Product info'!#REF!</f>
        <v>#REF!</v>
      </c>
      <c r="D124" s="6" t="e">
        <f>'Product info'!#REF!</f>
        <v>#REF!</v>
      </c>
      <c r="E124" t="e">
        <f t="shared" si="15"/>
        <v>#REF!</v>
      </c>
      <c r="F124" s="50" t="e">
        <f>'Product info'!#REF!</f>
        <v>#REF!</v>
      </c>
      <c r="G124" s="50" t="e">
        <f>'Product info'!#REF!</f>
        <v>#REF!</v>
      </c>
      <c r="H124" s="50" t="e">
        <f>'Product info'!#REF!</f>
        <v>#REF!</v>
      </c>
      <c r="I124" s="50" t="e">
        <f>'Product info'!#REF!</f>
        <v>#REF!</v>
      </c>
      <c r="J124" s="51" t="e">
        <f>'Product info'!#REF!</f>
        <v>#REF!</v>
      </c>
      <c r="K124" s="52" t="e">
        <f t="shared" si="16"/>
        <v>#REF!</v>
      </c>
      <c r="L124" s="50" t="e">
        <f t="shared" si="17"/>
        <v>#REF!</v>
      </c>
      <c r="M124" s="50" t="e">
        <f t="shared" si="18"/>
        <v>#REF!</v>
      </c>
      <c r="N124" s="50" t="e">
        <f t="shared" si="19"/>
        <v>#REF!</v>
      </c>
      <c r="O124" s="50" t="e">
        <f t="shared" si="20"/>
        <v>#REF!</v>
      </c>
      <c r="P124" s="53" t="e">
        <f t="shared" si="21"/>
        <v>#REF!</v>
      </c>
      <c r="Q124" s="54" t="e">
        <f>'Product info'!#REF!</f>
        <v>#REF!</v>
      </c>
      <c r="R124" s="54" t="e">
        <f>'Product info'!#REF!</f>
        <v>#REF!</v>
      </c>
      <c r="S124" s="54" t="e">
        <f>'Product info'!#REF!</f>
        <v>#REF!</v>
      </c>
      <c r="T124" s="50" t="e">
        <f>'Product info'!#REF!</f>
        <v>#REF!</v>
      </c>
      <c r="U124" s="52" t="e">
        <f t="shared" si="22"/>
        <v>#REF!</v>
      </c>
      <c r="V124" s="50" t="e">
        <f t="shared" si="23"/>
        <v>#REF!</v>
      </c>
      <c r="W124" s="50" t="e">
        <f t="shared" si="24"/>
        <v>#REF!</v>
      </c>
      <c r="X124" s="50" t="e">
        <f t="shared" si="25"/>
        <v>#REF!</v>
      </c>
      <c r="Y124" s="50" t="e">
        <f t="shared" si="26"/>
        <v>#REF!</v>
      </c>
      <c r="Z124" t="e">
        <f t="shared" si="27"/>
        <v>#REF!</v>
      </c>
    </row>
    <row r="125" spans="1:26" x14ac:dyDescent="0.4">
      <c r="A125" t="e">
        <f>'Product info'!#REF!</f>
        <v>#REF!</v>
      </c>
      <c r="B125" t="e">
        <f>'Product info'!#REF!</f>
        <v>#REF!</v>
      </c>
      <c r="C125" t="e">
        <f>'Product info'!#REF!</f>
        <v>#REF!</v>
      </c>
      <c r="D125" s="6" t="e">
        <f>'Product info'!#REF!</f>
        <v>#REF!</v>
      </c>
      <c r="E125" t="e">
        <f t="shared" si="15"/>
        <v>#REF!</v>
      </c>
      <c r="F125" s="50" t="e">
        <f>'Product info'!#REF!</f>
        <v>#REF!</v>
      </c>
      <c r="G125" s="50" t="e">
        <f>'Product info'!#REF!</f>
        <v>#REF!</v>
      </c>
      <c r="H125" s="50" t="e">
        <f>'Product info'!#REF!</f>
        <v>#REF!</v>
      </c>
      <c r="I125" s="50" t="e">
        <f>'Product info'!#REF!</f>
        <v>#REF!</v>
      </c>
      <c r="J125" s="51" t="e">
        <f>'Product info'!#REF!</f>
        <v>#REF!</v>
      </c>
      <c r="K125" s="52" t="e">
        <f t="shared" si="16"/>
        <v>#REF!</v>
      </c>
      <c r="L125" s="50" t="e">
        <f t="shared" si="17"/>
        <v>#REF!</v>
      </c>
      <c r="M125" s="50" t="e">
        <f t="shared" si="18"/>
        <v>#REF!</v>
      </c>
      <c r="N125" s="50" t="e">
        <f t="shared" si="19"/>
        <v>#REF!</v>
      </c>
      <c r="O125" s="50" t="e">
        <f t="shared" si="20"/>
        <v>#REF!</v>
      </c>
      <c r="P125" s="53" t="e">
        <f t="shared" si="21"/>
        <v>#REF!</v>
      </c>
      <c r="Q125" s="54" t="e">
        <f>'Product info'!#REF!</f>
        <v>#REF!</v>
      </c>
      <c r="R125" s="54" t="e">
        <f>'Product info'!#REF!</f>
        <v>#REF!</v>
      </c>
      <c r="S125" s="54" t="e">
        <f>'Product info'!#REF!</f>
        <v>#REF!</v>
      </c>
      <c r="T125" s="50" t="e">
        <f>'Product info'!#REF!</f>
        <v>#REF!</v>
      </c>
      <c r="U125" s="52" t="e">
        <f t="shared" si="22"/>
        <v>#REF!</v>
      </c>
      <c r="V125" s="50" t="e">
        <f t="shared" si="23"/>
        <v>#REF!</v>
      </c>
      <c r="W125" s="50" t="e">
        <f t="shared" si="24"/>
        <v>#REF!</v>
      </c>
      <c r="X125" s="50" t="e">
        <f t="shared" si="25"/>
        <v>#REF!</v>
      </c>
      <c r="Y125" s="50" t="e">
        <f t="shared" si="26"/>
        <v>#REF!</v>
      </c>
      <c r="Z125" t="e">
        <f t="shared" si="27"/>
        <v>#REF!</v>
      </c>
    </row>
    <row r="126" spans="1:26" x14ac:dyDescent="0.4">
      <c r="A126" t="e">
        <f>'Product info'!#REF!</f>
        <v>#REF!</v>
      </c>
      <c r="B126" t="e">
        <f>'Product info'!#REF!</f>
        <v>#REF!</v>
      </c>
      <c r="C126" t="e">
        <f>'Product info'!#REF!</f>
        <v>#REF!</v>
      </c>
      <c r="D126" s="6" t="e">
        <f>'Product info'!#REF!</f>
        <v>#REF!</v>
      </c>
      <c r="E126" t="e">
        <f t="shared" si="15"/>
        <v>#REF!</v>
      </c>
      <c r="F126" s="50" t="e">
        <f>'Product info'!#REF!</f>
        <v>#REF!</v>
      </c>
      <c r="G126" s="50" t="e">
        <f>'Product info'!#REF!</f>
        <v>#REF!</v>
      </c>
      <c r="H126" s="50" t="e">
        <f>'Product info'!#REF!</f>
        <v>#REF!</v>
      </c>
      <c r="I126" s="50" t="e">
        <f>'Product info'!#REF!</f>
        <v>#REF!</v>
      </c>
      <c r="J126" s="51" t="e">
        <f>'Product info'!#REF!</f>
        <v>#REF!</v>
      </c>
      <c r="K126" s="52" t="e">
        <f t="shared" si="16"/>
        <v>#REF!</v>
      </c>
      <c r="L126" s="50" t="e">
        <f t="shared" si="17"/>
        <v>#REF!</v>
      </c>
      <c r="M126" s="50" t="e">
        <f t="shared" si="18"/>
        <v>#REF!</v>
      </c>
      <c r="N126" s="50" t="e">
        <f t="shared" si="19"/>
        <v>#REF!</v>
      </c>
      <c r="O126" s="50" t="e">
        <f t="shared" si="20"/>
        <v>#REF!</v>
      </c>
      <c r="P126" s="53" t="e">
        <f t="shared" si="21"/>
        <v>#REF!</v>
      </c>
      <c r="Q126" s="54" t="e">
        <f>'Product info'!#REF!</f>
        <v>#REF!</v>
      </c>
      <c r="R126" s="54" t="e">
        <f>'Product info'!#REF!</f>
        <v>#REF!</v>
      </c>
      <c r="S126" s="54" t="e">
        <f>'Product info'!#REF!</f>
        <v>#REF!</v>
      </c>
      <c r="T126" s="50" t="e">
        <f>'Product info'!#REF!</f>
        <v>#REF!</v>
      </c>
      <c r="U126" s="52" t="e">
        <f t="shared" si="22"/>
        <v>#REF!</v>
      </c>
      <c r="V126" s="50" t="e">
        <f t="shared" si="23"/>
        <v>#REF!</v>
      </c>
      <c r="W126" s="50" t="e">
        <f t="shared" si="24"/>
        <v>#REF!</v>
      </c>
      <c r="X126" s="50" t="e">
        <f t="shared" si="25"/>
        <v>#REF!</v>
      </c>
      <c r="Y126" s="50" t="e">
        <f t="shared" si="26"/>
        <v>#REF!</v>
      </c>
      <c r="Z126" t="e">
        <f t="shared" si="27"/>
        <v>#REF!</v>
      </c>
    </row>
    <row r="127" spans="1:26" x14ac:dyDescent="0.4">
      <c r="A127" t="e">
        <f>'Product info'!#REF!</f>
        <v>#REF!</v>
      </c>
      <c r="B127" t="e">
        <f>'Product info'!#REF!</f>
        <v>#REF!</v>
      </c>
      <c r="C127" t="e">
        <f>'Product info'!#REF!</f>
        <v>#REF!</v>
      </c>
      <c r="D127" s="6" t="e">
        <f>'Product info'!#REF!</f>
        <v>#REF!</v>
      </c>
      <c r="E127" t="e">
        <f t="shared" si="15"/>
        <v>#REF!</v>
      </c>
      <c r="F127" s="50" t="e">
        <f>'Product info'!#REF!</f>
        <v>#REF!</v>
      </c>
      <c r="G127" s="50" t="e">
        <f>'Product info'!#REF!</f>
        <v>#REF!</v>
      </c>
      <c r="H127" s="50" t="e">
        <f>'Product info'!#REF!</f>
        <v>#REF!</v>
      </c>
      <c r="I127" s="50" t="e">
        <f>'Product info'!#REF!</f>
        <v>#REF!</v>
      </c>
      <c r="J127" s="51" t="e">
        <f>'Product info'!#REF!</f>
        <v>#REF!</v>
      </c>
      <c r="K127" s="52" t="e">
        <f t="shared" si="16"/>
        <v>#REF!</v>
      </c>
      <c r="L127" s="50" t="e">
        <f t="shared" si="17"/>
        <v>#REF!</v>
      </c>
      <c r="M127" s="50" t="e">
        <f t="shared" si="18"/>
        <v>#REF!</v>
      </c>
      <c r="N127" s="50" t="e">
        <f t="shared" si="19"/>
        <v>#REF!</v>
      </c>
      <c r="O127" s="50" t="e">
        <f t="shared" si="20"/>
        <v>#REF!</v>
      </c>
      <c r="P127" s="53" t="e">
        <f t="shared" si="21"/>
        <v>#REF!</v>
      </c>
      <c r="Q127" s="54" t="e">
        <f>'Product info'!#REF!</f>
        <v>#REF!</v>
      </c>
      <c r="R127" s="54" t="e">
        <f>'Product info'!#REF!</f>
        <v>#REF!</v>
      </c>
      <c r="S127" s="54" t="e">
        <f>'Product info'!#REF!</f>
        <v>#REF!</v>
      </c>
      <c r="T127" s="50" t="e">
        <f>'Product info'!#REF!</f>
        <v>#REF!</v>
      </c>
      <c r="U127" s="52" t="e">
        <f t="shared" si="22"/>
        <v>#REF!</v>
      </c>
      <c r="V127" s="50" t="e">
        <f t="shared" si="23"/>
        <v>#REF!</v>
      </c>
      <c r="W127" s="50" t="e">
        <f t="shared" si="24"/>
        <v>#REF!</v>
      </c>
      <c r="X127" s="50" t="e">
        <f t="shared" si="25"/>
        <v>#REF!</v>
      </c>
      <c r="Y127" s="50" t="e">
        <f t="shared" si="26"/>
        <v>#REF!</v>
      </c>
      <c r="Z127" t="e">
        <f t="shared" si="27"/>
        <v>#REF!</v>
      </c>
    </row>
    <row r="128" spans="1:26" x14ac:dyDescent="0.4">
      <c r="A128" t="e">
        <f>'Product info'!#REF!</f>
        <v>#REF!</v>
      </c>
      <c r="B128" t="e">
        <f>'Product info'!#REF!</f>
        <v>#REF!</v>
      </c>
      <c r="C128" t="e">
        <f>'Product info'!#REF!</f>
        <v>#REF!</v>
      </c>
      <c r="D128" s="6" t="e">
        <f>'Product info'!#REF!</f>
        <v>#REF!</v>
      </c>
      <c r="E128" t="e">
        <f t="shared" si="15"/>
        <v>#REF!</v>
      </c>
      <c r="F128" s="50" t="e">
        <f>'Product info'!#REF!</f>
        <v>#REF!</v>
      </c>
      <c r="G128" s="50" t="e">
        <f>'Product info'!#REF!</f>
        <v>#REF!</v>
      </c>
      <c r="H128" s="50" t="e">
        <f>'Product info'!#REF!</f>
        <v>#REF!</v>
      </c>
      <c r="I128" s="50" t="e">
        <f>'Product info'!#REF!</f>
        <v>#REF!</v>
      </c>
      <c r="J128" s="51" t="e">
        <f>'Product info'!#REF!</f>
        <v>#REF!</v>
      </c>
      <c r="K128" s="52" t="e">
        <f t="shared" si="16"/>
        <v>#REF!</v>
      </c>
      <c r="L128" s="50" t="e">
        <f t="shared" si="17"/>
        <v>#REF!</v>
      </c>
      <c r="M128" s="50" t="e">
        <f t="shared" si="18"/>
        <v>#REF!</v>
      </c>
      <c r="N128" s="50" t="e">
        <f t="shared" si="19"/>
        <v>#REF!</v>
      </c>
      <c r="O128" s="50" t="e">
        <f t="shared" si="20"/>
        <v>#REF!</v>
      </c>
      <c r="P128" s="53" t="e">
        <f t="shared" si="21"/>
        <v>#REF!</v>
      </c>
      <c r="Q128" s="54" t="e">
        <f>'Product info'!#REF!</f>
        <v>#REF!</v>
      </c>
      <c r="R128" s="54" t="e">
        <f>'Product info'!#REF!</f>
        <v>#REF!</v>
      </c>
      <c r="S128" s="54" t="e">
        <f>'Product info'!#REF!</f>
        <v>#REF!</v>
      </c>
      <c r="T128" s="50" t="e">
        <f>'Product info'!#REF!</f>
        <v>#REF!</v>
      </c>
      <c r="U128" s="52" t="e">
        <f t="shared" si="22"/>
        <v>#REF!</v>
      </c>
      <c r="V128" s="50" t="e">
        <f t="shared" si="23"/>
        <v>#REF!</v>
      </c>
      <c r="W128" s="50" t="e">
        <f t="shared" si="24"/>
        <v>#REF!</v>
      </c>
      <c r="X128" s="50" t="e">
        <f t="shared" si="25"/>
        <v>#REF!</v>
      </c>
      <c r="Y128" s="50" t="e">
        <f t="shared" si="26"/>
        <v>#REF!</v>
      </c>
      <c r="Z128" t="e">
        <f t="shared" si="27"/>
        <v>#REF!</v>
      </c>
    </row>
    <row r="129" spans="1:26" x14ac:dyDescent="0.4">
      <c r="A129" t="e">
        <f>'Product info'!#REF!</f>
        <v>#REF!</v>
      </c>
      <c r="B129" t="e">
        <f>'Product info'!#REF!</f>
        <v>#REF!</v>
      </c>
      <c r="C129" t="e">
        <f>'Product info'!#REF!</f>
        <v>#REF!</v>
      </c>
      <c r="D129" s="6" t="e">
        <f>'Product info'!#REF!</f>
        <v>#REF!</v>
      </c>
      <c r="E129" t="e">
        <f t="shared" si="15"/>
        <v>#REF!</v>
      </c>
      <c r="F129" s="50" t="e">
        <f>'Product info'!#REF!</f>
        <v>#REF!</v>
      </c>
      <c r="G129" s="50" t="e">
        <f>'Product info'!#REF!</f>
        <v>#REF!</v>
      </c>
      <c r="H129" s="50" t="e">
        <f>'Product info'!#REF!</f>
        <v>#REF!</v>
      </c>
      <c r="I129" s="50" t="e">
        <f>'Product info'!#REF!</f>
        <v>#REF!</v>
      </c>
      <c r="J129" s="51" t="e">
        <f>'Product info'!#REF!</f>
        <v>#REF!</v>
      </c>
      <c r="K129" s="52" t="e">
        <f t="shared" si="16"/>
        <v>#REF!</v>
      </c>
      <c r="L129" s="50" t="e">
        <f t="shared" si="17"/>
        <v>#REF!</v>
      </c>
      <c r="M129" s="50" t="e">
        <f t="shared" si="18"/>
        <v>#REF!</v>
      </c>
      <c r="N129" s="50" t="e">
        <f t="shared" si="19"/>
        <v>#REF!</v>
      </c>
      <c r="O129" s="50" t="e">
        <f t="shared" si="20"/>
        <v>#REF!</v>
      </c>
      <c r="P129" s="53" t="e">
        <f t="shared" si="21"/>
        <v>#REF!</v>
      </c>
      <c r="Q129" s="54" t="e">
        <f>'Product info'!#REF!</f>
        <v>#REF!</v>
      </c>
      <c r="R129" s="54" t="e">
        <f>'Product info'!#REF!</f>
        <v>#REF!</v>
      </c>
      <c r="S129" s="54" t="e">
        <f>'Product info'!#REF!</f>
        <v>#REF!</v>
      </c>
      <c r="T129" s="50" t="e">
        <f>'Product info'!#REF!</f>
        <v>#REF!</v>
      </c>
      <c r="U129" s="52" t="e">
        <f t="shared" si="22"/>
        <v>#REF!</v>
      </c>
      <c r="V129" s="50" t="e">
        <f t="shared" si="23"/>
        <v>#REF!</v>
      </c>
      <c r="W129" s="50" t="e">
        <f t="shared" si="24"/>
        <v>#REF!</v>
      </c>
      <c r="X129" s="50" t="e">
        <f t="shared" si="25"/>
        <v>#REF!</v>
      </c>
      <c r="Y129" s="50" t="e">
        <f t="shared" si="26"/>
        <v>#REF!</v>
      </c>
      <c r="Z129" t="e">
        <f t="shared" si="27"/>
        <v>#REF!</v>
      </c>
    </row>
    <row r="130" spans="1:26" x14ac:dyDescent="0.4">
      <c r="A130" t="e">
        <f>'Product info'!#REF!</f>
        <v>#REF!</v>
      </c>
      <c r="B130" t="e">
        <f>'Product info'!#REF!</f>
        <v>#REF!</v>
      </c>
      <c r="C130" t="e">
        <f>'Product info'!#REF!</f>
        <v>#REF!</v>
      </c>
      <c r="D130" s="6" t="e">
        <f>'Product info'!#REF!</f>
        <v>#REF!</v>
      </c>
      <c r="E130" t="e">
        <f t="shared" si="15"/>
        <v>#REF!</v>
      </c>
      <c r="F130" s="50" t="e">
        <f>'Product info'!#REF!</f>
        <v>#REF!</v>
      </c>
      <c r="G130" s="50" t="e">
        <f>'Product info'!#REF!</f>
        <v>#REF!</v>
      </c>
      <c r="H130" s="50" t="e">
        <f>'Product info'!#REF!</f>
        <v>#REF!</v>
      </c>
      <c r="I130" s="50" t="e">
        <f>'Product info'!#REF!</f>
        <v>#REF!</v>
      </c>
      <c r="J130" s="51" t="e">
        <f>'Product info'!#REF!</f>
        <v>#REF!</v>
      </c>
      <c r="K130" s="52" t="e">
        <f t="shared" si="16"/>
        <v>#REF!</v>
      </c>
      <c r="L130" s="50" t="e">
        <f t="shared" si="17"/>
        <v>#REF!</v>
      </c>
      <c r="M130" s="50" t="e">
        <f t="shared" si="18"/>
        <v>#REF!</v>
      </c>
      <c r="N130" s="50" t="e">
        <f t="shared" si="19"/>
        <v>#REF!</v>
      </c>
      <c r="O130" s="50" t="e">
        <f t="shared" si="20"/>
        <v>#REF!</v>
      </c>
      <c r="P130" s="53" t="e">
        <f t="shared" si="21"/>
        <v>#REF!</v>
      </c>
      <c r="Q130" s="54" t="e">
        <f>'Product info'!#REF!</f>
        <v>#REF!</v>
      </c>
      <c r="R130" s="54" t="e">
        <f>'Product info'!#REF!</f>
        <v>#REF!</v>
      </c>
      <c r="S130" s="54" t="e">
        <f>'Product info'!#REF!</f>
        <v>#REF!</v>
      </c>
      <c r="T130" s="50" t="e">
        <f>'Product info'!#REF!</f>
        <v>#REF!</v>
      </c>
      <c r="U130" s="52" t="e">
        <f t="shared" si="22"/>
        <v>#REF!</v>
      </c>
      <c r="V130" s="50" t="e">
        <f t="shared" si="23"/>
        <v>#REF!</v>
      </c>
      <c r="W130" s="50" t="e">
        <f t="shared" si="24"/>
        <v>#REF!</v>
      </c>
      <c r="X130" s="50" t="e">
        <f t="shared" si="25"/>
        <v>#REF!</v>
      </c>
      <c r="Y130" s="50" t="e">
        <f t="shared" si="26"/>
        <v>#REF!</v>
      </c>
      <c r="Z130" t="e">
        <f t="shared" si="27"/>
        <v>#REF!</v>
      </c>
    </row>
    <row r="131" spans="1:26" x14ac:dyDescent="0.4">
      <c r="A131" t="e">
        <f>'Product info'!#REF!</f>
        <v>#REF!</v>
      </c>
      <c r="B131" t="e">
        <f>'Product info'!#REF!</f>
        <v>#REF!</v>
      </c>
      <c r="C131" t="e">
        <f>'Product info'!#REF!</f>
        <v>#REF!</v>
      </c>
      <c r="D131" s="6" t="e">
        <f>'Product info'!#REF!</f>
        <v>#REF!</v>
      </c>
      <c r="E131" t="e">
        <f t="shared" si="15"/>
        <v>#REF!</v>
      </c>
      <c r="F131" s="50" t="e">
        <f>'Product info'!#REF!</f>
        <v>#REF!</v>
      </c>
      <c r="G131" s="50" t="e">
        <f>'Product info'!#REF!</f>
        <v>#REF!</v>
      </c>
      <c r="H131" s="50" t="e">
        <f>'Product info'!#REF!</f>
        <v>#REF!</v>
      </c>
      <c r="I131" s="50" t="e">
        <f>'Product info'!#REF!</f>
        <v>#REF!</v>
      </c>
      <c r="J131" s="51" t="e">
        <f>'Product info'!#REF!</f>
        <v>#REF!</v>
      </c>
      <c r="K131" s="52" t="e">
        <f t="shared" si="16"/>
        <v>#REF!</v>
      </c>
      <c r="L131" s="50" t="e">
        <f t="shared" si="17"/>
        <v>#REF!</v>
      </c>
      <c r="M131" s="50" t="e">
        <f t="shared" si="18"/>
        <v>#REF!</v>
      </c>
      <c r="N131" s="50" t="e">
        <f t="shared" si="19"/>
        <v>#REF!</v>
      </c>
      <c r="O131" s="50" t="e">
        <f t="shared" si="20"/>
        <v>#REF!</v>
      </c>
      <c r="P131" s="53" t="e">
        <f t="shared" si="21"/>
        <v>#REF!</v>
      </c>
      <c r="Q131" s="54" t="e">
        <f>'Product info'!#REF!</f>
        <v>#REF!</v>
      </c>
      <c r="R131" s="54" t="e">
        <f>'Product info'!#REF!</f>
        <v>#REF!</v>
      </c>
      <c r="S131" s="54" t="e">
        <f>'Product info'!#REF!</f>
        <v>#REF!</v>
      </c>
      <c r="T131" s="50" t="e">
        <f>'Product info'!#REF!</f>
        <v>#REF!</v>
      </c>
      <c r="U131" s="52" t="e">
        <f t="shared" si="22"/>
        <v>#REF!</v>
      </c>
      <c r="V131" s="50" t="e">
        <f t="shared" si="23"/>
        <v>#REF!</v>
      </c>
      <c r="W131" s="50" t="e">
        <f t="shared" si="24"/>
        <v>#REF!</v>
      </c>
      <c r="X131" s="50" t="e">
        <f t="shared" si="25"/>
        <v>#REF!</v>
      </c>
      <c r="Y131" s="50" t="e">
        <f t="shared" si="26"/>
        <v>#REF!</v>
      </c>
      <c r="Z131" t="e">
        <f t="shared" si="27"/>
        <v>#REF!</v>
      </c>
    </row>
    <row r="132" spans="1:26" x14ac:dyDescent="0.4">
      <c r="A132" t="e">
        <f>'Product info'!#REF!</f>
        <v>#REF!</v>
      </c>
      <c r="B132" t="e">
        <f>'Product info'!#REF!</f>
        <v>#REF!</v>
      </c>
      <c r="C132" t="e">
        <f>'Product info'!#REF!</f>
        <v>#REF!</v>
      </c>
      <c r="D132" s="6" t="e">
        <f>'Product info'!#REF!</f>
        <v>#REF!</v>
      </c>
      <c r="E132" t="e">
        <f t="shared" ref="E132:E195" si="28">F132&amp;"*"&amp;G132&amp;"*"&amp;H132</f>
        <v>#REF!</v>
      </c>
      <c r="F132" s="50" t="e">
        <f>'Product info'!#REF!</f>
        <v>#REF!</v>
      </c>
      <c r="G132" s="50" t="e">
        <f>'Product info'!#REF!</f>
        <v>#REF!</v>
      </c>
      <c r="H132" s="50" t="e">
        <f>'Product info'!#REF!</f>
        <v>#REF!</v>
      </c>
      <c r="I132" s="50" t="e">
        <f>'Product info'!#REF!</f>
        <v>#REF!</v>
      </c>
      <c r="J132" s="51" t="e">
        <f>'Product info'!#REF!</f>
        <v>#REF!</v>
      </c>
      <c r="K132" s="52" t="e">
        <f t="shared" ref="K132:K195" si="29">F132*G132*H132/(100*100*100)</f>
        <v>#REF!</v>
      </c>
      <c r="L132" s="50" t="e">
        <f t="shared" ref="L132:L195" si="30">F132*0.393701</f>
        <v>#REF!</v>
      </c>
      <c r="M132" s="50" t="e">
        <f t="shared" ref="M132:M195" si="31">G132*0.393701</f>
        <v>#REF!</v>
      </c>
      <c r="N132" s="50" t="e">
        <f t="shared" ref="N132:N195" si="32">H132*0.393701</f>
        <v>#REF!</v>
      </c>
      <c r="O132" s="50" t="e">
        <f t="shared" ref="O132:O195" si="33">I132*2.20462</f>
        <v>#REF!</v>
      </c>
      <c r="P132" s="53" t="e">
        <f t="shared" ref="P132:P195" si="34">Q132&amp;"*"&amp;R132&amp;"*"&amp;S132</f>
        <v>#REF!</v>
      </c>
      <c r="Q132" s="54" t="e">
        <f>'Product info'!#REF!</f>
        <v>#REF!</v>
      </c>
      <c r="R132" s="54" t="e">
        <f>'Product info'!#REF!</f>
        <v>#REF!</v>
      </c>
      <c r="S132" s="54" t="e">
        <f>'Product info'!#REF!</f>
        <v>#REF!</v>
      </c>
      <c r="T132" s="50" t="e">
        <f>'Product info'!#REF!</f>
        <v>#REF!</v>
      </c>
      <c r="U132" s="52" t="e">
        <f t="shared" ref="U132:U195" si="35">Q132*R132*S132/(100*100*100)</f>
        <v>#REF!</v>
      </c>
      <c r="V132" s="50" t="e">
        <f t="shared" ref="V132:V195" si="36">Q132*0.393701</f>
        <v>#REF!</v>
      </c>
      <c r="W132" s="50" t="e">
        <f t="shared" ref="W132:W195" si="37">R132*0.393701</f>
        <v>#REF!</v>
      </c>
      <c r="X132" s="50" t="e">
        <f t="shared" ref="X132:X195" si="38">S132*0.393701</f>
        <v>#REF!</v>
      </c>
      <c r="Y132" s="50" t="e">
        <f t="shared" ref="Y132:Y195" si="39">T132*2.20462</f>
        <v>#REF!</v>
      </c>
      <c r="Z132" t="e">
        <f t="shared" ref="Z132:Z195" si="40">K132/J132</f>
        <v>#REF!</v>
      </c>
    </row>
    <row r="133" spans="1:26" x14ac:dyDescent="0.4">
      <c r="A133" t="e">
        <f>'Product info'!#REF!</f>
        <v>#REF!</v>
      </c>
      <c r="B133" t="e">
        <f>'Product info'!#REF!</f>
        <v>#REF!</v>
      </c>
      <c r="C133" t="e">
        <f>'Product info'!#REF!</f>
        <v>#REF!</v>
      </c>
      <c r="D133" s="6" t="e">
        <f>'Product info'!#REF!</f>
        <v>#REF!</v>
      </c>
      <c r="E133" t="e">
        <f t="shared" si="28"/>
        <v>#REF!</v>
      </c>
      <c r="F133" s="50" t="e">
        <f>'Product info'!#REF!</f>
        <v>#REF!</v>
      </c>
      <c r="G133" s="50" t="e">
        <f>'Product info'!#REF!</f>
        <v>#REF!</v>
      </c>
      <c r="H133" s="50" t="e">
        <f>'Product info'!#REF!</f>
        <v>#REF!</v>
      </c>
      <c r="I133" s="50" t="e">
        <f>'Product info'!#REF!</f>
        <v>#REF!</v>
      </c>
      <c r="J133" s="51" t="e">
        <f>'Product info'!#REF!</f>
        <v>#REF!</v>
      </c>
      <c r="K133" s="52" t="e">
        <f t="shared" si="29"/>
        <v>#REF!</v>
      </c>
      <c r="L133" s="50" t="e">
        <f t="shared" si="30"/>
        <v>#REF!</v>
      </c>
      <c r="M133" s="50" t="e">
        <f t="shared" si="31"/>
        <v>#REF!</v>
      </c>
      <c r="N133" s="50" t="e">
        <f t="shared" si="32"/>
        <v>#REF!</v>
      </c>
      <c r="O133" s="50" t="e">
        <f t="shared" si="33"/>
        <v>#REF!</v>
      </c>
      <c r="P133" s="53" t="e">
        <f t="shared" si="34"/>
        <v>#REF!</v>
      </c>
      <c r="Q133" s="54" t="e">
        <f>'Product info'!#REF!</f>
        <v>#REF!</v>
      </c>
      <c r="R133" s="54" t="e">
        <f>'Product info'!#REF!</f>
        <v>#REF!</v>
      </c>
      <c r="S133" s="54" t="e">
        <f>'Product info'!#REF!</f>
        <v>#REF!</v>
      </c>
      <c r="T133" s="50" t="e">
        <f>'Product info'!#REF!</f>
        <v>#REF!</v>
      </c>
      <c r="U133" s="52" t="e">
        <f t="shared" si="35"/>
        <v>#REF!</v>
      </c>
      <c r="V133" s="50" t="e">
        <f t="shared" si="36"/>
        <v>#REF!</v>
      </c>
      <c r="W133" s="50" t="e">
        <f t="shared" si="37"/>
        <v>#REF!</v>
      </c>
      <c r="X133" s="50" t="e">
        <f t="shared" si="38"/>
        <v>#REF!</v>
      </c>
      <c r="Y133" s="50" t="e">
        <f t="shared" si="39"/>
        <v>#REF!</v>
      </c>
      <c r="Z133" t="e">
        <f t="shared" si="40"/>
        <v>#REF!</v>
      </c>
    </row>
    <row r="134" spans="1:26" x14ac:dyDescent="0.4">
      <c r="A134" t="e">
        <f>'Product info'!#REF!</f>
        <v>#REF!</v>
      </c>
      <c r="B134" t="e">
        <f>'Product info'!#REF!</f>
        <v>#REF!</v>
      </c>
      <c r="C134" t="e">
        <f>'Product info'!#REF!</f>
        <v>#REF!</v>
      </c>
      <c r="D134" s="6" t="e">
        <f>'Product info'!#REF!</f>
        <v>#REF!</v>
      </c>
      <c r="E134" t="e">
        <f t="shared" si="28"/>
        <v>#REF!</v>
      </c>
      <c r="F134" s="50" t="e">
        <f>'Product info'!#REF!</f>
        <v>#REF!</v>
      </c>
      <c r="G134" s="50" t="e">
        <f>'Product info'!#REF!</f>
        <v>#REF!</v>
      </c>
      <c r="H134" s="50" t="e">
        <f>'Product info'!#REF!</f>
        <v>#REF!</v>
      </c>
      <c r="I134" s="50" t="e">
        <f>'Product info'!#REF!</f>
        <v>#REF!</v>
      </c>
      <c r="J134" s="51" t="e">
        <f>'Product info'!#REF!</f>
        <v>#REF!</v>
      </c>
      <c r="K134" s="52" t="e">
        <f t="shared" si="29"/>
        <v>#REF!</v>
      </c>
      <c r="L134" s="50" t="e">
        <f t="shared" si="30"/>
        <v>#REF!</v>
      </c>
      <c r="M134" s="50" t="e">
        <f t="shared" si="31"/>
        <v>#REF!</v>
      </c>
      <c r="N134" s="50" t="e">
        <f t="shared" si="32"/>
        <v>#REF!</v>
      </c>
      <c r="O134" s="50" t="e">
        <f t="shared" si="33"/>
        <v>#REF!</v>
      </c>
      <c r="P134" s="53" t="e">
        <f t="shared" si="34"/>
        <v>#REF!</v>
      </c>
      <c r="Q134" s="54" t="e">
        <f>'Product info'!#REF!</f>
        <v>#REF!</v>
      </c>
      <c r="R134" s="54" t="e">
        <f>'Product info'!#REF!</f>
        <v>#REF!</v>
      </c>
      <c r="S134" s="54" t="e">
        <f>'Product info'!#REF!</f>
        <v>#REF!</v>
      </c>
      <c r="T134" s="50" t="e">
        <f>'Product info'!#REF!</f>
        <v>#REF!</v>
      </c>
      <c r="U134" s="52" t="e">
        <f t="shared" si="35"/>
        <v>#REF!</v>
      </c>
      <c r="V134" s="50" t="e">
        <f t="shared" si="36"/>
        <v>#REF!</v>
      </c>
      <c r="W134" s="50" t="e">
        <f t="shared" si="37"/>
        <v>#REF!</v>
      </c>
      <c r="X134" s="50" t="e">
        <f t="shared" si="38"/>
        <v>#REF!</v>
      </c>
      <c r="Y134" s="50" t="e">
        <f t="shared" si="39"/>
        <v>#REF!</v>
      </c>
      <c r="Z134" t="e">
        <f t="shared" si="40"/>
        <v>#REF!</v>
      </c>
    </row>
    <row r="135" spans="1:26" x14ac:dyDescent="0.4">
      <c r="A135" t="e">
        <f>'Product info'!#REF!</f>
        <v>#REF!</v>
      </c>
      <c r="B135" t="e">
        <f>'Product info'!#REF!</f>
        <v>#REF!</v>
      </c>
      <c r="C135" t="e">
        <f>'Product info'!#REF!</f>
        <v>#REF!</v>
      </c>
      <c r="D135" s="6" t="e">
        <f>'Product info'!#REF!</f>
        <v>#REF!</v>
      </c>
      <c r="E135" t="e">
        <f t="shared" si="28"/>
        <v>#REF!</v>
      </c>
      <c r="F135" s="50" t="e">
        <f>'Product info'!#REF!</f>
        <v>#REF!</v>
      </c>
      <c r="G135" s="50" t="e">
        <f>'Product info'!#REF!</f>
        <v>#REF!</v>
      </c>
      <c r="H135" s="50" t="e">
        <f>'Product info'!#REF!</f>
        <v>#REF!</v>
      </c>
      <c r="I135" s="50" t="e">
        <f>'Product info'!#REF!</f>
        <v>#REF!</v>
      </c>
      <c r="J135" s="51" t="e">
        <f>'Product info'!#REF!</f>
        <v>#REF!</v>
      </c>
      <c r="K135" s="52" t="e">
        <f t="shared" si="29"/>
        <v>#REF!</v>
      </c>
      <c r="L135" s="50" t="e">
        <f t="shared" si="30"/>
        <v>#REF!</v>
      </c>
      <c r="M135" s="50" t="e">
        <f t="shared" si="31"/>
        <v>#REF!</v>
      </c>
      <c r="N135" s="50" t="e">
        <f t="shared" si="32"/>
        <v>#REF!</v>
      </c>
      <c r="O135" s="50" t="e">
        <f t="shared" si="33"/>
        <v>#REF!</v>
      </c>
      <c r="P135" s="53" t="e">
        <f t="shared" si="34"/>
        <v>#REF!</v>
      </c>
      <c r="Q135" s="54" t="e">
        <f>'Product info'!#REF!</f>
        <v>#REF!</v>
      </c>
      <c r="R135" s="54" t="e">
        <f>'Product info'!#REF!</f>
        <v>#REF!</v>
      </c>
      <c r="S135" s="54" t="e">
        <f>'Product info'!#REF!</f>
        <v>#REF!</v>
      </c>
      <c r="T135" s="50" t="e">
        <f>'Product info'!#REF!</f>
        <v>#REF!</v>
      </c>
      <c r="U135" s="52" t="e">
        <f t="shared" si="35"/>
        <v>#REF!</v>
      </c>
      <c r="V135" s="50" t="e">
        <f t="shared" si="36"/>
        <v>#REF!</v>
      </c>
      <c r="W135" s="50" t="e">
        <f t="shared" si="37"/>
        <v>#REF!</v>
      </c>
      <c r="X135" s="50" t="e">
        <f t="shared" si="38"/>
        <v>#REF!</v>
      </c>
      <c r="Y135" s="50" t="e">
        <f t="shared" si="39"/>
        <v>#REF!</v>
      </c>
      <c r="Z135" t="e">
        <f t="shared" si="40"/>
        <v>#REF!</v>
      </c>
    </row>
    <row r="136" spans="1:26" x14ac:dyDescent="0.4">
      <c r="A136" t="e">
        <f>'Product info'!#REF!</f>
        <v>#REF!</v>
      </c>
      <c r="B136" t="e">
        <f>'Product info'!#REF!</f>
        <v>#REF!</v>
      </c>
      <c r="C136" t="e">
        <f>'Product info'!#REF!</f>
        <v>#REF!</v>
      </c>
      <c r="D136" s="6" t="e">
        <f>'Product info'!#REF!</f>
        <v>#REF!</v>
      </c>
      <c r="E136" t="e">
        <f t="shared" si="28"/>
        <v>#REF!</v>
      </c>
      <c r="F136" s="50" t="e">
        <f>'Product info'!#REF!</f>
        <v>#REF!</v>
      </c>
      <c r="G136" s="50" t="e">
        <f>'Product info'!#REF!</f>
        <v>#REF!</v>
      </c>
      <c r="H136" s="50" t="e">
        <f>'Product info'!#REF!</f>
        <v>#REF!</v>
      </c>
      <c r="I136" s="50" t="e">
        <f>'Product info'!#REF!</f>
        <v>#REF!</v>
      </c>
      <c r="J136" s="51" t="e">
        <f>'Product info'!#REF!</f>
        <v>#REF!</v>
      </c>
      <c r="K136" s="52" t="e">
        <f t="shared" si="29"/>
        <v>#REF!</v>
      </c>
      <c r="L136" s="50" t="e">
        <f t="shared" si="30"/>
        <v>#REF!</v>
      </c>
      <c r="M136" s="50" t="e">
        <f t="shared" si="31"/>
        <v>#REF!</v>
      </c>
      <c r="N136" s="50" t="e">
        <f t="shared" si="32"/>
        <v>#REF!</v>
      </c>
      <c r="O136" s="50" t="e">
        <f t="shared" si="33"/>
        <v>#REF!</v>
      </c>
      <c r="P136" s="53" t="e">
        <f t="shared" si="34"/>
        <v>#REF!</v>
      </c>
      <c r="Q136" s="54" t="e">
        <f>'Product info'!#REF!</f>
        <v>#REF!</v>
      </c>
      <c r="R136" s="54" t="e">
        <f>'Product info'!#REF!</f>
        <v>#REF!</v>
      </c>
      <c r="S136" s="54" t="e">
        <f>'Product info'!#REF!</f>
        <v>#REF!</v>
      </c>
      <c r="T136" s="50" t="e">
        <f>'Product info'!#REF!</f>
        <v>#REF!</v>
      </c>
      <c r="U136" s="52" t="e">
        <f t="shared" si="35"/>
        <v>#REF!</v>
      </c>
      <c r="V136" s="50" t="e">
        <f t="shared" si="36"/>
        <v>#REF!</v>
      </c>
      <c r="W136" s="50" t="e">
        <f t="shared" si="37"/>
        <v>#REF!</v>
      </c>
      <c r="X136" s="50" t="e">
        <f t="shared" si="38"/>
        <v>#REF!</v>
      </c>
      <c r="Y136" s="50" t="e">
        <f t="shared" si="39"/>
        <v>#REF!</v>
      </c>
      <c r="Z136" t="e">
        <f t="shared" si="40"/>
        <v>#REF!</v>
      </c>
    </row>
    <row r="137" spans="1:26" x14ac:dyDescent="0.4">
      <c r="A137" t="e">
        <f>'Product info'!#REF!</f>
        <v>#REF!</v>
      </c>
      <c r="B137" t="e">
        <f>'Product info'!#REF!</f>
        <v>#REF!</v>
      </c>
      <c r="C137" t="e">
        <f>'Product info'!#REF!</f>
        <v>#REF!</v>
      </c>
      <c r="D137" s="6" t="e">
        <f>'Product info'!#REF!</f>
        <v>#REF!</v>
      </c>
      <c r="E137" t="e">
        <f t="shared" si="28"/>
        <v>#REF!</v>
      </c>
      <c r="F137" s="50" t="e">
        <f>'Product info'!#REF!</f>
        <v>#REF!</v>
      </c>
      <c r="G137" s="50" t="e">
        <f>'Product info'!#REF!</f>
        <v>#REF!</v>
      </c>
      <c r="H137" s="50" t="e">
        <f>'Product info'!#REF!</f>
        <v>#REF!</v>
      </c>
      <c r="I137" s="50" t="e">
        <f>'Product info'!#REF!</f>
        <v>#REF!</v>
      </c>
      <c r="J137" s="51" t="e">
        <f>'Product info'!#REF!</f>
        <v>#REF!</v>
      </c>
      <c r="K137" s="52" t="e">
        <f t="shared" si="29"/>
        <v>#REF!</v>
      </c>
      <c r="L137" s="50" t="e">
        <f t="shared" si="30"/>
        <v>#REF!</v>
      </c>
      <c r="M137" s="50" t="e">
        <f t="shared" si="31"/>
        <v>#REF!</v>
      </c>
      <c r="N137" s="50" t="e">
        <f t="shared" si="32"/>
        <v>#REF!</v>
      </c>
      <c r="O137" s="50" t="e">
        <f t="shared" si="33"/>
        <v>#REF!</v>
      </c>
      <c r="P137" s="53" t="e">
        <f t="shared" si="34"/>
        <v>#REF!</v>
      </c>
      <c r="Q137" s="54" t="e">
        <f>'Product info'!#REF!</f>
        <v>#REF!</v>
      </c>
      <c r="R137" s="54" t="e">
        <f>'Product info'!#REF!</f>
        <v>#REF!</v>
      </c>
      <c r="S137" s="54" t="e">
        <f>'Product info'!#REF!</f>
        <v>#REF!</v>
      </c>
      <c r="T137" s="50" t="e">
        <f>'Product info'!#REF!</f>
        <v>#REF!</v>
      </c>
      <c r="U137" s="52" t="e">
        <f t="shared" si="35"/>
        <v>#REF!</v>
      </c>
      <c r="V137" s="50" t="e">
        <f t="shared" si="36"/>
        <v>#REF!</v>
      </c>
      <c r="W137" s="50" t="e">
        <f t="shared" si="37"/>
        <v>#REF!</v>
      </c>
      <c r="X137" s="50" t="e">
        <f t="shared" si="38"/>
        <v>#REF!</v>
      </c>
      <c r="Y137" s="50" t="e">
        <f t="shared" si="39"/>
        <v>#REF!</v>
      </c>
      <c r="Z137" t="e">
        <f t="shared" si="40"/>
        <v>#REF!</v>
      </c>
    </row>
    <row r="138" spans="1:26" x14ac:dyDescent="0.4">
      <c r="A138" t="e">
        <f>'Product info'!#REF!</f>
        <v>#REF!</v>
      </c>
      <c r="B138" t="e">
        <f>'Product info'!#REF!</f>
        <v>#REF!</v>
      </c>
      <c r="C138" t="e">
        <f>'Product info'!#REF!</f>
        <v>#REF!</v>
      </c>
      <c r="D138" s="6" t="e">
        <f>'Product info'!#REF!</f>
        <v>#REF!</v>
      </c>
      <c r="E138" t="e">
        <f t="shared" si="28"/>
        <v>#REF!</v>
      </c>
      <c r="F138" s="50" t="e">
        <f>'Product info'!#REF!</f>
        <v>#REF!</v>
      </c>
      <c r="G138" s="50" t="e">
        <f>'Product info'!#REF!</f>
        <v>#REF!</v>
      </c>
      <c r="H138" s="50" t="e">
        <f>'Product info'!#REF!</f>
        <v>#REF!</v>
      </c>
      <c r="I138" s="50" t="e">
        <f>'Product info'!#REF!</f>
        <v>#REF!</v>
      </c>
      <c r="J138" s="51" t="e">
        <f>'Product info'!#REF!</f>
        <v>#REF!</v>
      </c>
      <c r="K138" s="52" t="e">
        <f t="shared" si="29"/>
        <v>#REF!</v>
      </c>
      <c r="L138" s="50" t="e">
        <f t="shared" si="30"/>
        <v>#REF!</v>
      </c>
      <c r="M138" s="50" t="e">
        <f t="shared" si="31"/>
        <v>#REF!</v>
      </c>
      <c r="N138" s="50" t="e">
        <f t="shared" si="32"/>
        <v>#REF!</v>
      </c>
      <c r="O138" s="50" t="e">
        <f t="shared" si="33"/>
        <v>#REF!</v>
      </c>
      <c r="P138" s="53" t="e">
        <f t="shared" si="34"/>
        <v>#REF!</v>
      </c>
      <c r="Q138" s="54" t="e">
        <f>'Product info'!#REF!</f>
        <v>#REF!</v>
      </c>
      <c r="R138" s="54" t="e">
        <f>'Product info'!#REF!</f>
        <v>#REF!</v>
      </c>
      <c r="S138" s="54" t="e">
        <f>'Product info'!#REF!</f>
        <v>#REF!</v>
      </c>
      <c r="T138" s="50" t="e">
        <f>'Product info'!#REF!</f>
        <v>#REF!</v>
      </c>
      <c r="U138" s="52" t="e">
        <f t="shared" si="35"/>
        <v>#REF!</v>
      </c>
      <c r="V138" s="50" t="e">
        <f t="shared" si="36"/>
        <v>#REF!</v>
      </c>
      <c r="W138" s="50" t="e">
        <f t="shared" si="37"/>
        <v>#REF!</v>
      </c>
      <c r="X138" s="50" t="e">
        <f t="shared" si="38"/>
        <v>#REF!</v>
      </c>
      <c r="Y138" s="50" t="e">
        <f t="shared" si="39"/>
        <v>#REF!</v>
      </c>
      <c r="Z138" t="e">
        <f t="shared" si="40"/>
        <v>#REF!</v>
      </c>
    </row>
    <row r="139" spans="1:26" x14ac:dyDescent="0.4">
      <c r="A139" t="e">
        <f>'Product info'!#REF!</f>
        <v>#REF!</v>
      </c>
      <c r="B139" t="e">
        <f>'Product info'!#REF!</f>
        <v>#REF!</v>
      </c>
      <c r="C139" t="e">
        <f>'Product info'!#REF!</f>
        <v>#REF!</v>
      </c>
      <c r="D139" s="6" t="e">
        <f>'Product info'!#REF!</f>
        <v>#REF!</v>
      </c>
      <c r="E139" t="e">
        <f t="shared" si="28"/>
        <v>#REF!</v>
      </c>
      <c r="F139" s="50" t="e">
        <f>'Product info'!#REF!</f>
        <v>#REF!</v>
      </c>
      <c r="G139" s="50" t="e">
        <f>'Product info'!#REF!</f>
        <v>#REF!</v>
      </c>
      <c r="H139" s="50" t="e">
        <f>'Product info'!#REF!</f>
        <v>#REF!</v>
      </c>
      <c r="I139" s="50" t="e">
        <f>'Product info'!#REF!</f>
        <v>#REF!</v>
      </c>
      <c r="J139" s="51" t="e">
        <f>'Product info'!#REF!</f>
        <v>#REF!</v>
      </c>
      <c r="K139" s="52" t="e">
        <f t="shared" si="29"/>
        <v>#REF!</v>
      </c>
      <c r="L139" s="50" t="e">
        <f t="shared" si="30"/>
        <v>#REF!</v>
      </c>
      <c r="M139" s="50" t="e">
        <f t="shared" si="31"/>
        <v>#REF!</v>
      </c>
      <c r="N139" s="50" t="e">
        <f t="shared" si="32"/>
        <v>#REF!</v>
      </c>
      <c r="O139" s="50" t="e">
        <f t="shared" si="33"/>
        <v>#REF!</v>
      </c>
      <c r="P139" s="53" t="e">
        <f t="shared" si="34"/>
        <v>#REF!</v>
      </c>
      <c r="Q139" s="54" t="e">
        <f>'Product info'!#REF!</f>
        <v>#REF!</v>
      </c>
      <c r="R139" s="54" t="e">
        <f>'Product info'!#REF!</f>
        <v>#REF!</v>
      </c>
      <c r="S139" s="54" t="e">
        <f>'Product info'!#REF!</f>
        <v>#REF!</v>
      </c>
      <c r="T139" s="50" t="e">
        <f>'Product info'!#REF!</f>
        <v>#REF!</v>
      </c>
      <c r="U139" s="52" t="e">
        <f t="shared" si="35"/>
        <v>#REF!</v>
      </c>
      <c r="V139" s="50" t="e">
        <f t="shared" si="36"/>
        <v>#REF!</v>
      </c>
      <c r="W139" s="50" t="e">
        <f t="shared" si="37"/>
        <v>#REF!</v>
      </c>
      <c r="X139" s="50" t="e">
        <f t="shared" si="38"/>
        <v>#REF!</v>
      </c>
      <c r="Y139" s="50" t="e">
        <f t="shared" si="39"/>
        <v>#REF!</v>
      </c>
      <c r="Z139" t="e">
        <f t="shared" si="40"/>
        <v>#REF!</v>
      </c>
    </row>
    <row r="140" spans="1:26" x14ac:dyDescent="0.4">
      <c r="A140" t="e">
        <f>'Product info'!#REF!</f>
        <v>#REF!</v>
      </c>
      <c r="B140" t="e">
        <f>'Product info'!#REF!</f>
        <v>#REF!</v>
      </c>
      <c r="C140" t="e">
        <f>'Product info'!#REF!</f>
        <v>#REF!</v>
      </c>
      <c r="D140" s="6" t="e">
        <f>'Product info'!#REF!</f>
        <v>#REF!</v>
      </c>
      <c r="E140" t="e">
        <f t="shared" si="28"/>
        <v>#REF!</v>
      </c>
      <c r="F140" s="50" t="e">
        <f>'Product info'!#REF!</f>
        <v>#REF!</v>
      </c>
      <c r="G140" s="50" t="e">
        <f>'Product info'!#REF!</f>
        <v>#REF!</v>
      </c>
      <c r="H140" s="50" t="e">
        <f>'Product info'!#REF!</f>
        <v>#REF!</v>
      </c>
      <c r="I140" s="50" t="e">
        <f>'Product info'!#REF!</f>
        <v>#REF!</v>
      </c>
      <c r="J140" s="51" t="e">
        <f>'Product info'!#REF!</f>
        <v>#REF!</v>
      </c>
      <c r="K140" s="52" t="e">
        <f t="shared" si="29"/>
        <v>#REF!</v>
      </c>
      <c r="L140" s="50" t="e">
        <f t="shared" si="30"/>
        <v>#REF!</v>
      </c>
      <c r="M140" s="50" t="e">
        <f t="shared" si="31"/>
        <v>#REF!</v>
      </c>
      <c r="N140" s="50" t="e">
        <f t="shared" si="32"/>
        <v>#REF!</v>
      </c>
      <c r="O140" s="50" t="e">
        <f t="shared" si="33"/>
        <v>#REF!</v>
      </c>
      <c r="P140" s="53" t="e">
        <f t="shared" si="34"/>
        <v>#REF!</v>
      </c>
      <c r="Q140" s="54" t="e">
        <f>'Product info'!#REF!</f>
        <v>#REF!</v>
      </c>
      <c r="R140" s="54" t="e">
        <f>'Product info'!#REF!</f>
        <v>#REF!</v>
      </c>
      <c r="S140" s="54" t="e">
        <f>'Product info'!#REF!</f>
        <v>#REF!</v>
      </c>
      <c r="T140" s="50" t="e">
        <f>'Product info'!#REF!</f>
        <v>#REF!</v>
      </c>
      <c r="U140" s="52" t="e">
        <f t="shared" si="35"/>
        <v>#REF!</v>
      </c>
      <c r="V140" s="50" t="e">
        <f t="shared" si="36"/>
        <v>#REF!</v>
      </c>
      <c r="W140" s="50" t="e">
        <f t="shared" si="37"/>
        <v>#REF!</v>
      </c>
      <c r="X140" s="50" t="e">
        <f t="shared" si="38"/>
        <v>#REF!</v>
      </c>
      <c r="Y140" s="50" t="e">
        <f t="shared" si="39"/>
        <v>#REF!</v>
      </c>
      <c r="Z140" t="e">
        <f t="shared" si="40"/>
        <v>#REF!</v>
      </c>
    </row>
    <row r="141" spans="1:26" x14ac:dyDescent="0.4">
      <c r="A141" t="e">
        <f>'Product info'!#REF!</f>
        <v>#REF!</v>
      </c>
      <c r="B141" t="e">
        <f>'Product info'!#REF!</f>
        <v>#REF!</v>
      </c>
      <c r="C141" t="e">
        <f>'Product info'!#REF!</f>
        <v>#REF!</v>
      </c>
      <c r="D141" s="6" t="e">
        <f>'Product info'!#REF!</f>
        <v>#REF!</v>
      </c>
      <c r="E141" t="e">
        <f t="shared" si="28"/>
        <v>#REF!</v>
      </c>
      <c r="F141" s="50" t="e">
        <f>'Product info'!#REF!</f>
        <v>#REF!</v>
      </c>
      <c r="G141" s="50" t="e">
        <f>'Product info'!#REF!</f>
        <v>#REF!</v>
      </c>
      <c r="H141" s="50" t="e">
        <f>'Product info'!#REF!</f>
        <v>#REF!</v>
      </c>
      <c r="I141" s="50" t="e">
        <f>'Product info'!#REF!</f>
        <v>#REF!</v>
      </c>
      <c r="J141" s="51" t="e">
        <f>'Product info'!#REF!</f>
        <v>#REF!</v>
      </c>
      <c r="K141" s="52" t="e">
        <f t="shared" si="29"/>
        <v>#REF!</v>
      </c>
      <c r="L141" s="50" t="e">
        <f t="shared" si="30"/>
        <v>#REF!</v>
      </c>
      <c r="M141" s="50" t="e">
        <f t="shared" si="31"/>
        <v>#REF!</v>
      </c>
      <c r="N141" s="50" t="e">
        <f t="shared" si="32"/>
        <v>#REF!</v>
      </c>
      <c r="O141" s="50" t="e">
        <f t="shared" si="33"/>
        <v>#REF!</v>
      </c>
      <c r="P141" s="53" t="e">
        <f t="shared" si="34"/>
        <v>#REF!</v>
      </c>
      <c r="Q141" s="54" t="e">
        <f>'Product info'!#REF!</f>
        <v>#REF!</v>
      </c>
      <c r="R141" s="54" t="e">
        <f>'Product info'!#REF!</f>
        <v>#REF!</v>
      </c>
      <c r="S141" s="54" t="e">
        <f>'Product info'!#REF!</f>
        <v>#REF!</v>
      </c>
      <c r="T141" s="50" t="e">
        <f>'Product info'!#REF!</f>
        <v>#REF!</v>
      </c>
      <c r="U141" s="52" t="e">
        <f t="shared" si="35"/>
        <v>#REF!</v>
      </c>
      <c r="V141" s="50" t="e">
        <f t="shared" si="36"/>
        <v>#REF!</v>
      </c>
      <c r="W141" s="50" t="e">
        <f t="shared" si="37"/>
        <v>#REF!</v>
      </c>
      <c r="X141" s="50" t="e">
        <f t="shared" si="38"/>
        <v>#REF!</v>
      </c>
      <c r="Y141" s="50" t="e">
        <f t="shared" si="39"/>
        <v>#REF!</v>
      </c>
      <c r="Z141" t="e">
        <f t="shared" si="40"/>
        <v>#REF!</v>
      </c>
    </row>
    <row r="142" spans="1:26" x14ac:dyDescent="0.4">
      <c r="A142" t="e">
        <f>'Product info'!#REF!</f>
        <v>#REF!</v>
      </c>
      <c r="B142" t="e">
        <f>'Product info'!#REF!</f>
        <v>#REF!</v>
      </c>
      <c r="C142" t="e">
        <f>'Product info'!#REF!</f>
        <v>#REF!</v>
      </c>
      <c r="D142" s="6" t="e">
        <f>'Product info'!#REF!</f>
        <v>#REF!</v>
      </c>
      <c r="E142" t="e">
        <f t="shared" si="28"/>
        <v>#REF!</v>
      </c>
      <c r="F142" s="50" t="e">
        <f>'Product info'!#REF!</f>
        <v>#REF!</v>
      </c>
      <c r="G142" s="50" t="e">
        <f>'Product info'!#REF!</f>
        <v>#REF!</v>
      </c>
      <c r="H142" s="50" t="e">
        <f>'Product info'!#REF!</f>
        <v>#REF!</v>
      </c>
      <c r="I142" s="50" t="e">
        <f>'Product info'!#REF!</f>
        <v>#REF!</v>
      </c>
      <c r="J142" s="51" t="e">
        <f>'Product info'!#REF!</f>
        <v>#REF!</v>
      </c>
      <c r="K142" s="52" t="e">
        <f t="shared" si="29"/>
        <v>#REF!</v>
      </c>
      <c r="L142" s="50" t="e">
        <f t="shared" si="30"/>
        <v>#REF!</v>
      </c>
      <c r="M142" s="50" t="e">
        <f t="shared" si="31"/>
        <v>#REF!</v>
      </c>
      <c r="N142" s="50" t="e">
        <f t="shared" si="32"/>
        <v>#REF!</v>
      </c>
      <c r="O142" s="50" t="e">
        <f t="shared" si="33"/>
        <v>#REF!</v>
      </c>
      <c r="P142" s="53" t="e">
        <f t="shared" si="34"/>
        <v>#REF!</v>
      </c>
      <c r="Q142" s="54" t="e">
        <f>'Product info'!#REF!</f>
        <v>#REF!</v>
      </c>
      <c r="R142" s="54" t="e">
        <f>'Product info'!#REF!</f>
        <v>#REF!</v>
      </c>
      <c r="S142" s="54" t="e">
        <f>'Product info'!#REF!</f>
        <v>#REF!</v>
      </c>
      <c r="T142" s="50" t="e">
        <f>'Product info'!#REF!</f>
        <v>#REF!</v>
      </c>
      <c r="U142" s="52" t="e">
        <f t="shared" si="35"/>
        <v>#REF!</v>
      </c>
      <c r="V142" s="50" t="e">
        <f t="shared" si="36"/>
        <v>#REF!</v>
      </c>
      <c r="W142" s="50" t="e">
        <f t="shared" si="37"/>
        <v>#REF!</v>
      </c>
      <c r="X142" s="50" t="e">
        <f t="shared" si="38"/>
        <v>#REF!</v>
      </c>
      <c r="Y142" s="50" t="e">
        <f t="shared" si="39"/>
        <v>#REF!</v>
      </c>
      <c r="Z142" t="e">
        <f t="shared" si="40"/>
        <v>#REF!</v>
      </c>
    </row>
    <row r="143" spans="1:26" x14ac:dyDescent="0.4">
      <c r="A143" t="e">
        <f>'Product info'!#REF!</f>
        <v>#REF!</v>
      </c>
      <c r="B143" t="e">
        <f>'Product info'!#REF!</f>
        <v>#REF!</v>
      </c>
      <c r="C143" t="e">
        <f>'Product info'!#REF!</f>
        <v>#REF!</v>
      </c>
      <c r="D143" s="6" t="e">
        <f>'Product info'!#REF!</f>
        <v>#REF!</v>
      </c>
      <c r="E143" t="e">
        <f t="shared" si="28"/>
        <v>#REF!</v>
      </c>
      <c r="F143" s="50" t="e">
        <f>'Product info'!#REF!</f>
        <v>#REF!</v>
      </c>
      <c r="G143" s="50" t="e">
        <f>'Product info'!#REF!</f>
        <v>#REF!</v>
      </c>
      <c r="H143" s="50" t="e">
        <f>'Product info'!#REF!</f>
        <v>#REF!</v>
      </c>
      <c r="I143" s="50" t="e">
        <f>'Product info'!#REF!</f>
        <v>#REF!</v>
      </c>
      <c r="J143" s="51" t="e">
        <f>'Product info'!#REF!</f>
        <v>#REF!</v>
      </c>
      <c r="K143" s="52" t="e">
        <f t="shared" si="29"/>
        <v>#REF!</v>
      </c>
      <c r="L143" s="50" t="e">
        <f t="shared" si="30"/>
        <v>#REF!</v>
      </c>
      <c r="M143" s="50" t="e">
        <f t="shared" si="31"/>
        <v>#REF!</v>
      </c>
      <c r="N143" s="50" t="e">
        <f t="shared" si="32"/>
        <v>#REF!</v>
      </c>
      <c r="O143" s="50" t="e">
        <f t="shared" si="33"/>
        <v>#REF!</v>
      </c>
      <c r="P143" s="53" t="e">
        <f t="shared" si="34"/>
        <v>#REF!</v>
      </c>
      <c r="Q143" s="54" t="e">
        <f>'Product info'!#REF!</f>
        <v>#REF!</v>
      </c>
      <c r="R143" s="54" t="e">
        <f>'Product info'!#REF!</f>
        <v>#REF!</v>
      </c>
      <c r="S143" s="54" t="e">
        <f>'Product info'!#REF!</f>
        <v>#REF!</v>
      </c>
      <c r="T143" s="50" t="e">
        <f>'Product info'!#REF!</f>
        <v>#REF!</v>
      </c>
      <c r="U143" s="52" t="e">
        <f t="shared" si="35"/>
        <v>#REF!</v>
      </c>
      <c r="V143" s="50" t="e">
        <f t="shared" si="36"/>
        <v>#REF!</v>
      </c>
      <c r="W143" s="50" t="e">
        <f t="shared" si="37"/>
        <v>#REF!</v>
      </c>
      <c r="X143" s="50" t="e">
        <f t="shared" si="38"/>
        <v>#REF!</v>
      </c>
      <c r="Y143" s="50" t="e">
        <f t="shared" si="39"/>
        <v>#REF!</v>
      </c>
      <c r="Z143" t="e">
        <f t="shared" si="40"/>
        <v>#REF!</v>
      </c>
    </row>
    <row r="144" spans="1:26" x14ac:dyDescent="0.4">
      <c r="A144" t="e">
        <f>'Product info'!#REF!</f>
        <v>#REF!</v>
      </c>
      <c r="B144" t="e">
        <f>'Product info'!#REF!</f>
        <v>#REF!</v>
      </c>
      <c r="C144" t="e">
        <f>'Product info'!#REF!</f>
        <v>#REF!</v>
      </c>
      <c r="D144" s="6" t="e">
        <f>'Product info'!#REF!</f>
        <v>#REF!</v>
      </c>
      <c r="E144" t="e">
        <f t="shared" si="28"/>
        <v>#REF!</v>
      </c>
      <c r="F144" s="50" t="e">
        <f>'Product info'!#REF!</f>
        <v>#REF!</v>
      </c>
      <c r="G144" s="50" t="e">
        <f>'Product info'!#REF!</f>
        <v>#REF!</v>
      </c>
      <c r="H144" s="50" t="e">
        <f>'Product info'!#REF!</f>
        <v>#REF!</v>
      </c>
      <c r="I144" s="50" t="e">
        <f>'Product info'!#REF!</f>
        <v>#REF!</v>
      </c>
      <c r="J144" s="51" t="e">
        <f>'Product info'!#REF!</f>
        <v>#REF!</v>
      </c>
      <c r="K144" s="52" t="e">
        <f t="shared" si="29"/>
        <v>#REF!</v>
      </c>
      <c r="L144" s="50" t="e">
        <f t="shared" si="30"/>
        <v>#REF!</v>
      </c>
      <c r="M144" s="50" t="e">
        <f t="shared" si="31"/>
        <v>#REF!</v>
      </c>
      <c r="N144" s="50" t="e">
        <f t="shared" si="32"/>
        <v>#REF!</v>
      </c>
      <c r="O144" s="50" t="e">
        <f t="shared" si="33"/>
        <v>#REF!</v>
      </c>
      <c r="P144" s="53" t="e">
        <f t="shared" si="34"/>
        <v>#REF!</v>
      </c>
      <c r="Q144" s="54" t="e">
        <f>'Product info'!#REF!</f>
        <v>#REF!</v>
      </c>
      <c r="R144" s="54" t="e">
        <f>'Product info'!#REF!</f>
        <v>#REF!</v>
      </c>
      <c r="S144" s="54" t="e">
        <f>'Product info'!#REF!</f>
        <v>#REF!</v>
      </c>
      <c r="T144" s="50" t="e">
        <f>'Product info'!#REF!</f>
        <v>#REF!</v>
      </c>
      <c r="U144" s="52" t="e">
        <f t="shared" si="35"/>
        <v>#REF!</v>
      </c>
      <c r="V144" s="50" t="e">
        <f t="shared" si="36"/>
        <v>#REF!</v>
      </c>
      <c r="W144" s="50" t="e">
        <f t="shared" si="37"/>
        <v>#REF!</v>
      </c>
      <c r="X144" s="50" t="e">
        <f t="shared" si="38"/>
        <v>#REF!</v>
      </c>
      <c r="Y144" s="50" t="e">
        <f t="shared" si="39"/>
        <v>#REF!</v>
      </c>
      <c r="Z144" t="e">
        <f t="shared" si="40"/>
        <v>#REF!</v>
      </c>
    </row>
    <row r="145" spans="1:26" x14ac:dyDescent="0.4">
      <c r="A145" t="e">
        <f>'Product info'!#REF!</f>
        <v>#REF!</v>
      </c>
      <c r="B145" t="e">
        <f>'Product info'!#REF!</f>
        <v>#REF!</v>
      </c>
      <c r="C145" t="e">
        <f>'Product info'!#REF!</f>
        <v>#REF!</v>
      </c>
      <c r="D145" s="6" t="e">
        <f>'Product info'!#REF!</f>
        <v>#REF!</v>
      </c>
      <c r="E145" t="e">
        <f t="shared" si="28"/>
        <v>#REF!</v>
      </c>
      <c r="F145" s="50" t="e">
        <f>'Product info'!#REF!</f>
        <v>#REF!</v>
      </c>
      <c r="G145" s="50" t="e">
        <f>'Product info'!#REF!</f>
        <v>#REF!</v>
      </c>
      <c r="H145" s="50" t="e">
        <f>'Product info'!#REF!</f>
        <v>#REF!</v>
      </c>
      <c r="I145" s="50" t="e">
        <f>'Product info'!#REF!</f>
        <v>#REF!</v>
      </c>
      <c r="J145" s="51" t="e">
        <f>'Product info'!#REF!</f>
        <v>#REF!</v>
      </c>
      <c r="K145" s="52" t="e">
        <f t="shared" si="29"/>
        <v>#REF!</v>
      </c>
      <c r="L145" s="50" t="e">
        <f t="shared" si="30"/>
        <v>#REF!</v>
      </c>
      <c r="M145" s="50" t="e">
        <f t="shared" si="31"/>
        <v>#REF!</v>
      </c>
      <c r="N145" s="50" t="e">
        <f t="shared" si="32"/>
        <v>#REF!</v>
      </c>
      <c r="O145" s="50" t="e">
        <f t="shared" si="33"/>
        <v>#REF!</v>
      </c>
      <c r="P145" s="53" t="e">
        <f t="shared" si="34"/>
        <v>#REF!</v>
      </c>
      <c r="Q145" s="54" t="e">
        <f>'Product info'!#REF!</f>
        <v>#REF!</v>
      </c>
      <c r="R145" s="54" t="e">
        <f>'Product info'!#REF!</f>
        <v>#REF!</v>
      </c>
      <c r="S145" s="54" t="e">
        <f>'Product info'!#REF!</f>
        <v>#REF!</v>
      </c>
      <c r="T145" s="50" t="e">
        <f>'Product info'!#REF!</f>
        <v>#REF!</v>
      </c>
      <c r="U145" s="52" t="e">
        <f t="shared" si="35"/>
        <v>#REF!</v>
      </c>
      <c r="V145" s="50" t="e">
        <f t="shared" si="36"/>
        <v>#REF!</v>
      </c>
      <c r="W145" s="50" t="e">
        <f t="shared" si="37"/>
        <v>#REF!</v>
      </c>
      <c r="X145" s="50" t="e">
        <f t="shared" si="38"/>
        <v>#REF!</v>
      </c>
      <c r="Y145" s="50" t="e">
        <f t="shared" si="39"/>
        <v>#REF!</v>
      </c>
      <c r="Z145" t="e">
        <f t="shared" si="40"/>
        <v>#REF!</v>
      </c>
    </row>
    <row r="146" spans="1:26" x14ac:dyDescent="0.4">
      <c r="A146" t="e">
        <f>'Product info'!#REF!</f>
        <v>#REF!</v>
      </c>
      <c r="B146" t="e">
        <f>'Product info'!#REF!</f>
        <v>#REF!</v>
      </c>
      <c r="C146" t="e">
        <f>'Product info'!#REF!</f>
        <v>#REF!</v>
      </c>
      <c r="D146" s="6" t="e">
        <f>'Product info'!#REF!</f>
        <v>#REF!</v>
      </c>
      <c r="E146" t="e">
        <f t="shared" si="28"/>
        <v>#REF!</v>
      </c>
      <c r="F146" s="50" t="e">
        <f>'Product info'!#REF!</f>
        <v>#REF!</v>
      </c>
      <c r="G146" s="50" t="e">
        <f>'Product info'!#REF!</f>
        <v>#REF!</v>
      </c>
      <c r="H146" s="50" t="e">
        <f>'Product info'!#REF!</f>
        <v>#REF!</v>
      </c>
      <c r="I146" s="50" t="e">
        <f>'Product info'!#REF!</f>
        <v>#REF!</v>
      </c>
      <c r="J146" s="51" t="e">
        <f>'Product info'!#REF!</f>
        <v>#REF!</v>
      </c>
      <c r="K146" s="52" t="e">
        <f t="shared" si="29"/>
        <v>#REF!</v>
      </c>
      <c r="L146" s="50" t="e">
        <f t="shared" si="30"/>
        <v>#REF!</v>
      </c>
      <c r="M146" s="50" t="e">
        <f t="shared" si="31"/>
        <v>#REF!</v>
      </c>
      <c r="N146" s="50" t="e">
        <f t="shared" si="32"/>
        <v>#REF!</v>
      </c>
      <c r="O146" s="50" t="e">
        <f t="shared" si="33"/>
        <v>#REF!</v>
      </c>
      <c r="P146" s="53" t="e">
        <f t="shared" si="34"/>
        <v>#REF!</v>
      </c>
      <c r="Q146" s="54" t="e">
        <f>'Product info'!#REF!</f>
        <v>#REF!</v>
      </c>
      <c r="R146" s="54" t="e">
        <f>'Product info'!#REF!</f>
        <v>#REF!</v>
      </c>
      <c r="S146" s="54" t="e">
        <f>'Product info'!#REF!</f>
        <v>#REF!</v>
      </c>
      <c r="T146" s="50" t="e">
        <f>'Product info'!#REF!</f>
        <v>#REF!</v>
      </c>
      <c r="U146" s="52" t="e">
        <f t="shared" si="35"/>
        <v>#REF!</v>
      </c>
      <c r="V146" s="50" t="e">
        <f t="shared" si="36"/>
        <v>#REF!</v>
      </c>
      <c r="W146" s="50" t="e">
        <f t="shared" si="37"/>
        <v>#REF!</v>
      </c>
      <c r="X146" s="50" t="e">
        <f t="shared" si="38"/>
        <v>#REF!</v>
      </c>
      <c r="Y146" s="50" t="e">
        <f t="shared" si="39"/>
        <v>#REF!</v>
      </c>
      <c r="Z146" t="e">
        <f t="shared" si="40"/>
        <v>#REF!</v>
      </c>
    </row>
    <row r="147" spans="1:26" x14ac:dyDescent="0.4">
      <c r="A147" t="e">
        <f>'Product info'!#REF!</f>
        <v>#REF!</v>
      </c>
      <c r="B147" t="e">
        <f>'Product info'!#REF!</f>
        <v>#REF!</v>
      </c>
      <c r="C147" t="e">
        <f>'Product info'!#REF!</f>
        <v>#REF!</v>
      </c>
      <c r="D147" s="6" t="e">
        <f>'Product info'!#REF!</f>
        <v>#REF!</v>
      </c>
      <c r="E147" t="e">
        <f t="shared" si="28"/>
        <v>#REF!</v>
      </c>
      <c r="F147" s="50" t="e">
        <f>'Product info'!#REF!</f>
        <v>#REF!</v>
      </c>
      <c r="G147" s="50" t="e">
        <f>'Product info'!#REF!</f>
        <v>#REF!</v>
      </c>
      <c r="H147" s="50" t="e">
        <f>'Product info'!#REF!</f>
        <v>#REF!</v>
      </c>
      <c r="I147" s="50" t="e">
        <f>'Product info'!#REF!</f>
        <v>#REF!</v>
      </c>
      <c r="J147" s="51" t="e">
        <f>'Product info'!#REF!</f>
        <v>#REF!</v>
      </c>
      <c r="K147" s="52" t="e">
        <f t="shared" si="29"/>
        <v>#REF!</v>
      </c>
      <c r="L147" s="50" t="e">
        <f t="shared" si="30"/>
        <v>#REF!</v>
      </c>
      <c r="M147" s="50" t="e">
        <f t="shared" si="31"/>
        <v>#REF!</v>
      </c>
      <c r="N147" s="50" t="e">
        <f t="shared" si="32"/>
        <v>#REF!</v>
      </c>
      <c r="O147" s="50" t="e">
        <f t="shared" si="33"/>
        <v>#REF!</v>
      </c>
      <c r="P147" s="53" t="e">
        <f t="shared" si="34"/>
        <v>#REF!</v>
      </c>
      <c r="Q147" s="54" t="e">
        <f>'Product info'!#REF!</f>
        <v>#REF!</v>
      </c>
      <c r="R147" s="54" t="e">
        <f>'Product info'!#REF!</f>
        <v>#REF!</v>
      </c>
      <c r="S147" s="54" t="e">
        <f>'Product info'!#REF!</f>
        <v>#REF!</v>
      </c>
      <c r="T147" s="50" t="e">
        <f>'Product info'!#REF!</f>
        <v>#REF!</v>
      </c>
      <c r="U147" s="52" t="e">
        <f t="shared" si="35"/>
        <v>#REF!</v>
      </c>
      <c r="V147" s="50" t="e">
        <f t="shared" si="36"/>
        <v>#REF!</v>
      </c>
      <c r="W147" s="50" t="e">
        <f t="shared" si="37"/>
        <v>#REF!</v>
      </c>
      <c r="X147" s="50" t="e">
        <f t="shared" si="38"/>
        <v>#REF!</v>
      </c>
      <c r="Y147" s="50" t="e">
        <f t="shared" si="39"/>
        <v>#REF!</v>
      </c>
      <c r="Z147" t="e">
        <f t="shared" si="40"/>
        <v>#REF!</v>
      </c>
    </row>
    <row r="148" spans="1:26" x14ac:dyDescent="0.4">
      <c r="A148" t="e">
        <f>'Product info'!#REF!</f>
        <v>#REF!</v>
      </c>
      <c r="B148" t="e">
        <f>'Product info'!#REF!</f>
        <v>#REF!</v>
      </c>
      <c r="C148" t="e">
        <f>'Product info'!#REF!</f>
        <v>#REF!</v>
      </c>
      <c r="D148" s="6" t="e">
        <f>'Product info'!#REF!</f>
        <v>#REF!</v>
      </c>
      <c r="E148" t="e">
        <f t="shared" si="28"/>
        <v>#REF!</v>
      </c>
      <c r="F148" s="50" t="e">
        <f>'Product info'!#REF!</f>
        <v>#REF!</v>
      </c>
      <c r="G148" s="50" t="e">
        <f>'Product info'!#REF!</f>
        <v>#REF!</v>
      </c>
      <c r="H148" s="50" t="e">
        <f>'Product info'!#REF!</f>
        <v>#REF!</v>
      </c>
      <c r="I148" s="50" t="e">
        <f>'Product info'!#REF!</f>
        <v>#REF!</v>
      </c>
      <c r="J148" s="51" t="e">
        <f>'Product info'!#REF!</f>
        <v>#REF!</v>
      </c>
      <c r="K148" s="52" t="e">
        <f t="shared" si="29"/>
        <v>#REF!</v>
      </c>
      <c r="L148" s="50" t="e">
        <f t="shared" si="30"/>
        <v>#REF!</v>
      </c>
      <c r="M148" s="50" t="e">
        <f t="shared" si="31"/>
        <v>#REF!</v>
      </c>
      <c r="N148" s="50" t="e">
        <f t="shared" si="32"/>
        <v>#REF!</v>
      </c>
      <c r="O148" s="50" t="e">
        <f t="shared" si="33"/>
        <v>#REF!</v>
      </c>
      <c r="P148" s="53" t="e">
        <f t="shared" si="34"/>
        <v>#REF!</v>
      </c>
      <c r="Q148" s="54" t="e">
        <f>'Product info'!#REF!</f>
        <v>#REF!</v>
      </c>
      <c r="R148" s="54" t="e">
        <f>'Product info'!#REF!</f>
        <v>#REF!</v>
      </c>
      <c r="S148" s="54" t="e">
        <f>'Product info'!#REF!</f>
        <v>#REF!</v>
      </c>
      <c r="T148" s="50" t="e">
        <f>'Product info'!#REF!</f>
        <v>#REF!</v>
      </c>
      <c r="U148" s="52" t="e">
        <f t="shared" si="35"/>
        <v>#REF!</v>
      </c>
      <c r="V148" s="50" t="e">
        <f t="shared" si="36"/>
        <v>#REF!</v>
      </c>
      <c r="W148" s="50" t="e">
        <f t="shared" si="37"/>
        <v>#REF!</v>
      </c>
      <c r="X148" s="50" t="e">
        <f t="shared" si="38"/>
        <v>#REF!</v>
      </c>
      <c r="Y148" s="50" t="e">
        <f t="shared" si="39"/>
        <v>#REF!</v>
      </c>
      <c r="Z148" t="e">
        <f t="shared" si="40"/>
        <v>#REF!</v>
      </c>
    </row>
    <row r="149" spans="1:26" x14ac:dyDescent="0.4">
      <c r="A149" t="e">
        <f>'Product info'!#REF!</f>
        <v>#REF!</v>
      </c>
      <c r="B149" t="e">
        <f>'Product info'!#REF!</f>
        <v>#REF!</v>
      </c>
      <c r="C149" t="e">
        <f>'Product info'!#REF!</f>
        <v>#REF!</v>
      </c>
      <c r="D149" s="6" t="e">
        <f>'Product info'!#REF!</f>
        <v>#REF!</v>
      </c>
      <c r="E149" t="e">
        <f t="shared" si="28"/>
        <v>#REF!</v>
      </c>
      <c r="F149" s="50" t="e">
        <f>'Product info'!#REF!</f>
        <v>#REF!</v>
      </c>
      <c r="G149" s="50" t="e">
        <f>'Product info'!#REF!</f>
        <v>#REF!</v>
      </c>
      <c r="H149" s="50" t="e">
        <f>'Product info'!#REF!</f>
        <v>#REF!</v>
      </c>
      <c r="I149" s="50" t="e">
        <f>'Product info'!#REF!</f>
        <v>#REF!</v>
      </c>
      <c r="J149" s="51" t="e">
        <f>'Product info'!#REF!</f>
        <v>#REF!</v>
      </c>
      <c r="K149" s="52" t="e">
        <f t="shared" si="29"/>
        <v>#REF!</v>
      </c>
      <c r="L149" s="50" t="e">
        <f t="shared" si="30"/>
        <v>#REF!</v>
      </c>
      <c r="M149" s="50" t="e">
        <f t="shared" si="31"/>
        <v>#REF!</v>
      </c>
      <c r="N149" s="50" t="e">
        <f t="shared" si="32"/>
        <v>#REF!</v>
      </c>
      <c r="O149" s="50" t="e">
        <f t="shared" si="33"/>
        <v>#REF!</v>
      </c>
      <c r="P149" s="53" t="e">
        <f t="shared" si="34"/>
        <v>#REF!</v>
      </c>
      <c r="Q149" s="54" t="e">
        <f>'Product info'!#REF!</f>
        <v>#REF!</v>
      </c>
      <c r="R149" s="54" t="e">
        <f>'Product info'!#REF!</f>
        <v>#REF!</v>
      </c>
      <c r="S149" s="54" t="e">
        <f>'Product info'!#REF!</f>
        <v>#REF!</v>
      </c>
      <c r="T149" s="50" t="e">
        <f>'Product info'!#REF!</f>
        <v>#REF!</v>
      </c>
      <c r="U149" s="52" t="e">
        <f t="shared" si="35"/>
        <v>#REF!</v>
      </c>
      <c r="V149" s="50" t="e">
        <f t="shared" si="36"/>
        <v>#REF!</v>
      </c>
      <c r="W149" s="50" t="e">
        <f t="shared" si="37"/>
        <v>#REF!</v>
      </c>
      <c r="X149" s="50" t="e">
        <f t="shared" si="38"/>
        <v>#REF!</v>
      </c>
      <c r="Y149" s="50" t="e">
        <f t="shared" si="39"/>
        <v>#REF!</v>
      </c>
      <c r="Z149" t="e">
        <f t="shared" si="40"/>
        <v>#REF!</v>
      </c>
    </row>
    <row r="150" spans="1:26" x14ac:dyDescent="0.4">
      <c r="A150" t="e">
        <f>'Product info'!#REF!</f>
        <v>#REF!</v>
      </c>
      <c r="B150" t="e">
        <f>'Product info'!#REF!</f>
        <v>#REF!</v>
      </c>
      <c r="C150" t="e">
        <f>'Product info'!#REF!</f>
        <v>#REF!</v>
      </c>
      <c r="D150" s="6" t="e">
        <f>'Product info'!#REF!</f>
        <v>#REF!</v>
      </c>
      <c r="E150" t="e">
        <f t="shared" si="28"/>
        <v>#REF!</v>
      </c>
      <c r="F150" s="50" t="e">
        <f>'Product info'!#REF!</f>
        <v>#REF!</v>
      </c>
      <c r="G150" s="50" t="e">
        <f>'Product info'!#REF!</f>
        <v>#REF!</v>
      </c>
      <c r="H150" s="50" t="e">
        <f>'Product info'!#REF!</f>
        <v>#REF!</v>
      </c>
      <c r="I150" s="50" t="e">
        <f>'Product info'!#REF!</f>
        <v>#REF!</v>
      </c>
      <c r="J150" s="51" t="e">
        <f>'Product info'!#REF!</f>
        <v>#REF!</v>
      </c>
      <c r="K150" s="52" t="e">
        <f t="shared" si="29"/>
        <v>#REF!</v>
      </c>
      <c r="L150" s="50" t="e">
        <f t="shared" si="30"/>
        <v>#REF!</v>
      </c>
      <c r="M150" s="50" t="e">
        <f t="shared" si="31"/>
        <v>#REF!</v>
      </c>
      <c r="N150" s="50" t="e">
        <f t="shared" si="32"/>
        <v>#REF!</v>
      </c>
      <c r="O150" s="50" t="e">
        <f t="shared" si="33"/>
        <v>#REF!</v>
      </c>
      <c r="P150" s="53" t="e">
        <f t="shared" si="34"/>
        <v>#REF!</v>
      </c>
      <c r="Q150" s="54" t="e">
        <f>'Product info'!#REF!</f>
        <v>#REF!</v>
      </c>
      <c r="R150" s="54" t="e">
        <f>'Product info'!#REF!</f>
        <v>#REF!</v>
      </c>
      <c r="S150" s="54" t="e">
        <f>'Product info'!#REF!</f>
        <v>#REF!</v>
      </c>
      <c r="T150" s="50" t="e">
        <f>'Product info'!#REF!</f>
        <v>#REF!</v>
      </c>
      <c r="U150" s="52" t="e">
        <f t="shared" si="35"/>
        <v>#REF!</v>
      </c>
      <c r="V150" s="50" t="e">
        <f t="shared" si="36"/>
        <v>#REF!</v>
      </c>
      <c r="W150" s="50" t="e">
        <f t="shared" si="37"/>
        <v>#REF!</v>
      </c>
      <c r="X150" s="50" t="e">
        <f t="shared" si="38"/>
        <v>#REF!</v>
      </c>
      <c r="Y150" s="50" t="e">
        <f t="shared" si="39"/>
        <v>#REF!</v>
      </c>
      <c r="Z150" t="e">
        <f t="shared" si="40"/>
        <v>#REF!</v>
      </c>
    </row>
    <row r="151" spans="1:26" x14ac:dyDescent="0.4">
      <c r="A151" t="e">
        <f>'Product info'!#REF!</f>
        <v>#REF!</v>
      </c>
      <c r="B151" t="e">
        <f>'Product info'!#REF!</f>
        <v>#REF!</v>
      </c>
      <c r="C151" t="e">
        <f>'Product info'!#REF!</f>
        <v>#REF!</v>
      </c>
      <c r="D151" s="6" t="e">
        <f>'Product info'!#REF!</f>
        <v>#REF!</v>
      </c>
      <c r="E151" t="e">
        <f t="shared" si="28"/>
        <v>#REF!</v>
      </c>
      <c r="F151" s="50" t="e">
        <f>'Product info'!#REF!</f>
        <v>#REF!</v>
      </c>
      <c r="G151" s="50" t="e">
        <f>'Product info'!#REF!</f>
        <v>#REF!</v>
      </c>
      <c r="H151" s="50" t="e">
        <f>'Product info'!#REF!</f>
        <v>#REF!</v>
      </c>
      <c r="I151" s="50" t="e">
        <f>'Product info'!#REF!</f>
        <v>#REF!</v>
      </c>
      <c r="J151" s="51" t="e">
        <f>'Product info'!#REF!</f>
        <v>#REF!</v>
      </c>
      <c r="K151" s="52" t="e">
        <f t="shared" si="29"/>
        <v>#REF!</v>
      </c>
      <c r="L151" s="50" t="e">
        <f t="shared" si="30"/>
        <v>#REF!</v>
      </c>
      <c r="M151" s="50" t="e">
        <f t="shared" si="31"/>
        <v>#REF!</v>
      </c>
      <c r="N151" s="50" t="e">
        <f t="shared" si="32"/>
        <v>#REF!</v>
      </c>
      <c r="O151" s="50" t="e">
        <f t="shared" si="33"/>
        <v>#REF!</v>
      </c>
      <c r="P151" s="53" t="e">
        <f t="shared" si="34"/>
        <v>#REF!</v>
      </c>
      <c r="Q151" s="54" t="e">
        <f>'Product info'!#REF!</f>
        <v>#REF!</v>
      </c>
      <c r="R151" s="54" t="e">
        <f>'Product info'!#REF!</f>
        <v>#REF!</v>
      </c>
      <c r="S151" s="54" t="e">
        <f>'Product info'!#REF!</f>
        <v>#REF!</v>
      </c>
      <c r="T151" s="50" t="e">
        <f>'Product info'!#REF!</f>
        <v>#REF!</v>
      </c>
      <c r="U151" s="52" t="e">
        <f t="shared" si="35"/>
        <v>#REF!</v>
      </c>
      <c r="V151" s="50" t="e">
        <f t="shared" si="36"/>
        <v>#REF!</v>
      </c>
      <c r="W151" s="50" t="e">
        <f t="shared" si="37"/>
        <v>#REF!</v>
      </c>
      <c r="X151" s="50" t="e">
        <f t="shared" si="38"/>
        <v>#REF!</v>
      </c>
      <c r="Y151" s="50" t="e">
        <f t="shared" si="39"/>
        <v>#REF!</v>
      </c>
      <c r="Z151" t="e">
        <f t="shared" si="40"/>
        <v>#REF!</v>
      </c>
    </row>
    <row r="152" spans="1:26" x14ac:dyDescent="0.4">
      <c r="A152" t="e">
        <f>'Product info'!#REF!</f>
        <v>#REF!</v>
      </c>
      <c r="B152" t="e">
        <f>'Product info'!#REF!</f>
        <v>#REF!</v>
      </c>
      <c r="C152" t="e">
        <f>'Product info'!#REF!</f>
        <v>#REF!</v>
      </c>
      <c r="D152" s="6" t="e">
        <f>'Product info'!#REF!</f>
        <v>#REF!</v>
      </c>
      <c r="E152" t="e">
        <f t="shared" si="28"/>
        <v>#REF!</v>
      </c>
      <c r="F152" s="50" t="e">
        <f>'Product info'!#REF!</f>
        <v>#REF!</v>
      </c>
      <c r="G152" s="50" t="e">
        <f>'Product info'!#REF!</f>
        <v>#REF!</v>
      </c>
      <c r="H152" s="50" t="e">
        <f>'Product info'!#REF!</f>
        <v>#REF!</v>
      </c>
      <c r="I152" s="50" t="e">
        <f>'Product info'!#REF!</f>
        <v>#REF!</v>
      </c>
      <c r="J152" s="51" t="e">
        <f>'Product info'!#REF!</f>
        <v>#REF!</v>
      </c>
      <c r="K152" s="52" t="e">
        <f t="shared" si="29"/>
        <v>#REF!</v>
      </c>
      <c r="L152" s="50" t="e">
        <f t="shared" si="30"/>
        <v>#REF!</v>
      </c>
      <c r="M152" s="50" t="e">
        <f t="shared" si="31"/>
        <v>#REF!</v>
      </c>
      <c r="N152" s="50" t="e">
        <f t="shared" si="32"/>
        <v>#REF!</v>
      </c>
      <c r="O152" s="50" t="e">
        <f t="shared" si="33"/>
        <v>#REF!</v>
      </c>
      <c r="P152" s="53" t="e">
        <f t="shared" si="34"/>
        <v>#REF!</v>
      </c>
      <c r="Q152" s="54" t="e">
        <f>'Product info'!#REF!</f>
        <v>#REF!</v>
      </c>
      <c r="R152" s="54" t="e">
        <f>'Product info'!#REF!</f>
        <v>#REF!</v>
      </c>
      <c r="S152" s="54" t="e">
        <f>'Product info'!#REF!</f>
        <v>#REF!</v>
      </c>
      <c r="T152" s="50" t="e">
        <f>'Product info'!#REF!</f>
        <v>#REF!</v>
      </c>
      <c r="U152" s="52" t="e">
        <f t="shared" si="35"/>
        <v>#REF!</v>
      </c>
      <c r="V152" s="50" t="e">
        <f t="shared" si="36"/>
        <v>#REF!</v>
      </c>
      <c r="W152" s="50" t="e">
        <f t="shared" si="37"/>
        <v>#REF!</v>
      </c>
      <c r="X152" s="50" t="e">
        <f t="shared" si="38"/>
        <v>#REF!</v>
      </c>
      <c r="Y152" s="50" t="e">
        <f t="shared" si="39"/>
        <v>#REF!</v>
      </c>
      <c r="Z152" t="e">
        <f t="shared" si="40"/>
        <v>#REF!</v>
      </c>
    </row>
    <row r="153" spans="1:26" x14ac:dyDescent="0.4">
      <c r="A153" t="e">
        <f>'Product info'!#REF!</f>
        <v>#REF!</v>
      </c>
      <c r="B153" t="e">
        <f>'Product info'!#REF!</f>
        <v>#REF!</v>
      </c>
      <c r="C153" t="e">
        <f>'Product info'!#REF!</f>
        <v>#REF!</v>
      </c>
      <c r="D153" s="6" t="e">
        <f>'Product info'!#REF!</f>
        <v>#REF!</v>
      </c>
      <c r="E153" t="e">
        <f t="shared" si="28"/>
        <v>#REF!</v>
      </c>
      <c r="F153" s="50" t="e">
        <f>'Product info'!#REF!</f>
        <v>#REF!</v>
      </c>
      <c r="G153" s="50" t="e">
        <f>'Product info'!#REF!</f>
        <v>#REF!</v>
      </c>
      <c r="H153" s="50" t="e">
        <f>'Product info'!#REF!</f>
        <v>#REF!</v>
      </c>
      <c r="I153" s="50" t="e">
        <f>'Product info'!#REF!</f>
        <v>#REF!</v>
      </c>
      <c r="J153" s="51" t="e">
        <f>'Product info'!#REF!</f>
        <v>#REF!</v>
      </c>
      <c r="K153" s="52" t="e">
        <f t="shared" si="29"/>
        <v>#REF!</v>
      </c>
      <c r="L153" s="50" t="e">
        <f t="shared" si="30"/>
        <v>#REF!</v>
      </c>
      <c r="M153" s="50" t="e">
        <f t="shared" si="31"/>
        <v>#REF!</v>
      </c>
      <c r="N153" s="50" t="e">
        <f t="shared" si="32"/>
        <v>#REF!</v>
      </c>
      <c r="O153" s="50" t="e">
        <f t="shared" si="33"/>
        <v>#REF!</v>
      </c>
      <c r="P153" s="53" t="e">
        <f t="shared" si="34"/>
        <v>#REF!</v>
      </c>
      <c r="Q153" s="54" t="e">
        <f>'Product info'!#REF!</f>
        <v>#REF!</v>
      </c>
      <c r="R153" s="54" t="e">
        <f>'Product info'!#REF!</f>
        <v>#REF!</v>
      </c>
      <c r="S153" s="54" t="e">
        <f>'Product info'!#REF!</f>
        <v>#REF!</v>
      </c>
      <c r="T153" s="50" t="e">
        <f>'Product info'!#REF!</f>
        <v>#REF!</v>
      </c>
      <c r="U153" s="52" t="e">
        <f t="shared" si="35"/>
        <v>#REF!</v>
      </c>
      <c r="V153" s="50" t="e">
        <f t="shared" si="36"/>
        <v>#REF!</v>
      </c>
      <c r="W153" s="50" t="e">
        <f t="shared" si="37"/>
        <v>#REF!</v>
      </c>
      <c r="X153" s="50" t="e">
        <f t="shared" si="38"/>
        <v>#REF!</v>
      </c>
      <c r="Y153" s="50" t="e">
        <f t="shared" si="39"/>
        <v>#REF!</v>
      </c>
      <c r="Z153" t="e">
        <f t="shared" si="40"/>
        <v>#REF!</v>
      </c>
    </row>
    <row r="154" spans="1:26" x14ac:dyDescent="0.4">
      <c r="A154" t="e">
        <f>'Product info'!#REF!</f>
        <v>#REF!</v>
      </c>
      <c r="B154" t="e">
        <f>'Product info'!#REF!</f>
        <v>#REF!</v>
      </c>
      <c r="C154" t="e">
        <f>'Product info'!#REF!</f>
        <v>#REF!</v>
      </c>
      <c r="D154" s="6" t="e">
        <f>'Product info'!#REF!</f>
        <v>#REF!</v>
      </c>
      <c r="E154" t="e">
        <f t="shared" si="28"/>
        <v>#REF!</v>
      </c>
      <c r="F154" s="50" t="e">
        <f>'Product info'!#REF!</f>
        <v>#REF!</v>
      </c>
      <c r="G154" s="50" t="e">
        <f>'Product info'!#REF!</f>
        <v>#REF!</v>
      </c>
      <c r="H154" s="50" t="e">
        <f>'Product info'!#REF!</f>
        <v>#REF!</v>
      </c>
      <c r="I154" s="50" t="e">
        <f>'Product info'!#REF!</f>
        <v>#REF!</v>
      </c>
      <c r="J154" s="51" t="e">
        <f>'Product info'!#REF!</f>
        <v>#REF!</v>
      </c>
      <c r="K154" s="52" t="e">
        <f t="shared" si="29"/>
        <v>#REF!</v>
      </c>
      <c r="L154" s="50" t="e">
        <f t="shared" si="30"/>
        <v>#REF!</v>
      </c>
      <c r="M154" s="50" t="e">
        <f t="shared" si="31"/>
        <v>#REF!</v>
      </c>
      <c r="N154" s="50" t="e">
        <f t="shared" si="32"/>
        <v>#REF!</v>
      </c>
      <c r="O154" s="50" t="e">
        <f t="shared" si="33"/>
        <v>#REF!</v>
      </c>
      <c r="P154" s="53" t="e">
        <f t="shared" si="34"/>
        <v>#REF!</v>
      </c>
      <c r="Q154" s="54" t="e">
        <f>'Product info'!#REF!</f>
        <v>#REF!</v>
      </c>
      <c r="R154" s="54" t="e">
        <f>'Product info'!#REF!</f>
        <v>#REF!</v>
      </c>
      <c r="S154" s="54" t="e">
        <f>'Product info'!#REF!</f>
        <v>#REF!</v>
      </c>
      <c r="T154" s="50" t="e">
        <f>'Product info'!#REF!</f>
        <v>#REF!</v>
      </c>
      <c r="U154" s="52" t="e">
        <f t="shared" si="35"/>
        <v>#REF!</v>
      </c>
      <c r="V154" s="50" t="e">
        <f t="shared" si="36"/>
        <v>#REF!</v>
      </c>
      <c r="W154" s="50" t="e">
        <f t="shared" si="37"/>
        <v>#REF!</v>
      </c>
      <c r="X154" s="50" t="e">
        <f t="shared" si="38"/>
        <v>#REF!</v>
      </c>
      <c r="Y154" s="50" t="e">
        <f t="shared" si="39"/>
        <v>#REF!</v>
      </c>
      <c r="Z154" t="e">
        <f t="shared" si="40"/>
        <v>#REF!</v>
      </c>
    </row>
    <row r="155" spans="1:26" x14ac:dyDescent="0.4">
      <c r="A155" t="e">
        <f>'Product info'!#REF!</f>
        <v>#REF!</v>
      </c>
      <c r="B155" t="e">
        <f>'Product info'!#REF!</f>
        <v>#REF!</v>
      </c>
      <c r="C155" t="e">
        <f>'Product info'!#REF!</f>
        <v>#REF!</v>
      </c>
      <c r="D155" s="6" t="e">
        <f>'Product info'!#REF!</f>
        <v>#REF!</v>
      </c>
      <c r="E155" t="e">
        <f t="shared" si="28"/>
        <v>#REF!</v>
      </c>
      <c r="F155" s="50" t="e">
        <f>'Product info'!#REF!</f>
        <v>#REF!</v>
      </c>
      <c r="G155" s="50" t="e">
        <f>'Product info'!#REF!</f>
        <v>#REF!</v>
      </c>
      <c r="H155" s="50" t="e">
        <f>'Product info'!#REF!</f>
        <v>#REF!</v>
      </c>
      <c r="I155" s="50" t="e">
        <f>'Product info'!#REF!</f>
        <v>#REF!</v>
      </c>
      <c r="J155" s="51" t="e">
        <f>'Product info'!#REF!</f>
        <v>#REF!</v>
      </c>
      <c r="K155" s="52" t="e">
        <f t="shared" si="29"/>
        <v>#REF!</v>
      </c>
      <c r="L155" s="50" t="e">
        <f t="shared" si="30"/>
        <v>#REF!</v>
      </c>
      <c r="M155" s="50" t="e">
        <f t="shared" si="31"/>
        <v>#REF!</v>
      </c>
      <c r="N155" s="50" t="e">
        <f t="shared" si="32"/>
        <v>#REF!</v>
      </c>
      <c r="O155" s="50" t="e">
        <f t="shared" si="33"/>
        <v>#REF!</v>
      </c>
      <c r="P155" s="53" t="e">
        <f t="shared" si="34"/>
        <v>#REF!</v>
      </c>
      <c r="Q155" s="54" t="e">
        <f>'Product info'!#REF!</f>
        <v>#REF!</v>
      </c>
      <c r="R155" s="54" t="e">
        <f>'Product info'!#REF!</f>
        <v>#REF!</v>
      </c>
      <c r="S155" s="54" t="e">
        <f>'Product info'!#REF!</f>
        <v>#REF!</v>
      </c>
      <c r="T155" s="50" t="e">
        <f>'Product info'!#REF!</f>
        <v>#REF!</v>
      </c>
      <c r="U155" s="52" t="e">
        <f t="shared" si="35"/>
        <v>#REF!</v>
      </c>
      <c r="V155" s="50" t="e">
        <f t="shared" si="36"/>
        <v>#REF!</v>
      </c>
      <c r="W155" s="50" t="e">
        <f t="shared" si="37"/>
        <v>#REF!</v>
      </c>
      <c r="X155" s="50" t="e">
        <f t="shared" si="38"/>
        <v>#REF!</v>
      </c>
      <c r="Y155" s="50" t="e">
        <f t="shared" si="39"/>
        <v>#REF!</v>
      </c>
      <c r="Z155" t="e">
        <f t="shared" si="40"/>
        <v>#REF!</v>
      </c>
    </row>
    <row r="156" spans="1:26" x14ac:dyDescent="0.4">
      <c r="A156" t="e">
        <f>'Product info'!#REF!</f>
        <v>#REF!</v>
      </c>
      <c r="B156" t="e">
        <f>'Product info'!#REF!</f>
        <v>#REF!</v>
      </c>
      <c r="C156" t="e">
        <f>'Product info'!#REF!</f>
        <v>#REF!</v>
      </c>
      <c r="D156" s="6" t="e">
        <f>'Product info'!#REF!</f>
        <v>#REF!</v>
      </c>
      <c r="E156" t="e">
        <f t="shared" si="28"/>
        <v>#REF!</v>
      </c>
      <c r="F156" s="50" t="e">
        <f>'Product info'!#REF!</f>
        <v>#REF!</v>
      </c>
      <c r="G156" s="50" t="e">
        <f>'Product info'!#REF!</f>
        <v>#REF!</v>
      </c>
      <c r="H156" s="50" t="e">
        <f>'Product info'!#REF!</f>
        <v>#REF!</v>
      </c>
      <c r="I156" s="50" t="e">
        <f>'Product info'!#REF!</f>
        <v>#REF!</v>
      </c>
      <c r="J156" s="51" t="e">
        <f>'Product info'!#REF!</f>
        <v>#REF!</v>
      </c>
      <c r="K156" s="52" t="e">
        <f t="shared" si="29"/>
        <v>#REF!</v>
      </c>
      <c r="L156" s="50" t="e">
        <f t="shared" si="30"/>
        <v>#REF!</v>
      </c>
      <c r="M156" s="50" t="e">
        <f t="shared" si="31"/>
        <v>#REF!</v>
      </c>
      <c r="N156" s="50" t="e">
        <f t="shared" si="32"/>
        <v>#REF!</v>
      </c>
      <c r="O156" s="50" t="e">
        <f t="shared" si="33"/>
        <v>#REF!</v>
      </c>
      <c r="P156" s="53" t="e">
        <f t="shared" si="34"/>
        <v>#REF!</v>
      </c>
      <c r="Q156" s="54" t="e">
        <f>'Product info'!#REF!</f>
        <v>#REF!</v>
      </c>
      <c r="R156" s="54" t="e">
        <f>'Product info'!#REF!</f>
        <v>#REF!</v>
      </c>
      <c r="S156" s="54" t="e">
        <f>'Product info'!#REF!</f>
        <v>#REF!</v>
      </c>
      <c r="T156" s="50" t="e">
        <f>'Product info'!#REF!</f>
        <v>#REF!</v>
      </c>
      <c r="U156" s="52" t="e">
        <f t="shared" si="35"/>
        <v>#REF!</v>
      </c>
      <c r="V156" s="50" t="e">
        <f t="shared" si="36"/>
        <v>#REF!</v>
      </c>
      <c r="W156" s="50" t="e">
        <f t="shared" si="37"/>
        <v>#REF!</v>
      </c>
      <c r="X156" s="50" t="e">
        <f t="shared" si="38"/>
        <v>#REF!</v>
      </c>
      <c r="Y156" s="50" t="e">
        <f t="shared" si="39"/>
        <v>#REF!</v>
      </c>
      <c r="Z156" t="e">
        <f t="shared" si="40"/>
        <v>#REF!</v>
      </c>
    </row>
    <row r="157" spans="1:26" x14ac:dyDescent="0.4">
      <c r="A157" t="e">
        <f>'Product info'!#REF!</f>
        <v>#REF!</v>
      </c>
      <c r="B157" t="e">
        <f>'Product info'!#REF!</f>
        <v>#REF!</v>
      </c>
      <c r="C157" t="e">
        <f>'Product info'!#REF!</f>
        <v>#REF!</v>
      </c>
      <c r="D157" s="6" t="e">
        <f>'Product info'!#REF!</f>
        <v>#REF!</v>
      </c>
      <c r="E157" t="e">
        <f t="shared" si="28"/>
        <v>#REF!</v>
      </c>
      <c r="F157" s="50" t="e">
        <f>'Product info'!#REF!</f>
        <v>#REF!</v>
      </c>
      <c r="G157" s="50" t="e">
        <f>'Product info'!#REF!</f>
        <v>#REF!</v>
      </c>
      <c r="H157" s="50" t="e">
        <f>'Product info'!#REF!</f>
        <v>#REF!</v>
      </c>
      <c r="I157" s="50" t="e">
        <f>'Product info'!#REF!</f>
        <v>#REF!</v>
      </c>
      <c r="J157" s="51" t="e">
        <f>'Product info'!#REF!</f>
        <v>#REF!</v>
      </c>
      <c r="K157" s="52" t="e">
        <f t="shared" si="29"/>
        <v>#REF!</v>
      </c>
      <c r="L157" s="50" t="e">
        <f t="shared" si="30"/>
        <v>#REF!</v>
      </c>
      <c r="M157" s="50" t="e">
        <f t="shared" si="31"/>
        <v>#REF!</v>
      </c>
      <c r="N157" s="50" t="e">
        <f t="shared" si="32"/>
        <v>#REF!</v>
      </c>
      <c r="O157" s="50" t="e">
        <f t="shared" si="33"/>
        <v>#REF!</v>
      </c>
      <c r="P157" s="53" t="e">
        <f t="shared" si="34"/>
        <v>#REF!</v>
      </c>
      <c r="Q157" s="54" t="e">
        <f>'Product info'!#REF!</f>
        <v>#REF!</v>
      </c>
      <c r="R157" s="54" t="e">
        <f>'Product info'!#REF!</f>
        <v>#REF!</v>
      </c>
      <c r="S157" s="54" t="e">
        <f>'Product info'!#REF!</f>
        <v>#REF!</v>
      </c>
      <c r="T157" s="50" t="e">
        <f>'Product info'!#REF!</f>
        <v>#REF!</v>
      </c>
      <c r="U157" s="52" t="e">
        <f t="shared" si="35"/>
        <v>#REF!</v>
      </c>
      <c r="V157" s="50" t="e">
        <f t="shared" si="36"/>
        <v>#REF!</v>
      </c>
      <c r="W157" s="50" t="e">
        <f t="shared" si="37"/>
        <v>#REF!</v>
      </c>
      <c r="X157" s="50" t="e">
        <f t="shared" si="38"/>
        <v>#REF!</v>
      </c>
      <c r="Y157" s="50" t="e">
        <f t="shared" si="39"/>
        <v>#REF!</v>
      </c>
      <c r="Z157" t="e">
        <f t="shared" si="40"/>
        <v>#REF!</v>
      </c>
    </row>
    <row r="158" spans="1:26" x14ac:dyDescent="0.4">
      <c r="A158" t="e">
        <f>'Product info'!#REF!</f>
        <v>#REF!</v>
      </c>
      <c r="B158" t="e">
        <f>'Product info'!#REF!</f>
        <v>#REF!</v>
      </c>
      <c r="C158" t="e">
        <f>'Product info'!#REF!</f>
        <v>#REF!</v>
      </c>
      <c r="D158" s="6" t="e">
        <f>'Product info'!#REF!</f>
        <v>#REF!</v>
      </c>
      <c r="E158" t="e">
        <f t="shared" si="28"/>
        <v>#REF!</v>
      </c>
      <c r="F158" s="50" t="e">
        <f>'Product info'!#REF!</f>
        <v>#REF!</v>
      </c>
      <c r="G158" s="50" t="e">
        <f>'Product info'!#REF!</f>
        <v>#REF!</v>
      </c>
      <c r="H158" s="50" t="e">
        <f>'Product info'!#REF!</f>
        <v>#REF!</v>
      </c>
      <c r="I158" s="50" t="e">
        <f>'Product info'!#REF!</f>
        <v>#REF!</v>
      </c>
      <c r="J158" s="51" t="e">
        <f>'Product info'!#REF!</f>
        <v>#REF!</v>
      </c>
      <c r="K158" s="52" t="e">
        <f t="shared" si="29"/>
        <v>#REF!</v>
      </c>
      <c r="L158" s="50" t="e">
        <f t="shared" si="30"/>
        <v>#REF!</v>
      </c>
      <c r="M158" s="50" t="e">
        <f t="shared" si="31"/>
        <v>#REF!</v>
      </c>
      <c r="N158" s="50" t="e">
        <f t="shared" si="32"/>
        <v>#REF!</v>
      </c>
      <c r="O158" s="50" t="e">
        <f t="shared" si="33"/>
        <v>#REF!</v>
      </c>
      <c r="P158" s="53" t="e">
        <f t="shared" si="34"/>
        <v>#REF!</v>
      </c>
      <c r="Q158" s="54" t="e">
        <f>'Product info'!#REF!</f>
        <v>#REF!</v>
      </c>
      <c r="R158" s="54" t="e">
        <f>'Product info'!#REF!</f>
        <v>#REF!</v>
      </c>
      <c r="S158" s="54" t="e">
        <f>'Product info'!#REF!</f>
        <v>#REF!</v>
      </c>
      <c r="T158" s="50" t="e">
        <f>'Product info'!#REF!</f>
        <v>#REF!</v>
      </c>
      <c r="U158" s="52" t="e">
        <f t="shared" si="35"/>
        <v>#REF!</v>
      </c>
      <c r="V158" s="50" t="e">
        <f t="shared" si="36"/>
        <v>#REF!</v>
      </c>
      <c r="W158" s="50" t="e">
        <f t="shared" si="37"/>
        <v>#REF!</v>
      </c>
      <c r="X158" s="50" t="e">
        <f t="shared" si="38"/>
        <v>#REF!</v>
      </c>
      <c r="Y158" s="50" t="e">
        <f t="shared" si="39"/>
        <v>#REF!</v>
      </c>
      <c r="Z158" t="e">
        <f t="shared" si="40"/>
        <v>#REF!</v>
      </c>
    </row>
    <row r="159" spans="1:26" x14ac:dyDescent="0.4">
      <c r="A159" t="e">
        <f>'Product info'!#REF!</f>
        <v>#REF!</v>
      </c>
      <c r="B159" t="e">
        <f>'Product info'!#REF!</f>
        <v>#REF!</v>
      </c>
      <c r="C159" t="e">
        <f>'Product info'!#REF!</f>
        <v>#REF!</v>
      </c>
      <c r="D159" s="6" t="e">
        <f>'Product info'!#REF!</f>
        <v>#REF!</v>
      </c>
      <c r="E159" t="e">
        <f t="shared" si="28"/>
        <v>#REF!</v>
      </c>
      <c r="F159" s="50" t="e">
        <f>'Product info'!#REF!</f>
        <v>#REF!</v>
      </c>
      <c r="G159" s="50" t="e">
        <f>'Product info'!#REF!</f>
        <v>#REF!</v>
      </c>
      <c r="H159" s="50" t="e">
        <f>'Product info'!#REF!</f>
        <v>#REF!</v>
      </c>
      <c r="I159" s="50" t="e">
        <f>'Product info'!#REF!</f>
        <v>#REF!</v>
      </c>
      <c r="J159" s="51" t="e">
        <f>'Product info'!#REF!</f>
        <v>#REF!</v>
      </c>
      <c r="K159" s="52" t="e">
        <f t="shared" si="29"/>
        <v>#REF!</v>
      </c>
      <c r="L159" s="50" t="e">
        <f t="shared" si="30"/>
        <v>#REF!</v>
      </c>
      <c r="M159" s="50" t="e">
        <f t="shared" si="31"/>
        <v>#REF!</v>
      </c>
      <c r="N159" s="50" t="e">
        <f t="shared" si="32"/>
        <v>#REF!</v>
      </c>
      <c r="O159" s="50" t="e">
        <f t="shared" si="33"/>
        <v>#REF!</v>
      </c>
      <c r="P159" s="53" t="e">
        <f t="shared" si="34"/>
        <v>#REF!</v>
      </c>
      <c r="Q159" s="54" t="e">
        <f>'Product info'!#REF!</f>
        <v>#REF!</v>
      </c>
      <c r="R159" s="54" t="e">
        <f>'Product info'!#REF!</f>
        <v>#REF!</v>
      </c>
      <c r="S159" s="54" t="e">
        <f>'Product info'!#REF!</f>
        <v>#REF!</v>
      </c>
      <c r="T159" s="50" t="e">
        <f>'Product info'!#REF!</f>
        <v>#REF!</v>
      </c>
      <c r="U159" s="52" t="e">
        <f t="shared" si="35"/>
        <v>#REF!</v>
      </c>
      <c r="V159" s="50" t="e">
        <f t="shared" si="36"/>
        <v>#REF!</v>
      </c>
      <c r="W159" s="50" t="e">
        <f t="shared" si="37"/>
        <v>#REF!</v>
      </c>
      <c r="X159" s="50" t="e">
        <f t="shared" si="38"/>
        <v>#REF!</v>
      </c>
      <c r="Y159" s="50" t="e">
        <f t="shared" si="39"/>
        <v>#REF!</v>
      </c>
      <c r="Z159" t="e">
        <f t="shared" si="40"/>
        <v>#REF!</v>
      </c>
    </row>
    <row r="160" spans="1:26" x14ac:dyDescent="0.4">
      <c r="A160" t="e">
        <f>'Product info'!#REF!</f>
        <v>#REF!</v>
      </c>
      <c r="B160" t="e">
        <f>'Product info'!#REF!</f>
        <v>#REF!</v>
      </c>
      <c r="C160" t="e">
        <f>'Product info'!#REF!</f>
        <v>#REF!</v>
      </c>
      <c r="D160" s="6" t="e">
        <f>'Product info'!#REF!</f>
        <v>#REF!</v>
      </c>
      <c r="E160" t="e">
        <f t="shared" si="28"/>
        <v>#REF!</v>
      </c>
      <c r="F160" s="50" t="e">
        <f>'Product info'!#REF!</f>
        <v>#REF!</v>
      </c>
      <c r="G160" s="50" t="e">
        <f>'Product info'!#REF!</f>
        <v>#REF!</v>
      </c>
      <c r="H160" s="50" t="e">
        <f>'Product info'!#REF!</f>
        <v>#REF!</v>
      </c>
      <c r="I160" s="50" t="e">
        <f>'Product info'!#REF!</f>
        <v>#REF!</v>
      </c>
      <c r="J160" s="51" t="e">
        <f>'Product info'!#REF!</f>
        <v>#REF!</v>
      </c>
      <c r="K160" s="52" t="e">
        <f t="shared" si="29"/>
        <v>#REF!</v>
      </c>
      <c r="L160" s="50" t="e">
        <f t="shared" si="30"/>
        <v>#REF!</v>
      </c>
      <c r="M160" s="50" t="e">
        <f t="shared" si="31"/>
        <v>#REF!</v>
      </c>
      <c r="N160" s="50" t="e">
        <f t="shared" si="32"/>
        <v>#REF!</v>
      </c>
      <c r="O160" s="50" t="e">
        <f t="shared" si="33"/>
        <v>#REF!</v>
      </c>
      <c r="P160" s="53" t="e">
        <f t="shared" si="34"/>
        <v>#REF!</v>
      </c>
      <c r="Q160" s="54" t="e">
        <f>'Product info'!#REF!</f>
        <v>#REF!</v>
      </c>
      <c r="R160" s="54" t="e">
        <f>'Product info'!#REF!</f>
        <v>#REF!</v>
      </c>
      <c r="S160" s="54" t="e">
        <f>'Product info'!#REF!</f>
        <v>#REF!</v>
      </c>
      <c r="T160" s="50" t="e">
        <f>'Product info'!#REF!</f>
        <v>#REF!</v>
      </c>
      <c r="U160" s="52" t="e">
        <f t="shared" si="35"/>
        <v>#REF!</v>
      </c>
      <c r="V160" s="50" t="e">
        <f t="shared" si="36"/>
        <v>#REF!</v>
      </c>
      <c r="W160" s="50" t="e">
        <f t="shared" si="37"/>
        <v>#REF!</v>
      </c>
      <c r="X160" s="50" t="e">
        <f t="shared" si="38"/>
        <v>#REF!</v>
      </c>
      <c r="Y160" s="50" t="e">
        <f t="shared" si="39"/>
        <v>#REF!</v>
      </c>
      <c r="Z160" t="e">
        <f t="shared" si="40"/>
        <v>#REF!</v>
      </c>
    </row>
    <row r="161" spans="1:26" x14ac:dyDescent="0.4">
      <c r="A161" t="e">
        <f>'Product info'!#REF!</f>
        <v>#REF!</v>
      </c>
      <c r="B161" t="e">
        <f>'Product info'!#REF!</f>
        <v>#REF!</v>
      </c>
      <c r="C161" t="e">
        <f>'Product info'!#REF!</f>
        <v>#REF!</v>
      </c>
      <c r="D161" s="6" t="e">
        <f>'Product info'!#REF!</f>
        <v>#REF!</v>
      </c>
      <c r="E161" t="e">
        <f t="shared" si="28"/>
        <v>#REF!</v>
      </c>
      <c r="F161" s="50" t="e">
        <f>'Product info'!#REF!</f>
        <v>#REF!</v>
      </c>
      <c r="G161" s="50" t="e">
        <f>'Product info'!#REF!</f>
        <v>#REF!</v>
      </c>
      <c r="H161" s="50" t="e">
        <f>'Product info'!#REF!</f>
        <v>#REF!</v>
      </c>
      <c r="I161" s="50" t="e">
        <f>'Product info'!#REF!</f>
        <v>#REF!</v>
      </c>
      <c r="J161" s="51" t="e">
        <f>'Product info'!#REF!</f>
        <v>#REF!</v>
      </c>
      <c r="K161" s="52" t="e">
        <f t="shared" si="29"/>
        <v>#REF!</v>
      </c>
      <c r="L161" s="50" t="e">
        <f t="shared" si="30"/>
        <v>#REF!</v>
      </c>
      <c r="M161" s="50" t="e">
        <f t="shared" si="31"/>
        <v>#REF!</v>
      </c>
      <c r="N161" s="50" t="e">
        <f t="shared" si="32"/>
        <v>#REF!</v>
      </c>
      <c r="O161" s="50" t="e">
        <f t="shared" si="33"/>
        <v>#REF!</v>
      </c>
      <c r="P161" s="53" t="e">
        <f t="shared" si="34"/>
        <v>#REF!</v>
      </c>
      <c r="Q161" s="54" t="e">
        <f>'Product info'!#REF!</f>
        <v>#REF!</v>
      </c>
      <c r="R161" s="54" t="e">
        <f>'Product info'!#REF!</f>
        <v>#REF!</v>
      </c>
      <c r="S161" s="54" t="e">
        <f>'Product info'!#REF!</f>
        <v>#REF!</v>
      </c>
      <c r="T161" s="50" t="e">
        <f>'Product info'!#REF!</f>
        <v>#REF!</v>
      </c>
      <c r="U161" s="52" t="e">
        <f t="shared" si="35"/>
        <v>#REF!</v>
      </c>
      <c r="V161" s="50" t="e">
        <f t="shared" si="36"/>
        <v>#REF!</v>
      </c>
      <c r="W161" s="50" t="e">
        <f t="shared" si="37"/>
        <v>#REF!</v>
      </c>
      <c r="X161" s="50" t="e">
        <f t="shared" si="38"/>
        <v>#REF!</v>
      </c>
      <c r="Y161" s="50" t="e">
        <f t="shared" si="39"/>
        <v>#REF!</v>
      </c>
      <c r="Z161" t="e">
        <f t="shared" si="40"/>
        <v>#REF!</v>
      </c>
    </row>
    <row r="162" spans="1:26" x14ac:dyDescent="0.4">
      <c r="A162" t="e">
        <f>'Product info'!#REF!</f>
        <v>#REF!</v>
      </c>
      <c r="B162" t="e">
        <f>'Product info'!#REF!</f>
        <v>#REF!</v>
      </c>
      <c r="C162" t="e">
        <f>'Product info'!#REF!</f>
        <v>#REF!</v>
      </c>
      <c r="D162" s="6" t="e">
        <f>'Product info'!#REF!</f>
        <v>#REF!</v>
      </c>
      <c r="E162" t="e">
        <f t="shared" si="28"/>
        <v>#REF!</v>
      </c>
      <c r="F162" s="50" t="e">
        <f>'Product info'!#REF!</f>
        <v>#REF!</v>
      </c>
      <c r="G162" s="50" t="e">
        <f>'Product info'!#REF!</f>
        <v>#REF!</v>
      </c>
      <c r="H162" s="50" t="e">
        <f>'Product info'!#REF!</f>
        <v>#REF!</v>
      </c>
      <c r="I162" s="50" t="e">
        <f>'Product info'!#REF!</f>
        <v>#REF!</v>
      </c>
      <c r="J162" s="51" t="e">
        <f>'Product info'!#REF!</f>
        <v>#REF!</v>
      </c>
      <c r="K162" s="52" t="e">
        <f t="shared" si="29"/>
        <v>#REF!</v>
      </c>
      <c r="L162" s="50" t="e">
        <f t="shared" si="30"/>
        <v>#REF!</v>
      </c>
      <c r="M162" s="50" t="e">
        <f t="shared" si="31"/>
        <v>#REF!</v>
      </c>
      <c r="N162" s="50" t="e">
        <f t="shared" si="32"/>
        <v>#REF!</v>
      </c>
      <c r="O162" s="50" t="e">
        <f t="shared" si="33"/>
        <v>#REF!</v>
      </c>
      <c r="P162" s="53" t="e">
        <f t="shared" si="34"/>
        <v>#REF!</v>
      </c>
      <c r="Q162" s="54" t="e">
        <f>'Product info'!#REF!</f>
        <v>#REF!</v>
      </c>
      <c r="R162" s="54" t="e">
        <f>'Product info'!#REF!</f>
        <v>#REF!</v>
      </c>
      <c r="S162" s="54" t="e">
        <f>'Product info'!#REF!</f>
        <v>#REF!</v>
      </c>
      <c r="T162" s="50" t="e">
        <f>'Product info'!#REF!</f>
        <v>#REF!</v>
      </c>
      <c r="U162" s="52" t="e">
        <f t="shared" si="35"/>
        <v>#REF!</v>
      </c>
      <c r="V162" s="50" t="e">
        <f t="shared" si="36"/>
        <v>#REF!</v>
      </c>
      <c r="W162" s="50" t="e">
        <f t="shared" si="37"/>
        <v>#REF!</v>
      </c>
      <c r="X162" s="50" t="e">
        <f t="shared" si="38"/>
        <v>#REF!</v>
      </c>
      <c r="Y162" s="50" t="e">
        <f t="shared" si="39"/>
        <v>#REF!</v>
      </c>
      <c r="Z162" t="e">
        <f t="shared" si="40"/>
        <v>#REF!</v>
      </c>
    </row>
    <row r="163" spans="1:26" x14ac:dyDescent="0.4">
      <c r="A163" t="e">
        <f>'Product info'!#REF!</f>
        <v>#REF!</v>
      </c>
      <c r="B163" t="e">
        <f>'Product info'!#REF!</f>
        <v>#REF!</v>
      </c>
      <c r="C163" t="e">
        <f>'Product info'!#REF!</f>
        <v>#REF!</v>
      </c>
      <c r="D163" s="6" t="e">
        <f>'Product info'!#REF!</f>
        <v>#REF!</v>
      </c>
      <c r="E163" t="e">
        <f t="shared" si="28"/>
        <v>#REF!</v>
      </c>
      <c r="F163" s="50" t="e">
        <f>'Product info'!#REF!</f>
        <v>#REF!</v>
      </c>
      <c r="G163" s="50" t="e">
        <f>'Product info'!#REF!</f>
        <v>#REF!</v>
      </c>
      <c r="H163" s="50" t="e">
        <f>'Product info'!#REF!</f>
        <v>#REF!</v>
      </c>
      <c r="I163" s="50" t="e">
        <f>'Product info'!#REF!</f>
        <v>#REF!</v>
      </c>
      <c r="J163" s="51" t="e">
        <f>'Product info'!#REF!</f>
        <v>#REF!</v>
      </c>
      <c r="K163" s="52" t="e">
        <f t="shared" si="29"/>
        <v>#REF!</v>
      </c>
      <c r="L163" s="50" t="e">
        <f t="shared" si="30"/>
        <v>#REF!</v>
      </c>
      <c r="M163" s="50" t="e">
        <f t="shared" si="31"/>
        <v>#REF!</v>
      </c>
      <c r="N163" s="50" t="e">
        <f t="shared" si="32"/>
        <v>#REF!</v>
      </c>
      <c r="O163" s="50" t="e">
        <f t="shared" si="33"/>
        <v>#REF!</v>
      </c>
      <c r="P163" s="53" t="e">
        <f t="shared" si="34"/>
        <v>#REF!</v>
      </c>
      <c r="Q163" s="54" t="e">
        <f>'Product info'!#REF!</f>
        <v>#REF!</v>
      </c>
      <c r="R163" s="54" t="e">
        <f>'Product info'!#REF!</f>
        <v>#REF!</v>
      </c>
      <c r="S163" s="54" t="e">
        <f>'Product info'!#REF!</f>
        <v>#REF!</v>
      </c>
      <c r="T163" s="50" t="e">
        <f>'Product info'!#REF!</f>
        <v>#REF!</v>
      </c>
      <c r="U163" s="52" t="e">
        <f t="shared" si="35"/>
        <v>#REF!</v>
      </c>
      <c r="V163" s="50" t="e">
        <f t="shared" si="36"/>
        <v>#REF!</v>
      </c>
      <c r="W163" s="50" t="e">
        <f t="shared" si="37"/>
        <v>#REF!</v>
      </c>
      <c r="X163" s="50" t="e">
        <f t="shared" si="38"/>
        <v>#REF!</v>
      </c>
      <c r="Y163" s="50" t="e">
        <f t="shared" si="39"/>
        <v>#REF!</v>
      </c>
      <c r="Z163" t="e">
        <f t="shared" si="40"/>
        <v>#REF!</v>
      </c>
    </row>
    <row r="164" spans="1:26" x14ac:dyDescent="0.4">
      <c r="A164" t="e">
        <f>'Product info'!#REF!</f>
        <v>#REF!</v>
      </c>
      <c r="B164" t="e">
        <f>'Product info'!#REF!</f>
        <v>#REF!</v>
      </c>
      <c r="C164" t="e">
        <f>'Product info'!#REF!</f>
        <v>#REF!</v>
      </c>
      <c r="D164" s="6" t="e">
        <f>'Product info'!#REF!</f>
        <v>#REF!</v>
      </c>
      <c r="E164" t="e">
        <f t="shared" si="28"/>
        <v>#REF!</v>
      </c>
      <c r="F164" s="50" t="e">
        <f>'Product info'!#REF!</f>
        <v>#REF!</v>
      </c>
      <c r="G164" s="50" t="e">
        <f>'Product info'!#REF!</f>
        <v>#REF!</v>
      </c>
      <c r="H164" s="50" t="e">
        <f>'Product info'!#REF!</f>
        <v>#REF!</v>
      </c>
      <c r="I164" s="50" t="e">
        <f>'Product info'!#REF!</f>
        <v>#REF!</v>
      </c>
      <c r="J164" s="51" t="e">
        <f>'Product info'!#REF!</f>
        <v>#REF!</v>
      </c>
      <c r="K164" s="52" t="e">
        <f t="shared" si="29"/>
        <v>#REF!</v>
      </c>
      <c r="L164" s="50" t="e">
        <f t="shared" si="30"/>
        <v>#REF!</v>
      </c>
      <c r="M164" s="50" t="e">
        <f t="shared" si="31"/>
        <v>#REF!</v>
      </c>
      <c r="N164" s="50" t="e">
        <f t="shared" si="32"/>
        <v>#REF!</v>
      </c>
      <c r="O164" s="50" t="e">
        <f t="shared" si="33"/>
        <v>#REF!</v>
      </c>
      <c r="P164" s="53" t="e">
        <f t="shared" si="34"/>
        <v>#REF!</v>
      </c>
      <c r="Q164" s="54" t="e">
        <f>'Product info'!#REF!</f>
        <v>#REF!</v>
      </c>
      <c r="R164" s="54" t="e">
        <f>'Product info'!#REF!</f>
        <v>#REF!</v>
      </c>
      <c r="S164" s="54" t="e">
        <f>'Product info'!#REF!</f>
        <v>#REF!</v>
      </c>
      <c r="T164" s="50" t="e">
        <f>'Product info'!#REF!</f>
        <v>#REF!</v>
      </c>
      <c r="U164" s="52" t="e">
        <f t="shared" si="35"/>
        <v>#REF!</v>
      </c>
      <c r="V164" s="50" t="e">
        <f t="shared" si="36"/>
        <v>#REF!</v>
      </c>
      <c r="W164" s="50" t="e">
        <f t="shared" si="37"/>
        <v>#REF!</v>
      </c>
      <c r="X164" s="50" t="e">
        <f t="shared" si="38"/>
        <v>#REF!</v>
      </c>
      <c r="Y164" s="50" t="e">
        <f t="shared" si="39"/>
        <v>#REF!</v>
      </c>
      <c r="Z164" t="e">
        <f t="shared" si="40"/>
        <v>#REF!</v>
      </c>
    </row>
    <row r="165" spans="1:26" x14ac:dyDescent="0.4">
      <c r="A165" t="e">
        <f>'Product info'!#REF!</f>
        <v>#REF!</v>
      </c>
      <c r="B165" t="e">
        <f>'Product info'!#REF!</f>
        <v>#REF!</v>
      </c>
      <c r="C165" t="e">
        <f>'Product info'!#REF!</f>
        <v>#REF!</v>
      </c>
      <c r="D165" s="6" t="e">
        <f>'Product info'!#REF!</f>
        <v>#REF!</v>
      </c>
      <c r="E165" t="e">
        <f t="shared" si="28"/>
        <v>#REF!</v>
      </c>
      <c r="F165" s="50" t="e">
        <f>'Product info'!#REF!</f>
        <v>#REF!</v>
      </c>
      <c r="G165" s="50" t="e">
        <f>'Product info'!#REF!</f>
        <v>#REF!</v>
      </c>
      <c r="H165" s="50" t="e">
        <f>'Product info'!#REF!</f>
        <v>#REF!</v>
      </c>
      <c r="I165" s="50" t="e">
        <f>'Product info'!#REF!</f>
        <v>#REF!</v>
      </c>
      <c r="J165" s="51" t="e">
        <f>'Product info'!#REF!</f>
        <v>#REF!</v>
      </c>
      <c r="K165" s="52" t="e">
        <f t="shared" si="29"/>
        <v>#REF!</v>
      </c>
      <c r="L165" s="50" t="e">
        <f t="shared" si="30"/>
        <v>#REF!</v>
      </c>
      <c r="M165" s="50" t="e">
        <f t="shared" si="31"/>
        <v>#REF!</v>
      </c>
      <c r="N165" s="50" t="e">
        <f t="shared" si="32"/>
        <v>#REF!</v>
      </c>
      <c r="O165" s="50" t="e">
        <f t="shared" si="33"/>
        <v>#REF!</v>
      </c>
      <c r="P165" s="53" t="e">
        <f t="shared" si="34"/>
        <v>#REF!</v>
      </c>
      <c r="Q165" s="54" t="e">
        <f>'Product info'!#REF!</f>
        <v>#REF!</v>
      </c>
      <c r="R165" s="54" t="e">
        <f>'Product info'!#REF!</f>
        <v>#REF!</v>
      </c>
      <c r="S165" s="54" t="e">
        <f>'Product info'!#REF!</f>
        <v>#REF!</v>
      </c>
      <c r="T165" s="50" t="e">
        <f>'Product info'!#REF!</f>
        <v>#REF!</v>
      </c>
      <c r="U165" s="52" t="e">
        <f t="shared" si="35"/>
        <v>#REF!</v>
      </c>
      <c r="V165" s="50" t="e">
        <f t="shared" si="36"/>
        <v>#REF!</v>
      </c>
      <c r="W165" s="50" t="e">
        <f t="shared" si="37"/>
        <v>#REF!</v>
      </c>
      <c r="X165" s="50" t="e">
        <f t="shared" si="38"/>
        <v>#REF!</v>
      </c>
      <c r="Y165" s="50" t="e">
        <f t="shared" si="39"/>
        <v>#REF!</v>
      </c>
      <c r="Z165" t="e">
        <f t="shared" si="40"/>
        <v>#REF!</v>
      </c>
    </row>
    <row r="166" spans="1:26" x14ac:dyDescent="0.4">
      <c r="A166" t="e">
        <f>'Product info'!#REF!</f>
        <v>#REF!</v>
      </c>
      <c r="B166" t="e">
        <f>'Product info'!#REF!</f>
        <v>#REF!</v>
      </c>
      <c r="C166" t="e">
        <f>'Product info'!#REF!</f>
        <v>#REF!</v>
      </c>
      <c r="D166" s="6" t="e">
        <f>'Product info'!#REF!</f>
        <v>#REF!</v>
      </c>
      <c r="E166" t="e">
        <f t="shared" si="28"/>
        <v>#REF!</v>
      </c>
      <c r="F166" s="50" t="e">
        <f>'Product info'!#REF!</f>
        <v>#REF!</v>
      </c>
      <c r="G166" s="50" t="e">
        <f>'Product info'!#REF!</f>
        <v>#REF!</v>
      </c>
      <c r="H166" s="50" t="e">
        <f>'Product info'!#REF!</f>
        <v>#REF!</v>
      </c>
      <c r="I166" s="50" t="e">
        <f>'Product info'!#REF!</f>
        <v>#REF!</v>
      </c>
      <c r="J166" s="51" t="e">
        <f>'Product info'!#REF!</f>
        <v>#REF!</v>
      </c>
      <c r="K166" s="52" t="e">
        <f t="shared" si="29"/>
        <v>#REF!</v>
      </c>
      <c r="L166" s="50" t="e">
        <f t="shared" si="30"/>
        <v>#REF!</v>
      </c>
      <c r="M166" s="50" t="e">
        <f t="shared" si="31"/>
        <v>#REF!</v>
      </c>
      <c r="N166" s="50" t="e">
        <f t="shared" si="32"/>
        <v>#REF!</v>
      </c>
      <c r="O166" s="50" t="e">
        <f t="shared" si="33"/>
        <v>#REF!</v>
      </c>
      <c r="P166" s="53" t="e">
        <f t="shared" si="34"/>
        <v>#REF!</v>
      </c>
      <c r="Q166" s="54" t="e">
        <f>'Product info'!#REF!</f>
        <v>#REF!</v>
      </c>
      <c r="R166" s="54" t="e">
        <f>'Product info'!#REF!</f>
        <v>#REF!</v>
      </c>
      <c r="S166" s="54" t="e">
        <f>'Product info'!#REF!</f>
        <v>#REF!</v>
      </c>
      <c r="T166" s="50" t="e">
        <f>'Product info'!#REF!</f>
        <v>#REF!</v>
      </c>
      <c r="U166" s="52" t="e">
        <f t="shared" si="35"/>
        <v>#REF!</v>
      </c>
      <c r="V166" s="50" t="e">
        <f t="shared" si="36"/>
        <v>#REF!</v>
      </c>
      <c r="W166" s="50" t="e">
        <f t="shared" si="37"/>
        <v>#REF!</v>
      </c>
      <c r="X166" s="50" t="e">
        <f t="shared" si="38"/>
        <v>#REF!</v>
      </c>
      <c r="Y166" s="50" t="e">
        <f t="shared" si="39"/>
        <v>#REF!</v>
      </c>
      <c r="Z166" t="e">
        <f t="shared" si="40"/>
        <v>#REF!</v>
      </c>
    </row>
    <row r="167" spans="1:26" x14ac:dyDescent="0.4">
      <c r="A167" t="e">
        <f>'Product info'!#REF!</f>
        <v>#REF!</v>
      </c>
      <c r="B167" t="e">
        <f>'Product info'!#REF!</f>
        <v>#REF!</v>
      </c>
      <c r="C167" t="e">
        <f>'Product info'!#REF!</f>
        <v>#REF!</v>
      </c>
      <c r="D167" s="6" t="e">
        <f>'Product info'!#REF!</f>
        <v>#REF!</v>
      </c>
      <c r="E167" t="e">
        <f t="shared" si="28"/>
        <v>#REF!</v>
      </c>
      <c r="F167" s="50" t="e">
        <f>'Product info'!#REF!</f>
        <v>#REF!</v>
      </c>
      <c r="G167" s="50" t="e">
        <f>'Product info'!#REF!</f>
        <v>#REF!</v>
      </c>
      <c r="H167" s="50" t="e">
        <f>'Product info'!#REF!</f>
        <v>#REF!</v>
      </c>
      <c r="I167" s="50" t="e">
        <f>'Product info'!#REF!</f>
        <v>#REF!</v>
      </c>
      <c r="J167" s="51" t="e">
        <f>'Product info'!#REF!</f>
        <v>#REF!</v>
      </c>
      <c r="K167" s="52" t="e">
        <f t="shared" si="29"/>
        <v>#REF!</v>
      </c>
      <c r="L167" s="50" t="e">
        <f t="shared" si="30"/>
        <v>#REF!</v>
      </c>
      <c r="M167" s="50" t="e">
        <f t="shared" si="31"/>
        <v>#REF!</v>
      </c>
      <c r="N167" s="50" t="e">
        <f t="shared" si="32"/>
        <v>#REF!</v>
      </c>
      <c r="O167" s="50" t="e">
        <f t="shared" si="33"/>
        <v>#REF!</v>
      </c>
      <c r="P167" s="53" t="e">
        <f t="shared" si="34"/>
        <v>#REF!</v>
      </c>
      <c r="Q167" s="54" t="e">
        <f>'Product info'!#REF!</f>
        <v>#REF!</v>
      </c>
      <c r="R167" s="54" t="e">
        <f>'Product info'!#REF!</f>
        <v>#REF!</v>
      </c>
      <c r="S167" s="54" t="e">
        <f>'Product info'!#REF!</f>
        <v>#REF!</v>
      </c>
      <c r="T167" s="50" t="e">
        <f>'Product info'!#REF!</f>
        <v>#REF!</v>
      </c>
      <c r="U167" s="52" t="e">
        <f t="shared" si="35"/>
        <v>#REF!</v>
      </c>
      <c r="V167" s="50" t="e">
        <f t="shared" si="36"/>
        <v>#REF!</v>
      </c>
      <c r="W167" s="50" t="e">
        <f t="shared" si="37"/>
        <v>#REF!</v>
      </c>
      <c r="X167" s="50" t="e">
        <f t="shared" si="38"/>
        <v>#REF!</v>
      </c>
      <c r="Y167" s="50" t="e">
        <f t="shared" si="39"/>
        <v>#REF!</v>
      </c>
      <c r="Z167" t="e">
        <f t="shared" si="40"/>
        <v>#REF!</v>
      </c>
    </row>
    <row r="168" spans="1:26" x14ac:dyDescent="0.4">
      <c r="A168" t="e">
        <f>'Product info'!#REF!</f>
        <v>#REF!</v>
      </c>
      <c r="B168" t="e">
        <f>'Product info'!#REF!</f>
        <v>#REF!</v>
      </c>
      <c r="C168" t="e">
        <f>'Product info'!#REF!</f>
        <v>#REF!</v>
      </c>
      <c r="D168" s="6" t="e">
        <f>'Product info'!#REF!</f>
        <v>#REF!</v>
      </c>
      <c r="E168" t="e">
        <f t="shared" si="28"/>
        <v>#REF!</v>
      </c>
      <c r="F168" s="50" t="e">
        <f>'Product info'!#REF!</f>
        <v>#REF!</v>
      </c>
      <c r="G168" s="50" t="e">
        <f>'Product info'!#REF!</f>
        <v>#REF!</v>
      </c>
      <c r="H168" s="50" t="e">
        <f>'Product info'!#REF!</f>
        <v>#REF!</v>
      </c>
      <c r="I168" s="50" t="e">
        <f>'Product info'!#REF!</f>
        <v>#REF!</v>
      </c>
      <c r="J168" s="51" t="e">
        <f>'Product info'!#REF!</f>
        <v>#REF!</v>
      </c>
      <c r="K168" s="52" t="e">
        <f t="shared" si="29"/>
        <v>#REF!</v>
      </c>
      <c r="L168" s="50" t="e">
        <f t="shared" si="30"/>
        <v>#REF!</v>
      </c>
      <c r="M168" s="50" t="e">
        <f t="shared" si="31"/>
        <v>#REF!</v>
      </c>
      <c r="N168" s="50" t="e">
        <f t="shared" si="32"/>
        <v>#REF!</v>
      </c>
      <c r="O168" s="50" t="e">
        <f t="shared" si="33"/>
        <v>#REF!</v>
      </c>
      <c r="P168" s="53" t="e">
        <f t="shared" si="34"/>
        <v>#REF!</v>
      </c>
      <c r="Q168" s="54" t="e">
        <f>'Product info'!#REF!</f>
        <v>#REF!</v>
      </c>
      <c r="R168" s="54" t="e">
        <f>'Product info'!#REF!</f>
        <v>#REF!</v>
      </c>
      <c r="S168" s="54" t="e">
        <f>'Product info'!#REF!</f>
        <v>#REF!</v>
      </c>
      <c r="T168" s="50" t="e">
        <f>'Product info'!#REF!</f>
        <v>#REF!</v>
      </c>
      <c r="U168" s="52" t="e">
        <f t="shared" si="35"/>
        <v>#REF!</v>
      </c>
      <c r="V168" s="50" t="e">
        <f t="shared" si="36"/>
        <v>#REF!</v>
      </c>
      <c r="W168" s="50" t="e">
        <f t="shared" si="37"/>
        <v>#REF!</v>
      </c>
      <c r="X168" s="50" t="e">
        <f t="shared" si="38"/>
        <v>#REF!</v>
      </c>
      <c r="Y168" s="50" t="e">
        <f t="shared" si="39"/>
        <v>#REF!</v>
      </c>
      <c r="Z168" t="e">
        <f t="shared" si="40"/>
        <v>#REF!</v>
      </c>
    </row>
    <row r="169" spans="1:26" x14ac:dyDescent="0.4">
      <c r="A169" t="e">
        <f>'Product info'!#REF!</f>
        <v>#REF!</v>
      </c>
      <c r="B169" t="e">
        <f>'Product info'!#REF!</f>
        <v>#REF!</v>
      </c>
      <c r="C169" t="e">
        <f>'Product info'!#REF!</f>
        <v>#REF!</v>
      </c>
      <c r="D169" s="6" t="e">
        <f>'Product info'!#REF!</f>
        <v>#REF!</v>
      </c>
      <c r="E169" t="e">
        <f t="shared" si="28"/>
        <v>#REF!</v>
      </c>
      <c r="F169" s="50" t="e">
        <f>'Product info'!#REF!</f>
        <v>#REF!</v>
      </c>
      <c r="G169" s="50" t="e">
        <f>'Product info'!#REF!</f>
        <v>#REF!</v>
      </c>
      <c r="H169" s="50" t="e">
        <f>'Product info'!#REF!</f>
        <v>#REF!</v>
      </c>
      <c r="I169" s="50" t="e">
        <f>'Product info'!#REF!</f>
        <v>#REF!</v>
      </c>
      <c r="J169" s="51" t="e">
        <f>'Product info'!#REF!</f>
        <v>#REF!</v>
      </c>
      <c r="K169" s="52" t="e">
        <f t="shared" si="29"/>
        <v>#REF!</v>
      </c>
      <c r="L169" s="50" t="e">
        <f t="shared" si="30"/>
        <v>#REF!</v>
      </c>
      <c r="M169" s="50" t="e">
        <f t="shared" si="31"/>
        <v>#REF!</v>
      </c>
      <c r="N169" s="50" t="e">
        <f t="shared" si="32"/>
        <v>#REF!</v>
      </c>
      <c r="O169" s="50" t="e">
        <f t="shared" si="33"/>
        <v>#REF!</v>
      </c>
      <c r="P169" s="53" t="e">
        <f t="shared" si="34"/>
        <v>#REF!</v>
      </c>
      <c r="Q169" s="54" t="e">
        <f>'Product info'!#REF!</f>
        <v>#REF!</v>
      </c>
      <c r="R169" s="54" t="e">
        <f>'Product info'!#REF!</f>
        <v>#REF!</v>
      </c>
      <c r="S169" s="54" t="e">
        <f>'Product info'!#REF!</f>
        <v>#REF!</v>
      </c>
      <c r="T169" s="50" t="e">
        <f>'Product info'!#REF!</f>
        <v>#REF!</v>
      </c>
      <c r="U169" s="52" t="e">
        <f t="shared" si="35"/>
        <v>#REF!</v>
      </c>
      <c r="V169" s="50" t="e">
        <f t="shared" si="36"/>
        <v>#REF!</v>
      </c>
      <c r="W169" s="50" t="e">
        <f t="shared" si="37"/>
        <v>#REF!</v>
      </c>
      <c r="X169" s="50" t="e">
        <f t="shared" si="38"/>
        <v>#REF!</v>
      </c>
      <c r="Y169" s="50" t="e">
        <f t="shared" si="39"/>
        <v>#REF!</v>
      </c>
      <c r="Z169" t="e">
        <f t="shared" si="40"/>
        <v>#REF!</v>
      </c>
    </row>
    <row r="170" spans="1:26" x14ac:dyDescent="0.4">
      <c r="A170" t="e">
        <f>'Product info'!#REF!</f>
        <v>#REF!</v>
      </c>
      <c r="B170" t="e">
        <f>'Product info'!#REF!</f>
        <v>#REF!</v>
      </c>
      <c r="C170" t="e">
        <f>'Product info'!#REF!</f>
        <v>#REF!</v>
      </c>
      <c r="D170" s="6" t="e">
        <f>'Product info'!#REF!</f>
        <v>#REF!</v>
      </c>
      <c r="E170" t="e">
        <f t="shared" si="28"/>
        <v>#REF!</v>
      </c>
      <c r="F170" s="50" t="e">
        <f>'Product info'!#REF!</f>
        <v>#REF!</v>
      </c>
      <c r="G170" s="50" t="e">
        <f>'Product info'!#REF!</f>
        <v>#REF!</v>
      </c>
      <c r="H170" s="50" t="e">
        <f>'Product info'!#REF!</f>
        <v>#REF!</v>
      </c>
      <c r="I170" s="50" t="e">
        <f>'Product info'!#REF!</f>
        <v>#REF!</v>
      </c>
      <c r="J170" s="51" t="e">
        <f>'Product info'!#REF!</f>
        <v>#REF!</v>
      </c>
      <c r="K170" s="52" t="e">
        <f t="shared" si="29"/>
        <v>#REF!</v>
      </c>
      <c r="L170" s="50" t="e">
        <f t="shared" si="30"/>
        <v>#REF!</v>
      </c>
      <c r="M170" s="50" t="e">
        <f t="shared" si="31"/>
        <v>#REF!</v>
      </c>
      <c r="N170" s="50" t="e">
        <f t="shared" si="32"/>
        <v>#REF!</v>
      </c>
      <c r="O170" s="50" t="e">
        <f t="shared" si="33"/>
        <v>#REF!</v>
      </c>
      <c r="P170" s="53" t="e">
        <f t="shared" si="34"/>
        <v>#REF!</v>
      </c>
      <c r="Q170" s="54" t="e">
        <f>'Product info'!#REF!</f>
        <v>#REF!</v>
      </c>
      <c r="R170" s="54" t="e">
        <f>'Product info'!#REF!</f>
        <v>#REF!</v>
      </c>
      <c r="S170" s="54" t="e">
        <f>'Product info'!#REF!</f>
        <v>#REF!</v>
      </c>
      <c r="T170" s="50" t="e">
        <f>'Product info'!#REF!</f>
        <v>#REF!</v>
      </c>
      <c r="U170" s="52" t="e">
        <f t="shared" si="35"/>
        <v>#REF!</v>
      </c>
      <c r="V170" s="50" t="e">
        <f t="shared" si="36"/>
        <v>#REF!</v>
      </c>
      <c r="W170" s="50" t="e">
        <f t="shared" si="37"/>
        <v>#REF!</v>
      </c>
      <c r="X170" s="50" t="e">
        <f t="shared" si="38"/>
        <v>#REF!</v>
      </c>
      <c r="Y170" s="50" t="e">
        <f t="shared" si="39"/>
        <v>#REF!</v>
      </c>
      <c r="Z170" t="e">
        <f t="shared" si="40"/>
        <v>#REF!</v>
      </c>
    </row>
    <row r="171" spans="1:26" x14ac:dyDescent="0.4">
      <c r="A171" t="e">
        <f>'Product info'!#REF!</f>
        <v>#REF!</v>
      </c>
      <c r="B171" t="e">
        <f>'Product info'!#REF!</f>
        <v>#REF!</v>
      </c>
      <c r="C171" t="e">
        <f>'Product info'!#REF!</f>
        <v>#REF!</v>
      </c>
      <c r="D171" s="6" t="e">
        <f>'Product info'!#REF!</f>
        <v>#REF!</v>
      </c>
      <c r="E171" t="e">
        <f t="shared" si="28"/>
        <v>#REF!</v>
      </c>
      <c r="F171" s="50" t="e">
        <f>'Product info'!#REF!</f>
        <v>#REF!</v>
      </c>
      <c r="G171" s="50" t="e">
        <f>'Product info'!#REF!</f>
        <v>#REF!</v>
      </c>
      <c r="H171" s="50" t="e">
        <f>'Product info'!#REF!</f>
        <v>#REF!</v>
      </c>
      <c r="I171" s="50" t="e">
        <f>'Product info'!#REF!</f>
        <v>#REF!</v>
      </c>
      <c r="J171" s="51" t="e">
        <f>'Product info'!#REF!</f>
        <v>#REF!</v>
      </c>
      <c r="K171" s="52" t="e">
        <f t="shared" si="29"/>
        <v>#REF!</v>
      </c>
      <c r="L171" s="50" t="e">
        <f t="shared" si="30"/>
        <v>#REF!</v>
      </c>
      <c r="M171" s="50" t="e">
        <f t="shared" si="31"/>
        <v>#REF!</v>
      </c>
      <c r="N171" s="50" t="e">
        <f t="shared" si="32"/>
        <v>#REF!</v>
      </c>
      <c r="O171" s="50" t="e">
        <f t="shared" si="33"/>
        <v>#REF!</v>
      </c>
      <c r="P171" s="53" t="e">
        <f t="shared" si="34"/>
        <v>#REF!</v>
      </c>
      <c r="Q171" s="54" t="e">
        <f>'Product info'!#REF!</f>
        <v>#REF!</v>
      </c>
      <c r="R171" s="54" t="e">
        <f>'Product info'!#REF!</f>
        <v>#REF!</v>
      </c>
      <c r="S171" s="54" t="e">
        <f>'Product info'!#REF!</f>
        <v>#REF!</v>
      </c>
      <c r="T171" s="50" t="e">
        <f>'Product info'!#REF!</f>
        <v>#REF!</v>
      </c>
      <c r="U171" s="52" t="e">
        <f t="shared" si="35"/>
        <v>#REF!</v>
      </c>
      <c r="V171" s="50" t="e">
        <f t="shared" si="36"/>
        <v>#REF!</v>
      </c>
      <c r="W171" s="50" t="e">
        <f t="shared" si="37"/>
        <v>#REF!</v>
      </c>
      <c r="X171" s="50" t="e">
        <f t="shared" si="38"/>
        <v>#REF!</v>
      </c>
      <c r="Y171" s="50" t="e">
        <f t="shared" si="39"/>
        <v>#REF!</v>
      </c>
      <c r="Z171" t="e">
        <f t="shared" si="40"/>
        <v>#REF!</v>
      </c>
    </row>
    <row r="172" spans="1:26" x14ac:dyDescent="0.4">
      <c r="A172" t="e">
        <f>'Product info'!#REF!</f>
        <v>#REF!</v>
      </c>
      <c r="B172" t="e">
        <f>'Product info'!#REF!</f>
        <v>#REF!</v>
      </c>
      <c r="C172" t="e">
        <f>'Product info'!#REF!</f>
        <v>#REF!</v>
      </c>
      <c r="D172" s="6" t="e">
        <f>'Product info'!#REF!</f>
        <v>#REF!</v>
      </c>
      <c r="E172" t="e">
        <f t="shared" si="28"/>
        <v>#REF!</v>
      </c>
      <c r="F172" s="50" t="e">
        <f>'Product info'!#REF!</f>
        <v>#REF!</v>
      </c>
      <c r="G172" s="50" t="e">
        <f>'Product info'!#REF!</f>
        <v>#REF!</v>
      </c>
      <c r="H172" s="50" t="e">
        <f>'Product info'!#REF!</f>
        <v>#REF!</v>
      </c>
      <c r="I172" s="50" t="e">
        <f>'Product info'!#REF!</f>
        <v>#REF!</v>
      </c>
      <c r="J172" s="51" t="e">
        <f>'Product info'!#REF!</f>
        <v>#REF!</v>
      </c>
      <c r="K172" s="52" t="e">
        <f t="shared" si="29"/>
        <v>#REF!</v>
      </c>
      <c r="L172" s="50" t="e">
        <f t="shared" si="30"/>
        <v>#REF!</v>
      </c>
      <c r="M172" s="50" t="e">
        <f t="shared" si="31"/>
        <v>#REF!</v>
      </c>
      <c r="N172" s="50" t="e">
        <f t="shared" si="32"/>
        <v>#REF!</v>
      </c>
      <c r="O172" s="50" t="e">
        <f t="shared" si="33"/>
        <v>#REF!</v>
      </c>
      <c r="P172" s="53" t="e">
        <f t="shared" si="34"/>
        <v>#REF!</v>
      </c>
      <c r="Q172" s="54" t="e">
        <f>'Product info'!#REF!</f>
        <v>#REF!</v>
      </c>
      <c r="R172" s="54" t="e">
        <f>'Product info'!#REF!</f>
        <v>#REF!</v>
      </c>
      <c r="S172" s="54" t="e">
        <f>'Product info'!#REF!</f>
        <v>#REF!</v>
      </c>
      <c r="T172" s="50" t="e">
        <f>'Product info'!#REF!</f>
        <v>#REF!</v>
      </c>
      <c r="U172" s="52" t="e">
        <f t="shared" si="35"/>
        <v>#REF!</v>
      </c>
      <c r="V172" s="50" t="e">
        <f t="shared" si="36"/>
        <v>#REF!</v>
      </c>
      <c r="W172" s="50" t="e">
        <f t="shared" si="37"/>
        <v>#REF!</v>
      </c>
      <c r="X172" s="50" t="e">
        <f t="shared" si="38"/>
        <v>#REF!</v>
      </c>
      <c r="Y172" s="50" t="e">
        <f t="shared" si="39"/>
        <v>#REF!</v>
      </c>
      <c r="Z172" t="e">
        <f t="shared" si="40"/>
        <v>#REF!</v>
      </c>
    </row>
    <row r="173" spans="1:26" x14ac:dyDescent="0.4">
      <c r="A173" t="e">
        <f>'Product info'!#REF!</f>
        <v>#REF!</v>
      </c>
      <c r="B173" t="e">
        <f>'Product info'!#REF!</f>
        <v>#REF!</v>
      </c>
      <c r="C173" t="e">
        <f>'Product info'!#REF!</f>
        <v>#REF!</v>
      </c>
      <c r="D173" s="6" t="e">
        <f>'Product info'!#REF!</f>
        <v>#REF!</v>
      </c>
      <c r="E173" t="e">
        <f t="shared" si="28"/>
        <v>#REF!</v>
      </c>
      <c r="F173" s="50" t="e">
        <f>'Product info'!#REF!</f>
        <v>#REF!</v>
      </c>
      <c r="G173" s="50" t="e">
        <f>'Product info'!#REF!</f>
        <v>#REF!</v>
      </c>
      <c r="H173" s="50" t="e">
        <f>'Product info'!#REF!</f>
        <v>#REF!</v>
      </c>
      <c r="I173" s="50" t="e">
        <f>'Product info'!#REF!</f>
        <v>#REF!</v>
      </c>
      <c r="J173" s="51" t="e">
        <f>'Product info'!#REF!</f>
        <v>#REF!</v>
      </c>
      <c r="K173" s="52" t="e">
        <f t="shared" si="29"/>
        <v>#REF!</v>
      </c>
      <c r="L173" s="50" t="e">
        <f t="shared" si="30"/>
        <v>#REF!</v>
      </c>
      <c r="M173" s="50" t="e">
        <f t="shared" si="31"/>
        <v>#REF!</v>
      </c>
      <c r="N173" s="50" t="e">
        <f t="shared" si="32"/>
        <v>#REF!</v>
      </c>
      <c r="O173" s="50" t="e">
        <f t="shared" si="33"/>
        <v>#REF!</v>
      </c>
      <c r="P173" s="53" t="e">
        <f t="shared" si="34"/>
        <v>#REF!</v>
      </c>
      <c r="Q173" s="54" t="e">
        <f>'Product info'!#REF!</f>
        <v>#REF!</v>
      </c>
      <c r="R173" s="54" t="e">
        <f>'Product info'!#REF!</f>
        <v>#REF!</v>
      </c>
      <c r="S173" s="54" t="e">
        <f>'Product info'!#REF!</f>
        <v>#REF!</v>
      </c>
      <c r="T173" s="50" t="e">
        <f>'Product info'!#REF!</f>
        <v>#REF!</v>
      </c>
      <c r="U173" s="52" t="e">
        <f t="shared" si="35"/>
        <v>#REF!</v>
      </c>
      <c r="V173" s="50" t="e">
        <f t="shared" si="36"/>
        <v>#REF!</v>
      </c>
      <c r="W173" s="50" t="e">
        <f t="shared" si="37"/>
        <v>#REF!</v>
      </c>
      <c r="X173" s="50" t="e">
        <f t="shared" si="38"/>
        <v>#REF!</v>
      </c>
      <c r="Y173" s="50" t="e">
        <f t="shared" si="39"/>
        <v>#REF!</v>
      </c>
      <c r="Z173" t="e">
        <f t="shared" si="40"/>
        <v>#REF!</v>
      </c>
    </row>
    <row r="174" spans="1:26" x14ac:dyDescent="0.4">
      <c r="A174" t="e">
        <f>'Product info'!#REF!</f>
        <v>#REF!</v>
      </c>
      <c r="B174" t="e">
        <f>'Product info'!#REF!</f>
        <v>#REF!</v>
      </c>
      <c r="C174" t="e">
        <f>'Product info'!#REF!</f>
        <v>#REF!</v>
      </c>
      <c r="D174" s="6" t="e">
        <f>'Product info'!#REF!</f>
        <v>#REF!</v>
      </c>
      <c r="E174" t="e">
        <f t="shared" si="28"/>
        <v>#REF!</v>
      </c>
      <c r="F174" s="50" t="e">
        <f>'Product info'!#REF!</f>
        <v>#REF!</v>
      </c>
      <c r="G174" s="50" t="e">
        <f>'Product info'!#REF!</f>
        <v>#REF!</v>
      </c>
      <c r="H174" s="50" t="e">
        <f>'Product info'!#REF!</f>
        <v>#REF!</v>
      </c>
      <c r="I174" s="50" t="e">
        <f>'Product info'!#REF!</f>
        <v>#REF!</v>
      </c>
      <c r="J174" s="51" t="e">
        <f>'Product info'!#REF!</f>
        <v>#REF!</v>
      </c>
      <c r="K174" s="52" t="e">
        <f t="shared" si="29"/>
        <v>#REF!</v>
      </c>
      <c r="L174" s="50" t="e">
        <f t="shared" si="30"/>
        <v>#REF!</v>
      </c>
      <c r="M174" s="50" t="e">
        <f t="shared" si="31"/>
        <v>#REF!</v>
      </c>
      <c r="N174" s="50" t="e">
        <f t="shared" si="32"/>
        <v>#REF!</v>
      </c>
      <c r="O174" s="50" t="e">
        <f t="shared" si="33"/>
        <v>#REF!</v>
      </c>
      <c r="P174" s="53" t="e">
        <f t="shared" si="34"/>
        <v>#REF!</v>
      </c>
      <c r="Q174" s="54" t="e">
        <f>'Product info'!#REF!</f>
        <v>#REF!</v>
      </c>
      <c r="R174" s="54" t="e">
        <f>'Product info'!#REF!</f>
        <v>#REF!</v>
      </c>
      <c r="S174" s="54" t="e">
        <f>'Product info'!#REF!</f>
        <v>#REF!</v>
      </c>
      <c r="T174" s="50" t="e">
        <f>'Product info'!#REF!</f>
        <v>#REF!</v>
      </c>
      <c r="U174" s="52" t="e">
        <f t="shared" si="35"/>
        <v>#REF!</v>
      </c>
      <c r="V174" s="50" t="e">
        <f t="shared" si="36"/>
        <v>#REF!</v>
      </c>
      <c r="W174" s="50" t="e">
        <f t="shared" si="37"/>
        <v>#REF!</v>
      </c>
      <c r="X174" s="50" t="e">
        <f t="shared" si="38"/>
        <v>#REF!</v>
      </c>
      <c r="Y174" s="50" t="e">
        <f t="shared" si="39"/>
        <v>#REF!</v>
      </c>
      <c r="Z174" t="e">
        <f t="shared" si="40"/>
        <v>#REF!</v>
      </c>
    </row>
    <row r="175" spans="1:26" x14ac:dyDescent="0.4">
      <c r="A175" t="e">
        <f>'Product info'!#REF!</f>
        <v>#REF!</v>
      </c>
      <c r="B175" t="e">
        <f>'Product info'!#REF!</f>
        <v>#REF!</v>
      </c>
      <c r="C175" t="e">
        <f>'Product info'!#REF!</f>
        <v>#REF!</v>
      </c>
      <c r="D175" s="6" t="e">
        <f>'Product info'!#REF!</f>
        <v>#REF!</v>
      </c>
      <c r="E175" t="e">
        <f t="shared" si="28"/>
        <v>#REF!</v>
      </c>
      <c r="F175" s="50" t="e">
        <f>'Product info'!#REF!</f>
        <v>#REF!</v>
      </c>
      <c r="G175" s="50" t="e">
        <f>'Product info'!#REF!</f>
        <v>#REF!</v>
      </c>
      <c r="H175" s="50" t="e">
        <f>'Product info'!#REF!</f>
        <v>#REF!</v>
      </c>
      <c r="I175" s="50" t="e">
        <f>'Product info'!#REF!</f>
        <v>#REF!</v>
      </c>
      <c r="J175" s="51" t="e">
        <f>'Product info'!#REF!</f>
        <v>#REF!</v>
      </c>
      <c r="K175" s="52" t="e">
        <f t="shared" si="29"/>
        <v>#REF!</v>
      </c>
      <c r="L175" s="50" t="e">
        <f t="shared" si="30"/>
        <v>#REF!</v>
      </c>
      <c r="M175" s="50" t="e">
        <f t="shared" si="31"/>
        <v>#REF!</v>
      </c>
      <c r="N175" s="50" t="e">
        <f t="shared" si="32"/>
        <v>#REF!</v>
      </c>
      <c r="O175" s="50" t="e">
        <f t="shared" si="33"/>
        <v>#REF!</v>
      </c>
      <c r="P175" s="53" t="e">
        <f t="shared" si="34"/>
        <v>#REF!</v>
      </c>
      <c r="Q175" s="54" t="e">
        <f>'Product info'!#REF!</f>
        <v>#REF!</v>
      </c>
      <c r="R175" s="54" t="e">
        <f>'Product info'!#REF!</f>
        <v>#REF!</v>
      </c>
      <c r="S175" s="54" t="e">
        <f>'Product info'!#REF!</f>
        <v>#REF!</v>
      </c>
      <c r="T175" s="50" t="e">
        <f>'Product info'!#REF!</f>
        <v>#REF!</v>
      </c>
      <c r="U175" s="52" t="e">
        <f t="shared" si="35"/>
        <v>#REF!</v>
      </c>
      <c r="V175" s="50" t="e">
        <f t="shared" si="36"/>
        <v>#REF!</v>
      </c>
      <c r="W175" s="50" t="e">
        <f t="shared" si="37"/>
        <v>#REF!</v>
      </c>
      <c r="X175" s="50" t="e">
        <f t="shared" si="38"/>
        <v>#REF!</v>
      </c>
      <c r="Y175" s="50" t="e">
        <f t="shared" si="39"/>
        <v>#REF!</v>
      </c>
      <c r="Z175" t="e">
        <f t="shared" si="40"/>
        <v>#REF!</v>
      </c>
    </row>
    <row r="176" spans="1:26" x14ac:dyDescent="0.4">
      <c r="A176" t="e">
        <f>'Product info'!#REF!</f>
        <v>#REF!</v>
      </c>
      <c r="B176" t="e">
        <f>'Product info'!#REF!</f>
        <v>#REF!</v>
      </c>
      <c r="C176" t="e">
        <f>'Product info'!#REF!</f>
        <v>#REF!</v>
      </c>
      <c r="D176" s="6" t="e">
        <f>'Product info'!#REF!</f>
        <v>#REF!</v>
      </c>
      <c r="E176" t="e">
        <f t="shared" si="28"/>
        <v>#REF!</v>
      </c>
      <c r="F176" s="50" t="e">
        <f>'Product info'!#REF!</f>
        <v>#REF!</v>
      </c>
      <c r="G176" s="50" t="e">
        <f>'Product info'!#REF!</f>
        <v>#REF!</v>
      </c>
      <c r="H176" s="50" t="e">
        <f>'Product info'!#REF!</f>
        <v>#REF!</v>
      </c>
      <c r="I176" s="50" t="e">
        <f>'Product info'!#REF!</f>
        <v>#REF!</v>
      </c>
      <c r="J176" s="51" t="e">
        <f>'Product info'!#REF!</f>
        <v>#REF!</v>
      </c>
      <c r="K176" s="52" t="e">
        <f t="shared" si="29"/>
        <v>#REF!</v>
      </c>
      <c r="L176" s="50" t="e">
        <f t="shared" si="30"/>
        <v>#REF!</v>
      </c>
      <c r="M176" s="50" t="e">
        <f t="shared" si="31"/>
        <v>#REF!</v>
      </c>
      <c r="N176" s="50" t="e">
        <f t="shared" si="32"/>
        <v>#REF!</v>
      </c>
      <c r="O176" s="50" t="e">
        <f t="shared" si="33"/>
        <v>#REF!</v>
      </c>
      <c r="P176" s="53" t="e">
        <f t="shared" si="34"/>
        <v>#REF!</v>
      </c>
      <c r="Q176" s="54" t="e">
        <f>'Product info'!#REF!</f>
        <v>#REF!</v>
      </c>
      <c r="R176" s="54" t="e">
        <f>'Product info'!#REF!</f>
        <v>#REF!</v>
      </c>
      <c r="S176" s="54" t="e">
        <f>'Product info'!#REF!</f>
        <v>#REF!</v>
      </c>
      <c r="T176" s="50" t="e">
        <f>'Product info'!#REF!</f>
        <v>#REF!</v>
      </c>
      <c r="U176" s="52" t="e">
        <f t="shared" si="35"/>
        <v>#REF!</v>
      </c>
      <c r="V176" s="50" t="e">
        <f t="shared" si="36"/>
        <v>#REF!</v>
      </c>
      <c r="W176" s="50" t="e">
        <f t="shared" si="37"/>
        <v>#REF!</v>
      </c>
      <c r="X176" s="50" t="e">
        <f t="shared" si="38"/>
        <v>#REF!</v>
      </c>
      <c r="Y176" s="50" t="e">
        <f t="shared" si="39"/>
        <v>#REF!</v>
      </c>
      <c r="Z176" t="e">
        <f t="shared" si="40"/>
        <v>#REF!</v>
      </c>
    </row>
    <row r="177" spans="1:26" x14ac:dyDescent="0.4">
      <c r="A177" t="e">
        <f>'Product info'!#REF!</f>
        <v>#REF!</v>
      </c>
      <c r="B177" t="e">
        <f>'Product info'!#REF!</f>
        <v>#REF!</v>
      </c>
      <c r="C177" t="e">
        <f>'Product info'!#REF!</f>
        <v>#REF!</v>
      </c>
      <c r="D177" s="6" t="e">
        <f>'Product info'!#REF!</f>
        <v>#REF!</v>
      </c>
      <c r="E177" t="e">
        <f t="shared" si="28"/>
        <v>#REF!</v>
      </c>
      <c r="F177" s="50" t="e">
        <f>'Product info'!#REF!</f>
        <v>#REF!</v>
      </c>
      <c r="G177" s="50" t="e">
        <f>'Product info'!#REF!</f>
        <v>#REF!</v>
      </c>
      <c r="H177" s="50" t="e">
        <f>'Product info'!#REF!</f>
        <v>#REF!</v>
      </c>
      <c r="I177" s="50" t="e">
        <f>'Product info'!#REF!</f>
        <v>#REF!</v>
      </c>
      <c r="J177" s="51" t="e">
        <f>'Product info'!#REF!</f>
        <v>#REF!</v>
      </c>
      <c r="K177" s="52" t="e">
        <f t="shared" si="29"/>
        <v>#REF!</v>
      </c>
      <c r="L177" s="50" t="e">
        <f t="shared" si="30"/>
        <v>#REF!</v>
      </c>
      <c r="M177" s="50" t="e">
        <f t="shared" si="31"/>
        <v>#REF!</v>
      </c>
      <c r="N177" s="50" t="e">
        <f t="shared" si="32"/>
        <v>#REF!</v>
      </c>
      <c r="O177" s="50" t="e">
        <f t="shared" si="33"/>
        <v>#REF!</v>
      </c>
      <c r="P177" s="53" t="e">
        <f t="shared" si="34"/>
        <v>#REF!</v>
      </c>
      <c r="Q177" s="54" t="e">
        <f>'Product info'!#REF!</f>
        <v>#REF!</v>
      </c>
      <c r="R177" s="54" t="e">
        <f>'Product info'!#REF!</f>
        <v>#REF!</v>
      </c>
      <c r="S177" s="54" t="e">
        <f>'Product info'!#REF!</f>
        <v>#REF!</v>
      </c>
      <c r="T177" s="50" t="e">
        <f>'Product info'!#REF!</f>
        <v>#REF!</v>
      </c>
      <c r="U177" s="52" t="e">
        <f t="shared" si="35"/>
        <v>#REF!</v>
      </c>
      <c r="V177" s="50" t="e">
        <f t="shared" si="36"/>
        <v>#REF!</v>
      </c>
      <c r="W177" s="50" t="e">
        <f t="shared" si="37"/>
        <v>#REF!</v>
      </c>
      <c r="X177" s="50" t="e">
        <f t="shared" si="38"/>
        <v>#REF!</v>
      </c>
      <c r="Y177" s="50" t="e">
        <f t="shared" si="39"/>
        <v>#REF!</v>
      </c>
      <c r="Z177" t="e">
        <f t="shared" si="40"/>
        <v>#REF!</v>
      </c>
    </row>
    <row r="178" spans="1:26" x14ac:dyDescent="0.4">
      <c r="A178" t="e">
        <f>'Product info'!#REF!</f>
        <v>#REF!</v>
      </c>
      <c r="B178" t="e">
        <f>'Product info'!#REF!</f>
        <v>#REF!</v>
      </c>
      <c r="C178" t="e">
        <f>'Product info'!#REF!</f>
        <v>#REF!</v>
      </c>
      <c r="D178" s="6" t="e">
        <f>'Product info'!#REF!</f>
        <v>#REF!</v>
      </c>
      <c r="E178" t="e">
        <f t="shared" si="28"/>
        <v>#REF!</v>
      </c>
      <c r="F178" s="50" t="e">
        <f>'Product info'!#REF!</f>
        <v>#REF!</v>
      </c>
      <c r="G178" s="50" t="e">
        <f>'Product info'!#REF!</f>
        <v>#REF!</v>
      </c>
      <c r="H178" s="50" t="e">
        <f>'Product info'!#REF!</f>
        <v>#REF!</v>
      </c>
      <c r="I178" s="50" t="e">
        <f>'Product info'!#REF!</f>
        <v>#REF!</v>
      </c>
      <c r="J178" s="51" t="e">
        <f>'Product info'!#REF!</f>
        <v>#REF!</v>
      </c>
      <c r="K178" s="52" t="e">
        <f t="shared" si="29"/>
        <v>#REF!</v>
      </c>
      <c r="L178" s="50" t="e">
        <f t="shared" si="30"/>
        <v>#REF!</v>
      </c>
      <c r="M178" s="50" t="e">
        <f t="shared" si="31"/>
        <v>#REF!</v>
      </c>
      <c r="N178" s="50" t="e">
        <f t="shared" si="32"/>
        <v>#REF!</v>
      </c>
      <c r="O178" s="50" t="e">
        <f t="shared" si="33"/>
        <v>#REF!</v>
      </c>
      <c r="P178" s="53" t="e">
        <f t="shared" si="34"/>
        <v>#REF!</v>
      </c>
      <c r="Q178" s="54" t="e">
        <f>'Product info'!#REF!</f>
        <v>#REF!</v>
      </c>
      <c r="R178" s="54" t="e">
        <f>'Product info'!#REF!</f>
        <v>#REF!</v>
      </c>
      <c r="S178" s="54" t="e">
        <f>'Product info'!#REF!</f>
        <v>#REF!</v>
      </c>
      <c r="T178" s="50" t="e">
        <f>'Product info'!#REF!</f>
        <v>#REF!</v>
      </c>
      <c r="U178" s="52" t="e">
        <f t="shared" si="35"/>
        <v>#REF!</v>
      </c>
      <c r="V178" s="50" t="e">
        <f t="shared" si="36"/>
        <v>#REF!</v>
      </c>
      <c r="W178" s="50" t="e">
        <f t="shared" si="37"/>
        <v>#REF!</v>
      </c>
      <c r="X178" s="50" t="e">
        <f t="shared" si="38"/>
        <v>#REF!</v>
      </c>
      <c r="Y178" s="50" t="e">
        <f t="shared" si="39"/>
        <v>#REF!</v>
      </c>
      <c r="Z178" t="e">
        <f t="shared" si="40"/>
        <v>#REF!</v>
      </c>
    </row>
    <row r="179" spans="1:26" x14ac:dyDescent="0.4">
      <c r="A179" t="e">
        <f>'Product info'!#REF!</f>
        <v>#REF!</v>
      </c>
      <c r="B179" t="e">
        <f>'Product info'!#REF!</f>
        <v>#REF!</v>
      </c>
      <c r="C179" t="e">
        <f>'Product info'!#REF!</f>
        <v>#REF!</v>
      </c>
      <c r="D179" s="6" t="e">
        <f>'Product info'!#REF!</f>
        <v>#REF!</v>
      </c>
      <c r="E179" t="e">
        <f t="shared" si="28"/>
        <v>#REF!</v>
      </c>
      <c r="F179" s="50" t="e">
        <f>'Product info'!#REF!</f>
        <v>#REF!</v>
      </c>
      <c r="G179" s="50" t="e">
        <f>'Product info'!#REF!</f>
        <v>#REF!</v>
      </c>
      <c r="H179" s="50" t="e">
        <f>'Product info'!#REF!</f>
        <v>#REF!</v>
      </c>
      <c r="I179" s="50" t="e">
        <f>'Product info'!#REF!</f>
        <v>#REF!</v>
      </c>
      <c r="J179" s="51" t="e">
        <f>'Product info'!#REF!</f>
        <v>#REF!</v>
      </c>
      <c r="K179" s="52" t="e">
        <f t="shared" si="29"/>
        <v>#REF!</v>
      </c>
      <c r="L179" s="50" t="e">
        <f t="shared" si="30"/>
        <v>#REF!</v>
      </c>
      <c r="M179" s="50" t="e">
        <f t="shared" si="31"/>
        <v>#REF!</v>
      </c>
      <c r="N179" s="50" t="e">
        <f t="shared" si="32"/>
        <v>#REF!</v>
      </c>
      <c r="O179" s="50" t="e">
        <f t="shared" si="33"/>
        <v>#REF!</v>
      </c>
      <c r="P179" s="53" t="e">
        <f t="shared" si="34"/>
        <v>#REF!</v>
      </c>
      <c r="Q179" s="54" t="e">
        <f>'Product info'!#REF!</f>
        <v>#REF!</v>
      </c>
      <c r="R179" s="54" t="e">
        <f>'Product info'!#REF!</f>
        <v>#REF!</v>
      </c>
      <c r="S179" s="54" t="e">
        <f>'Product info'!#REF!</f>
        <v>#REF!</v>
      </c>
      <c r="T179" s="50" t="e">
        <f>'Product info'!#REF!</f>
        <v>#REF!</v>
      </c>
      <c r="U179" s="52" t="e">
        <f t="shared" si="35"/>
        <v>#REF!</v>
      </c>
      <c r="V179" s="50" t="e">
        <f t="shared" si="36"/>
        <v>#REF!</v>
      </c>
      <c r="W179" s="50" t="e">
        <f t="shared" si="37"/>
        <v>#REF!</v>
      </c>
      <c r="X179" s="50" t="e">
        <f t="shared" si="38"/>
        <v>#REF!</v>
      </c>
      <c r="Y179" s="50" t="e">
        <f t="shared" si="39"/>
        <v>#REF!</v>
      </c>
      <c r="Z179" t="e">
        <f t="shared" si="40"/>
        <v>#REF!</v>
      </c>
    </row>
    <row r="180" spans="1:26" x14ac:dyDescent="0.4">
      <c r="A180" t="e">
        <f>'Product info'!#REF!</f>
        <v>#REF!</v>
      </c>
      <c r="B180" t="e">
        <f>'Product info'!#REF!</f>
        <v>#REF!</v>
      </c>
      <c r="C180" t="e">
        <f>'Product info'!#REF!</f>
        <v>#REF!</v>
      </c>
      <c r="D180" s="6" t="e">
        <f>'Product info'!#REF!</f>
        <v>#REF!</v>
      </c>
      <c r="E180" t="e">
        <f t="shared" si="28"/>
        <v>#REF!</v>
      </c>
      <c r="F180" s="50" t="e">
        <f>'Product info'!#REF!</f>
        <v>#REF!</v>
      </c>
      <c r="G180" s="50" t="e">
        <f>'Product info'!#REF!</f>
        <v>#REF!</v>
      </c>
      <c r="H180" s="50" t="e">
        <f>'Product info'!#REF!</f>
        <v>#REF!</v>
      </c>
      <c r="I180" s="50" t="e">
        <f>'Product info'!#REF!</f>
        <v>#REF!</v>
      </c>
      <c r="J180" s="51" t="e">
        <f>'Product info'!#REF!</f>
        <v>#REF!</v>
      </c>
      <c r="K180" s="52" t="e">
        <f t="shared" si="29"/>
        <v>#REF!</v>
      </c>
      <c r="L180" s="50" t="e">
        <f t="shared" si="30"/>
        <v>#REF!</v>
      </c>
      <c r="M180" s="50" t="e">
        <f t="shared" si="31"/>
        <v>#REF!</v>
      </c>
      <c r="N180" s="50" t="e">
        <f t="shared" si="32"/>
        <v>#REF!</v>
      </c>
      <c r="O180" s="50" t="e">
        <f t="shared" si="33"/>
        <v>#REF!</v>
      </c>
      <c r="P180" s="53" t="e">
        <f t="shared" si="34"/>
        <v>#REF!</v>
      </c>
      <c r="Q180" s="54" t="e">
        <f>'Product info'!#REF!</f>
        <v>#REF!</v>
      </c>
      <c r="R180" s="54" t="e">
        <f>'Product info'!#REF!</f>
        <v>#REF!</v>
      </c>
      <c r="S180" s="54" t="e">
        <f>'Product info'!#REF!</f>
        <v>#REF!</v>
      </c>
      <c r="T180" s="50" t="e">
        <f>'Product info'!#REF!</f>
        <v>#REF!</v>
      </c>
      <c r="U180" s="52" t="e">
        <f t="shared" si="35"/>
        <v>#REF!</v>
      </c>
      <c r="V180" s="50" t="e">
        <f t="shared" si="36"/>
        <v>#REF!</v>
      </c>
      <c r="W180" s="50" t="e">
        <f t="shared" si="37"/>
        <v>#REF!</v>
      </c>
      <c r="X180" s="50" t="e">
        <f t="shared" si="38"/>
        <v>#REF!</v>
      </c>
      <c r="Y180" s="50" t="e">
        <f t="shared" si="39"/>
        <v>#REF!</v>
      </c>
      <c r="Z180" t="e">
        <f t="shared" si="40"/>
        <v>#REF!</v>
      </c>
    </row>
    <row r="181" spans="1:26" x14ac:dyDescent="0.4">
      <c r="A181" t="e">
        <f>'Product info'!#REF!</f>
        <v>#REF!</v>
      </c>
      <c r="B181" t="e">
        <f>'Product info'!#REF!</f>
        <v>#REF!</v>
      </c>
      <c r="C181" t="e">
        <f>'Product info'!#REF!</f>
        <v>#REF!</v>
      </c>
      <c r="D181" s="6" t="e">
        <f>'Product info'!#REF!</f>
        <v>#REF!</v>
      </c>
      <c r="E181" t="e">
        <f t="shared" si="28"/>
        <v>#REF!</v>
      </c>
      <c r="F181" s="50" t="e">
        <f>'Product info'!#REF!</f>
        <v>#REF!</v>
      </c>
      <c r="G181" s="50" t="e">
        <f>'Product info'!#REF!</f>
        <v>#REF!</v>
      </c>
      <c r="H181" s="50" t="e">
        <f>'Product info'!#REF!</f>
        <v>#REF!</v>
      </c>
      <c r="I181" s="50" t="e">
        <f>'Product info'!#REF!</f>
        <v>#REF!</v>
      </c>
      <c r="J181" s="51" t="e">
        <f>'Product info'!#REF!</f>
        <v>#REF!</v>
      </c>
      <c r="K181" s="52" t="e">
        <f t="shared" si="29"/>
        <v>#REF!</v>
      </c>
      <c r="L181" s="50" t="e">
        <f t="shared" si="30"/>
        <v>#REF!</v>
      </c>
      <c r="M181" s="50" t="e">
        <f t="shared" si="31"/>
        <v>#REF!</v>
      </c>
      <c r="N181" s="50" t="e">
        <f t="shared" si="32"/>
        <v>#REF!</v>
      </c>
      <c r="O181" s="50" t="e">
        <f t="shared" si="33"/>
        <v>#REF!</v>
      </c>
      <c r="P181" s="53" t="e">
        <f t="shared" si="34"/>
        <v>#REF!</v>
      </c>
      <c r="Q181" s="54" t="e">
        <f>'Product info'!#REF!</f>
        <v>#REF!</v>
      </c>
      <c r="R181" s="54" t="e">
        <f>'Product info'!#REF!</f>
        <v>#REF!</v>
      </c>
      <c r="S181" s="54" t="e">
        <f>'Product info'!#REF!</f>
        <v>#REF!</v>
      </c>
      <c r="T181" s="50" t="e">
        <f>'Product info'!#REF!</f>
        <v>#REF!</v>
      </c>
      <c r="U181" s="52" t="e">
        <f t="shared" si="35"/>
        <v>#REF!</v>
      </c>
      <c r="V181" s="50" t="e">
        <f t="shared" si="36"/>
        <v>#REF!</v>
      </c>
      <c r="W181" s="50" t="e">
        <f t="shared" si="37"/>
        <v>#REF!</v>
      </c>
      <c r="X181" s="50" t="e">
        <f t="shared" si="38"/>
        <v>#REF!</v>
      </c>
      <c r="Y181" s="50" t="e">
        <f t="shared" si="39"/>
        <v>#REF!</v>
      </c>
      <c r="Z181" t="e">
        <f t="shared" si="40"/>
        <v>#REF!</v>
      </c>
    </row>
    <row r="182" spans="1:26" x14ac:dyDescent="0.4">
      <c r="A182" t="e">
        <f>'Product info'!#REF!</f>
        <v>#REF!</v>
      </c>
      <c r="B182" t="e">
        <f>'Product info'!#REF!</f>
        <v>#REF!</v>
      </c>
      <c r="C182" t="e">
        <f>'Product info'!#REF!</f>
        <v>#REF!</v>
      </c>
      <c r="D182" s="6" t="e">
        <f>'Product info'!#REF!</f>
        <v>#REF!</v>
      </c>
      <c r="E182" t="e">
        <f t="shared" si="28"/>
        <v>#REF!</v>
      </c>
      <c r="F182" s="50" t="e">
        <f>'Product info'!#REF!</f>
        <v>#REF!</v>
      </c>
      <c r="G182" s="50" t="e">
        <f>'Product info'!#REF!</f>
        <v>#REF!</v>
      </c>
      <c r="H182" s="50" t="e">
        <f>'Product info'!#REF!</f>
        <v>#REF!</v>
      </c>
      <c r="I182" s="50" t="e">
        <f>'Product info'!#REF!</f>
        <v>#REF!</v>
      </c>
      <c r="J182" s="51" t="e">
        <f>'Product info'!#REF!</f>
        <v>#REF!</v>
      </c>
      <c r="K182" s="52" t="e">
        <f t="shared" si="29"/>
        <v>#REF!</v>
      </c>
      <c r="L182" s="50" t="e">
        <f t="shared" si="30"/>
        <v>#REF!</v>
      </c>
      <c r="M182" s="50" t="e">
        <f t="shared" si="31"/>
        <v>#REF!</v>
      </c>
      <c r="N182" s="50" t="e">
        <f t="shared" si="32"/>
        <v>#REF!</v>
      </c>
      <c r="O182" s="50" t="e">
        <f t="shared" si="33"/>
        <v>#REF!</v>
      </c>
      <c r="P182" s="53" t="e">
        <f t="shared" si="34"/>
        <v>#REF!</v>
      </c>
      <c r="Q182" s="54" t="e">
        <f>'Product info'!#REF!</f>
        <v>#REF!</v>
      </c>
      <c r="R182" s="54" t="e">
        <f>'Product info'!#REF!</f>
        <v>#REF!</v>
      </c>
      <c r="S182" s="54" t="e">
        <f>'Product info'!#REF!</f>
        <v>#REF!</v>
      </c>
      <c r="T182" s="50" t="e">
        <f>'Product info'!#REF!</f>
        <v>#REF!</v>
      </c>
      <c r="U182" s="52" t="e">
        <f t="shared" si="35"/>
        <v>#REF!</v>
      </c>
      <c r="V182" s="50" t="e">
        <f t="shared" si="36"/>
        <v>#REF!</v>
      </c>
      <c r="W182" s="50" t="e">
        <f t="shared" si="37"/>
        <v>#REF!</v>
      </c>
      <c r="X182" s="50" t="e">
        <f t="shared" si="38"/>
        <v>#REF!</v>
      </c>
      <c r="Y182" s="50" t="e">
        <f t="shared" si="39"/>
        <v>#REF!</v>
      </c>
      <c r="Z182" t="e">
        <f t="shared" si="40"/>
        <v>#REF!</v>
      </c>
    </row>
    <row r="183" spans="1:26" x14ac:dyDescent="0.4">
      <c r="A183" t="e">
        <f>'Product info'!#REF!</f>
        <v>#REF!</v>
      </c>
      <c r="B183" t="e">
        <f>'Product info'!#REF!</f>
        <v>#REF!</v>
      </c>
      <c r="C183" t="e">
        <f>'Product info'!#REF!</f>
        <v>#REF!</v>
      </c>
      <c r="D183" s="6" t="e">
        <f>'Product info'!#REF!</f>
        <v>#REF!</v>
      </c>
      <c r="E183" t="e">
        <f t="shared" si="28"/>
        <v>#REF!</v>
      </c>
      <c r="F183" s="50" t="e">
        <f>'Product info'!#REF!</f>
        <v>#REF!</v>
      </c>
      <c r="G183" s="50" t="e">
        <f>'Product info'!#REF!</f>
        <v>#REF!</v>
      </c>
      <c r="H183" s="50" t="e">
        <f>'Product info'!#REF!</f>
        <v>#REF!</v>
      </c>
      <c r="I183" s="50" t="e">
        <f>'Product info'!#REF!</f>
        <v>#REF!</v>
      </c>
      <c r="J183" s="51" t="e">
        <f>'Product info'!#REF!</f>
        <v>#REF!</v>
      </c>
      <c r="K183" s="52" t="e">
        <f t="shared" si="29"/>
        <v>#REF!</v>
      </c>
      <c r="L183" s="50" t="e">
        <f t="shared" si="30"/>
        <v>#REF!</v>
      </c>
      <c r="M183" s="50" t="e">
        <f t="shared" si="31"/>
        <v>#REF!</v>
      </c>
      <c r="N183" s="50" t="e">
        <f t="shared" si="32"/>
        <v>#REF!</v>
      </c>
      <c r="O183" s="50" t="e">
        <f t="shared" si="33"/>
        <v>#REF!</v>
      </c>
      <c r="P183" s="53" t="e">
        <f t="shared" si="34"/>
        <v>#REF!</v>
      </c>
      <c r="Q183" s="54" t="e">
        <f>'Product info'!#REF!</f>
        <v>#REF!</v>
      </c>
      <c r="R183" s="54" t="e">
        <f>'Product info'!#REF!</f>
        <v>#REF!</v>
      </c>
      <c r="S183" s="54" t="e">
        <f>'Product info'!#REF!</f>
        <v>#REF!</v>
      </c>
      <c r="T183" s="50" t="e">
        <f>'Product info'!#REF!</f>
        <v>#REF!</v>
      </c>
      <c r="U183" s="52" t="e">
        <f t="shared" si="35"/>
        <v>#REF!</v>
      </c>
      <c r="V183" s="50" t="e">
        <f t="shared" si="36"/>
        <v>#REF!</v>
      </c>
      <c r="W183" s="50" t="e">
        <f t="shared" si="37"/>
        <v>#REF!</v>
      </c>
      <c r="X183" s="50" t="e">
        <f t="shared" si="38"/>
        <v>#REF!</v>
      </c>
      <c r="Y183" s="50" t="e">
        <f t="shared" si="39"/>
        <v>#REF!</v>
      </c>
      <c r="Z183" t="e">
        <f t="shared" si="40"/>
        <v>#REF!</v>
      </c>
    </row>
    <row r="184" spans="1:26" x14ac:dyDescent="0.4">
      <c r="A184" t="e">
        <f>'Product info'!#REF!</f>
        <v>#REF!</v>
      </c>
      <c r="B184" t="e">
        <f>'Product info'!#REF!</f>
        <v>#REF!</v>
      </c>
      <c r="C184" t="e">
        <f>'Product info'!#REF!</f>
        <v>#REF!</v>
      </c>
      <c r="D184" s="6" t="e">
        <f>'Product info'!#REF!</f>
        <v>#REF!</v>
      </c>
      <c r="E184" t="e">
        <f t="shared" si="28"/>
        <v>#REF!</v>
      </c>
      <c r="F184" s="50" t="e">
        <f>'Product info'!#REF!</f>
        <v>#REF!</v>
      </c>
      <c r="G184" s="50" t="e">
        <f>'Product info'!#REF!</f>
        <v>#REF!</v>
      </c>
      <c r="H184" s="50" t="e">
        <f>'Product info'!#REF!</f>
        <v>#REF!</v>
      </c>
      <c r="I184" s="50" t="e">
        <f>'Product info'!#REF!</f>
        <v>#REF!</v>
      </c>
      <c r="J184" s="51" t="e">
        <f>'Product info'!#REF!</f>
        <v>#REF!</v>
      </c>
      <c r="K184" s="52" t="e">
        <f t="shared" si="29"/>
        <v>#REF!</v>
      </c>
      <c r="L184" s="50" t="e">
        <f t="shared" si="30"/>
        <v>#REF!</v>
      </c>
      <c r="M184" s="50" t="e">
        <f t="shared" si="31"/>
        <v>#REF!</v>
      </c>
      <c r="N184" s="50" t="e">
        <f t="shared" si="32"/>
        <v>#REF!</v>
      </c>
      <c r="O184" s="50" t="e">
        <f t="shared" si="33"/>
        <v>#REF!</v>
      </c>
      <c r="P184" s="53" t="e">
        <f t="shared" si="34"/>
        <v>#REF!</v>
      </c>
      <c r="Q184" s="54" t="e">
        <f>'Product info'!#REF!</f>
        <v>#REF!</v>
      </c>
      <c r="R184" s="54" t="e">
        <f>'Product info'!#REF!</f>
        <v>#REF!</v>
      </c>
      <c r="S184" s="54" t="e">
        <f>'Product info'!#REF!</f>
        <v>#REF!</v>
      </c>
      <c r="T184" s="50" t="e">
        <f>'Product info'!#REF!</f>
        <v>#REF!</v>
      </c>
      <c r="U184" s="52" t="e">
        <f t="shared" si="35"/>
        <v>#REF!</v>
      </c>
      <c r="V184" s="50" t="e">
        <f t="shared" si="36"/>
        <v>#REF!</v>
      </c>
      <c r="W184" s="50" t="e">
        <f t="shared" si="37"/>
        <v>#REF!</v>
      </c>
      <c r="X184" s="50" t="e">
        <f t="shared" si="38"/>
        <v>#REF!</v>
      </c>
      <c r="Y184" s="50" t="e">
        <f t="shared" si="39"/>
        <v>#REF!</v>
      </c>
      <c r="Z184" t="e">
        <f t="shared" si="40"/>
        <v>#REF!</v>
      </c>
    </row>
    <row r="185" spans="1:26" x14ac:dyDescent="0.4">
      <c r="A185" t="e">
        <f>'Product info'!#REF!</f>
        <v>#REF!</v>
      </c>
      <c r="B185" t="e">
        <f>'Product info'!#REF!</f>
        <v>#REF!</v>
      </c>
      <c r="C185" t="e">
        <f>'Product info'!#REF!</f>
        <v>#REF!</v>
      </c>
      <c r="D185" s="6" t="e">
        <f>'Product info'!#REF!</f>
        <v>#REF!</v>
      </c>
      <c r="E185" t="e">
        <f t="shared" si="28"/>
        <v>#REF!</v>
      </c>
      <c r="F185" s="50" t="e">
        <f>'Product info'!#REF!</f>
        <v>#REF!</v>
      </c>
      <c r="G185" s="50" t="e">
        <f>'Product info'!#REF!</f>
        <v>#REF!</v>
      </c>
      <c r="H185" s="50" t="e">
        <f>'Product info'!#REF!</f>
        <v>#REF!</v>
      </c>
      <c r="I185" s="50" t="e">
        <f>'Product info'!#REF!</f>
        <v>#REF!</v>
      </c>
      <c r="J185" s="51" t="e">
        <f>'Product info'!#REF!</f>
        <v>#REF!</v>
      </c>
      <c r="K185" s="52" t="e">
        <f t="shared" si="29"/>
        <v>#REF!</v>
      </c>
      <c r="L185" s="50" t="e">
        <f t="shared" si="30"/>
        <v>#REF!</v>
      </c>
      <c r="M185" s="50" t="e">
        <f t="shared" si="31"/>
        <v>#REF!</v>
      </c>
      <c r="N185" s="50" t="e">
        <f t="shared" si="32"/>
        <v>#REF!</v>
      </c>
      <c r="O185" s="50" t="e">
        <f t="shared" si="33"/>
        <v>#REF!</v>
      </c>
      <c r="P185" s="53" t="e">
        <f t="shared" si="34"/>
        <v>#REF!</v>
      </c>
      <c r="Q185" s="54" t="e">
        <f>'Product info'!#REF!</f>
        <v>#REF!</v>
      </c>
      <c r="R185" s="54" t="e">
        <f>'Product info'!#REF!</f>
        <v>#REF!</v>
      </c>
      <c r="S185" s="54" t="e">
        <f>'Product info'!#REF!</f>
        <v>#REF!</v>
      </c>
      <c r="T185" s="50" t="e">
        <f>'Product info'!#REF!</f>
        <v>#REF!</v>
      </c>
      <c r="U185" s="52" t="e">
        <f t="shared" si="35"/>
        <v>#REF!</v>
      </c>
      <c r="V185" s="50" t="e">
        <f t="shared" si="36"/>
        <v>#REF!</v>
      </c>
      <c r="W185" s="50" t="e">
        <f t="shared" si="37"/>
        <v>#REF!</v>
      </c>
      <c r="X185" s="50" t="e">
        <f t="shared" si="38"/>
        <v>#REF!</v>
      </c>
      <c r="Y185" s="50" t="e">
        <f t="shared" si="39"/>
        <v>#REF!</v>
      </c>
      <c r="Z185" t="e">
        <f t="shared" si="40"/>
        <v>#REF!</v>
      </c>
    </row>
    <row r="186" spans="1:26" x14ac:dyDescent="0.4">
      <c r="A186" t="e">
        <f>'Product info'!#REF!</f>
        <v>#REF!</v>
      </c>
      <c r="B186" t="e">
        <f>'Product info'!#REF!</f>
        <v>#REF!</v>
      </c>
      <c r="C186" t="e">
        <f>'Product info'!#REF!</f>
        <v>#REF!</v>
      </c>
      <c r="D186" s="6" t="e">
        <f>'Product info'!#REF!</f>
        <v>#REF!</v>
      </c>
      <c r="E186" t="e">
        <f t="shared" si="28"/>
        <v>#REF!</v>
      </c>
      <c r="F186" s="50" t="e">
        <f>'Product info'!#REF!</f>
        <v>#REF!</v>
      </c>
      <c r="G186" s="50" t="e">
        <f>'Product info'!#REF!</f>
        <v>#REF!</v>
      </c>
      <c r="H186" s="50" t="e">
        <f>'Product info'!#REF!</f>
        <v>#REF!</v>
      </c>
      <c r="I186" s="50" t="e">
        <f>'Product info'!#REF!</f>
        <v>#REF!</v>
      </c>
      <c r="J186" s="51" t="e">
        <f>'Product info'!#REF!</f>
        <v>#REF!</v>
      </c>
      <c r="K186" s="52" t="e">
        <f t="shared" si="29"/>
        <v>#REF!</v>
      </c>
      <c r="L186" s="50" t="e">
        <f t="shared" si="30"/>
        <v>#REF!</v>
      </c>
      <c r="M186" s="50" t="e">
        <f t="shared" si="31"/>
        <v>#REF!</v>
      </c>
      <c r="N186" s="50" t="e">
        <f t="shared" si="32"/>
        <v>#REF!</v>
      </c>
      <c r="O186" s="50" t="e">
        <f t="shared" si="33"/>
        <v>#REF!</v>
      </c>
      <c r="P186" s="53" t="e">
        <f t="shared" si="34"/>
        <v>#REF!</v>
      </c>
      <c r="Q186" s="54" t="e">
        <f>'Product info'!#REF!</f>
        <v>#REF!</v>
      </c>
      <c r="R186" s="54" t="e">
        <f>'Product info'!#REF!</f>
        <v>#REF!</v>
      </c>
      <c r="S186" s="54" t="e">
        <f>'Product info'!#REF!</f>
        <v>#REF!</v>
      </c>
      <c r="T186" s="50" t="e">
        <f>'Product info'!#REF!</f>
        <v>#REF!</v>
      </c>
      <c r="U186" s="52" t="e">
        <f t="shared" si="35"/>
        <v>#REF!</v>
      </c>
      <c r="V186" s="50" t="e">
        <f t="shared" si="36"/>
        <v>#REF!</v>
      </c>
      <c r="W186" s="50" t="e">
        <f t="shared" si="37"/>
        <v>#REF!</v>
      </c>
      <c r="X186" s="50" t="e">
        <f t="shared" si="38"/>
        <v>#REF!</v>
      </c>
      <c r="Y186" s="50" t="e">
        <f t="shared" si="39"/>
        <v>#REF!</v>
      </c>
      <c r="Z186" t="e">
        <f t="shared" si="40"/>
        <v>#REF!</v>
      </c>
    </row>
    <row r="187" spans="1:26" x14ac:dyDescent="0.4">
      <c r="A187" t="e">
        <f>'Product info'!#REF!</f>
        <v>#REF!</v>
      </c>
      <c r="B187" t="e">
        <f>'Product info'!#REF!</f>
        <v>#REF!</v>
      </c>
      <c r="C187" t="e">
        <f>'Product info'!#REF!</f>
        <v>#REF!</v>
      </c>
      <c r="D187" s="6" t="e">
        <f>'Product info'!#REF!</f>
        <v>#REF!</v>
      </c>
      <c r="E187" t="e">
        <f t="shared" si="28"/>
        <v>#REF!</v>
      </c>
      <c r="F187" s="50" t="e">
        <f>'Product info'!#REF!</f>
        <v>#REF!</v>
      </c>
      <c r="G187" s="50" t="e">
        <f>'Product info'!#REF!</f>
        <v>#REF!</v>
      </c>
      <c r="H187" s="50" t="e">
        <f>'Product info'!#REF!</f>
        <v>#REF!</v>
      </c>
      <c r="I187" s="50" t="e">
        <f>'Product info'!#REF!</f>
        <v>#REF!</v>
      </c>
      <c r="J187" s="51" t="e">
        <f>'Product info'!#REF!</f>
        <v>#REF!</v>
      </c>
      <c r="K187" s="52" t="e">
        <f t="shared" si="29"/>
        <v>#REF!</v>
      </c>
      <c r="L187" s="50" t="e">
        <f t="shared" si="30"/>
        <v>#REF!</v>
      </c>
      <c r="M187" s="50" t="e">
        <f t="shared" si="31"/>
        <v>#REF!</v>
      </c>
      <c r="N187" s="50" t="e">
        <f t="shared" si="32"/>
        <v>#REF!</v>
      </c>
      <c r="O187" s="50" t="e">
        <f t="shared" si="33"/>
        <v>#REF!</v>
      </c>
      <c r="P187" s="53" t="e">
        <f t="shared" si="34"/>
        <v>#REF!</v>
      </c>
      <c r="Q187" s="54" t="e">
        <f>'Product info'!#REF!</f>
        <v>#REF!</v>
      </c>
      <c r="R187" s="54" t="e">
        <f>'Product info'!#REF!</f>
        <v>#REF!</v>
      </c>
      <c r="S187" s="54" t="e">
        <f>'Product info'!#REF!</f>
        <v>#REF!</v>
      </c>
      <c r="T187" s="50" t="e">
        <f>'Product info'!#REF!</f>
        <v>#REF!</v>
      </c>
      <c r="U187" s="52" t="e">
        <f t="shared" si="35"/>
        <v>#REF!</v>
      </c>
      <c r="V187" s="50" t="e">
        <f t="shared" si="36"/>
        <v>#REF!</v>
      </c>
      <c r="W187" s="50" t="e">
        <f t="shared" si="37"/>
        <v>#REF!</v>
      </c>
      <c r="X187" s="50" t="e">
        <f t="shared" si="38"/>
        <v>#REF!</v>
      </c>
      <c r="Y187" s="50" t="e">
        <f t="shared" si="39"/>
        <v>#REF!</v>
      </c>
      <c r="Z187" t="e">
        <f t="shared" si="40"/>
        <v>#REF!</v>
      </c>
    </row>
    <row r="188" spans="1:26" x14ac:dyDescent="0.4">
      <c r="A188" t="e">
        <f>'Product info'!#REF!</f>
        <v>#REF!</v>
      </c>
      <c r="B188" t="e">
        <f>'Product info'!#REF!</f>
        <v>#REF!</v>
      </c>
      <c r="C188" t="e">
        <f>'Product info'!#REF!</f>
        <v>#REF!</v>
      </c>
      <c r="D188" s="6" t="e">
        <f>'Product info'!#REF!</f>
        <v>#REF!</v>
      </c>
      <c r="E188" t="e">
        <f t="shared" si="28"/>
        <v>#REF!</v>
      </c>
      <c r="F188" s="50" t="e">
        <f>'Product info'!#REF!</f>
        <v>#REF!</v>
      </c>
      <c r="G188" s="50" t="e">
        <f>'Product info'!#REF!</f>
        <v>#REF!</v>
      </c>
      <c r="H188" s="50" t="e">
        <f>'Product info'!#REF!</f>
        <v>#REF!</v>
      </c>
      <c r="I188" s="50" t="e">
        <f>'Product info'!#REF!</f>
        <v>#REF!</v>
      </c>
      <c r="J188" s="51" t="e">
        <f>'Product info'!#REF!</f>
        <v>#REF!</v>
      </c>
      <c r="K188" s="52" t="e">
        <f t="shared" si="29"/>
        <v>#REF!</v>
      </c>
      <c r="L188" s="50" t="e">
        <f t="shared" si="30"/>
        <v>#REF!</v>
      </c>
      <c r="M188" s="50" t="e">
        <f t="shared" si="31"/>
        <v>#REF!</v>
      </c>
      <c r="N188" s="50" t="e">
        <f t="shared" si="32"/>
        <v>#REF!</v>
      </c>
      <c r="O188" s="50" t="e">
        <f t="shared" si="33"/>
        <v>#REF!</v>
      </c>
      <c r="P188" s="53" t="e">
        <f t="shared" si="34"/>
        <v>#REF!</v>
      </c>
      <c r="Q188" s="54" t="e">
        <f>'Product info'!#REF!</f>
        <v>#REF!</v>
      </c>
      <c r="R188" s="54" t="e">
        <f>'Product info'!#REF!</f>
        <v>#REF!</v>
      </c>
      <c r="S188" s="54" t="e">
        <f>'Product info'!#REF!</f>
        <v>#REF!</v>
      </c>
      <c r="T188" s="50" t="e">
        <f>'Product info'!#REF!</f>
        <v>#REF!</v>
      </c>
      <c r="U188" s="52" t="e">
        <f t="shared" si="35"/>
        <v>#REF!</v>
      </c>
      <c r="V188" s="50" t="e">
        <f t="shared" si="36"/>
        <v>#REF!</v>
      </c>
      <c r="W188" s="50" t="e">
        <f t="shared" si="37"/>
        <v>#REF!</v>
      </c>
      <c r="X188" s="50" t="e">
        <f t="shared" si="38"/>
        <v>#REF!</v>
      </c>
      <c r="Y188" s="50" t="e">
        <f t="shared" si="39"/>
        <v>#REF!</v>
      </c>
      <c r="Z188" t="e">
        <f t="shared" si="40"/>
        <v>#REF!</v>
      </c>
    </row>
    <row r="189" spans="1:26" x14ac:dyDescent="0.4">
      <c r="A189" t="e">
        <f>'Product info'!#REF!</f>
        <v>#REF!</v>
      </c>
      <c r="B189" t="e">
        <f>'Product info'!#REF!</f>
        <v>#REF!</v>
      </c>
      <c r="C189" t="e">
        <f>'Product info'!#REF!</f>
        <v>#REF!</v>
      </c>
      <c r="D189" s="6" t="e">
        <f>'Product info'!#REF!</f>
        <v>#REF!</v>
      </c>
      <c r="E189" t="e">
        <f t="shared" si="28"/>
        <v>#REF!</v>
      </c>
      <c r="F189" s="50" t="e">
        <f>'Product info'!#REF!</f>
        <v>#REF!</v>
      </c>
      <c r="G189" s="50" t="e">
        <f>'Product info'!#REF!</f>
        <v>#REF!</v>
      </c>
      <c r="H189" s="50" t="e">
        <f>'Product info'!#REF!</f>
        <v>#REF!</v>
      </c>
      <c r="I189" s="50" t="e">
        <f>'Product info'!#REF!</f>
        <v>#REF!</v>
      </c>
      <c r="J189" s="51" t="e">
        <f>'Product info'!#REF!</f>
        <v>#REF!</v>
      </c>
      <c r="K189" s="52" t="e">
        <f t="shared" si="29"/>
        <v>#REF!</v>
      </c>
      <c r="L189" s="50" t="e">
        <f t="shared" si="30"/>
        <v>#REF!</v>
      </c>
      <c r="M189" s="50" t="e">
        <f t="shared" si="31"/>
        <v>#REF!</v>
      </c>
      <c r="N189" s="50" t="e">
        <f t="shared" si="32"/>
        <v>#REF!</v>
      </c>
      <c r="O189" s="50" t="e">
        <f t="shared" si="33"/>
        <v>#REF!</v>
      </c>
      <c r="P189" s="53" t="e">
        <f t="shared" si="34"/>
        <v>#REF!</v>
      </c>
      <c r="Q189" s="54" t="e">
        <f>'Product info'!#REF!</f>
        <v>#REF!</v>
      </c>
      <c r="R189" s="54" t="e">
        <f>'Product info'!#REF!</f>
        <v>#REF!</v>
      </c>
      <c r="S189" s="54" t="e">
        <f>'Product info'!#REF!</f>
        <v>#REF!</v>
      </c>
      <c r="T189" s="50" t="e">
        <f>'Product info'!#REF!</f>
        <v>#REF!</v>
      </c>
      <c r="U189" s="52" t="e">
        <f t="shared" si="35"/>
        <v>#REF!</v>
      </c>
      <c r="V189" s="50" t="e">
        <f t="shared" si="36"/>
        <v>#REF!</v>
      </c>
      <c r="W189" s="50" t="e">
        <f t="shared" si="37"/>
        <v>#REF!</v>
      </c>
      <c r="X189" s="50" t="e">
        <f t="shared" si="38"/>
        <v>#REF!</v>
      </c>
      <c r="Y189" s="50" t="e">
        <f t="shared" si="39"/>
        <v>#REF!</v>
      </c>
      <c r="Z189" t="e">
        <f t="shared" si="40"/>
        <v>#REF!</v>
      </c>
    </row>
    <row r="190" spans="1:26" x14ac:dyDescent="0.4">
      <c r="A190" t="e">
        <f>'Product info'!#REF!</f>
        <v>#REF!</v>
      </c>
      <c r="B190" t="e">
        <f>'Product info'!#REF!</f>
        <v>#REF!</v>
      </c>
      <c r="C190" t="e">
        <f>'Product info'!#REF!</f>
        <v>#REF!</v>
      </c>
      <c r="D190" s="6" t="e">
        <f>'Product info'!#REF!</f>
        <v>#REF!</v>
      </c>
      <c r="E190" t="e">
        <f t="shared" si="28"/>
        <v>#REF!</v>
      </c>
      <c r="F190" s="50" t="e">
        <f>'Product info'!#REF!</f>
        <v>#REF!</v>
      </c>
      <c r="G190" s="50" t="e">
        <f>'Product info'!#REF!</f>
        <v>#REF!</v>
      </c>
      <c r="H190" s="50" t="e">
        <f>'Product info'!#REF!</f>
        <v>#REF!</v>
      </c>
      <c r="I190" s="50" t="e">
        <f>'Product info'!#REF!</f>
        <v>#REF!</v>
      </c>
      <c r="J190" s="51" t="e">
        <f>'Product info'!#REF!</f>
        <v>#REF!</v>
      </c>
      <c r="K190" s="52" t="e">
        <f t="shared" si="29"/>
        <v>#REF!</v>
      </c>
      <c r="L190" s="50" t="e">
        <f t="shared" si="30"/>
        <v>#REF!</v>
      </c>
      <c r="M190" s="50" t="e">
        <f t="shared" si="31"/>
        <v>#REF!</v>
      </c>
      <c r="N190" s="50" t="e">
        <f t="shared" si="32"/>
        <v>#REF!</v>
      </c>
      <c r="O190" s="50" t="e">
        <f t="shared" si="33"/>
        <v>#REF!</v>
      </c>
      <c r="P190" s="53" t="e">
        <f t="shared" si="34"/>
        <v>#REF!</v>
      </c>
      <c r="Q190" s="54" t="e">
        <f>'Product info'!#REF!</f>
        <v>#REF!</v>
      </c>
      <c r="R190" s="54" t="e">
        <f>'Product info'!#REF!</f>
        <v>#REF!</v>
      </c>
      <c r="S190" s="54" t="e">
        <f>'Product info'!#REF!</f>
        <v>#REF!</v>
      </c>
      <c r="T190" s="50" t="e">
        <f>'Product info'!#REF!</f>
        <v>#REF!</v>
      </c>
      <c r="U190" s="52" t="e">
        <f t="shared" si="35"/>
        <v>#REF!</v>
      </c>
      <c r="V190" s="50" t="e">
        <f t="shared" si="36"/>
        <v>#REF!</v>
      </c>
      <c r="W190" s="50" t="e">
        <f t="shared" si="37"/>
        <v>#REF!</v>
      </c>
      <c r="X190" s="50" t="e">
        <f t="shared" si="38"/>
        <v>#REF!</v>
      </c>
      <c r="Y190" s="50" t="e">
        <f t="shared" si="39"/>
        <v>#REF!</v>
      </c>
      <c r="Z190" t="e">
        <f t="shared" si="40"/>
        <v>#REF!</v>
      </c>
    </row>
    <row r="191" spans="1:26" x14ac:dyDescent="0.4">
      <c r="A191" t="e">
        <f>'Product info'!#REF!</f>
        <v>#REF!</v>
      </c>
      <c r="B191" t="e">
        <f>'Product info'!#REF!</f>
        <v>#REF!</v>
      </c>
      <c r="C191" t="e">
        <f>'Product info'!#REF!</f>
        <v>#REF!</v>
      </c>
      <c r="D191" s="6" t="e">
        <f>'Product info'!#REF!</f>
        <v>#REF!</v>
      </c>
      <c r="E191" t="e">
        <f t="shared" si="28"/>
        <v>#REF!</v>
      </c>
      <c r="F191" s="50" t="e">
        <f>'Product info'!#REF!</f>
        <v>#REF!</v>
      </c>
      <c r="G191" s="50" t="e">
        <f>'Product info'!#REF!</f>
        <v>#REF!</v>
      </c>
      <c r="H191" s="50" t="e">
        <f>'Product info'!#REF!</f>
        <v>#REF!</v>
      </c>
      <c r="I191" s="50" t="e">
        <f>'Product info'!#REF!</f>
        <v>#REF!</v>
      </c>
      <c r="J191" s="51" t="e">
        <f>'Product info'!#REF!</f>
        <v>#REF!</v>
      </c>
      <c r="K191" s="52" t="e">
        <f t="shared" si="29"/>
        <v>#REF!</v>
      </c>
      <c r="L191" s="50" t="e">
        <f t="shared" si="30"/>
        <v>#REF!</v>
      </c>
      <c r="M191" s="50" t="e">
        <f t="shared" si="31"/>
        <v>#REF!</v>
      </c>
      <c r="N191" s="50" t="e">
        <f t="shared" si="32"/>
        <v>#REF!</v>
      </c>
      <c r="O191" s="50" t="e">
        <f t="shared" si="33"/>
        <v>#REF!</v>
      </c>
      <c r="P191" s="53" t="e">
        <f t="shared" si="34"/>
        <v>#REF!</v>
      </c>
      <c r="Q191" s="54" t="e">
        <f>'Product info'!#REF!</f>
        <v>#REF!</v>
      </c>
      <c r="R191" s="54" t="e">
        <f>'Product info'!#REF!</f>
        <v>#REF!</v>
      </c>
      <c r="S191" s="54" t="e">
        <f>'Product info'!#REF!</f>
        <v>#REF!</v>
      </c>
      <c r="T191" s="50" t="e">
        <f>'Product info'!#REF!</f>
        <v>#REF!</v>
      </c>
      <c r="U191" s="52" t="e">
        <f t="shared" si="35"/>
        <v>#REF!</v>
      </c>
      <c r="V191" s="50" t="e">
        <f t="shared" si="36"/>
        <v>#REF!</v>
      </c>
      <c r="W191" s="50" t="e">
        <f t="shared" si="37"/>
        <v>#REF!</v>
      </c>
      <c r="X191" s="50" t="e">
        <f t="shared" si="38"/>
        <v>#REF!</v>
      </c>
      <c r="Y191" s="50" t="e">
        <f t="shared" si="39"/>
        <v>#REF!</v>
      </c>
      <c r="Z191" t="e">
        <f t="shared" si="40"/>
        <v>#REF!</v>
      </c>
    </row>
    <row r="192" spans="1:26" x14ac:dyDescent="0.4">
      <c r="A192" t="e">
        <f>'Product info'!#REF!</f>
        <v>#REF!</v>
      </c>
      <c r="B192" t="e">
        <f>'Product info'!#REF!</f>
        <v>#REF!</v>
      </c>
      <c r="C192" t="e">
        <f>'Product info'!#REF!</f>
        <v>#REF!</v>
      </c>
      <c r="D192" s="6" t="e">
        <f>'Product info'!#REF!</f>
        <v>#REF!</v>
      </c>
      <c r="E192" t="e">
        <f t="shared" si="28"/>
        <v>#REF!</v>
      </c>
      <c r="F192" s="50" t="e">
        <f>'Product info'!#REF!</f>
        <v>#REF!</v>
      </c>
      <c r="G192" s="50" t="e">
        <f>'Product info'!#REF!</f>
        <v>#REF!</v>
      </c>
      <c r="H192" s="50" t="e">
        <f>'Product info'!#REF!</f>
        <v>#REF!</v>
      </c>
      <c r="I192" s="50" t="e">
        <f>'Product info'!#REF!</f>
        <v>#REF!</v>
      </c>
      <c r="J192" s="51" t="e">
        <f>'Product info'!#REF!</f>
        <v>#REF!</v>
      </c>
      <c r="K192" s="52" t="e">
        <f t="shared" si="29"/>
        <v>#REF!</v>
      </c>
      <c r="L192" s="50" t="e">
        <f t="shared" si="30"/>
        <v>#REF!</v>
      </c>
      <c r="M192" s="50" t="e">
        <f t="shared" si="31"/>
        <v>#REF!</v>
      </c>
      <c r="N192" s="50" t="e">
        <f t="shared" si="32"/>
        <v>#REF!</v>
      </c>
      <c r="O192" s="50" t="e">
        <f t="shared" si="33"/>
        <v>#REF!</v>
      </c>
      <c r="P192" s="53" t="e">
        <f t="shared" si="34"/>
        <v>#REF!</v>
      </c>
      <c r="Q192" s="54" t="e">
        <f>'Product info'!#REF!</f>
        <v>#REF!</v>
      </c>
      <c r="R192" s="54" t="e">
        <f>'Product info'!#REF!</f>
        <v>#REF!</v>
      </c>
      <c r="S192" s="54" t="e">
        <f>'Product info'!#REF!</f>
        <v>#REF!</v>
      </c>
      <c r="T192" s="50" t="e">
        <f>'Product info'!#REF!</f>
        <v>#REF!</v>
      </c>
      <c r="U192" s="52" t="e">
        <f t="shared" si="35"/>
        <v>#REF!</v>
      </c>
      <c r="V192" s="50" t="e">
        <f t="shared" si="36"/>
        <v>#REF!</v>
      </c>
      <c r="W192" s="50" t="e">
        <f t="shared" si="37"/>
        <v>#REF!</v>
      </c>
      <c r="X192" s="50" t="e">
        <f t="shared" si="38"/>
        <v>#REF!</v>
      </c>
      <c r="Y192" s="50" t="e">
        <f t="shared" si="39"/>
        <v>#REF!</v>
      </c>
      <c r="Z192" t="e">
        <f t="shared" si="40"/>
        <v>#REF!</v>
      </c>
    </row>
    <row r="193" spans="1:26" x14ac:dyDescent="0.4">
      <c r="A193" t="e">
        <f>'Product info'!#REF!</f>
        <v>#REF!</v>
      </c>
      <c r="B193" t="e">
        <f>'Product info'!#REF!</f>
        <v>#REF!</v>
      </c>
      <c r="C193" t="e">
        <f>'Product info'!#REF!</f>
        <v>#REF!</v>
      </c>
      <c r="D193" s="6" t="e">
        <f>'Product info'!#REF!</f>
        <v>#REF!</v>
      </c>
      <c r="E193" t="e">
        <f t="shared" si="28"/>
        <v>#REF!</v>
      </c>
      <c r="F193" s="50" t="e">
        <f>'Product info'!#REF!</f>
        <v>#REF!</v>
      </c>
      <c r="G193" s="50" t="e">
        <f>'Product info'!#REF!</f>
        <v>#REF!</v>
      </c>
      <c r="H193" s="50" t="e">
        <f>'Product info'!#REF!</f>
        <v>#REF!</v>
      </c>
      <c r="I193" s="50" t="e">
        <f>'Product info'!#REF!</f>
        <v>#REF!</v>
      </c>
      <c r="J193" s="51" t="e">
        <f>'Product info'!#REF!</f>
        <v>#REF!</v>
      </c>
      <c r="K193" s="52" t="e">
        <f t="shared" si="29"/>
        <v>#REF!</v>
      </c>
      <c r="L193" s="50" t="e">
        <f t="shared" si="30"/>
        <v>#REF!</v>
      </c>
      <c r="M193" s="50" t="e">
        <f t="shared" si="31"/>
        <v>#REF!</v>
      </c>
      <c r="N193" s="50" t="e">
        <f t="shared" si="32"/>
        <v>#REF!</v>
      </c>
      <c r="O193" s="50" t="e">
        <f t="shared" si="33"/>
        <v>#REF!</v>
      </c>
      <c r="P193" s="53" t="e">
        <f t="shared" si="34"/>
        <v>#REF!</v>
      </c>
      <c r="Q193" s="54" t="e">
        <f>'Product info'!#REF!</f>
        <v>#REF!</v>
      </c>
      <c r="R193" s="54" t="e">
        <f>'Product info'!#REF!</f>
        <v>#REF!</v>
      </c>
      <c r="S193" s="54" t="e">
        <f>'Product info'!#REF!</f>
        <v>#REF!</v>
      </c>
      <c r="T193" s="50" t="e">
        <f>'Product info'!#REF!</f>
        <v>#REF!</v>
      </c>
      <c r="U193" s="52" t="e">
        <f t="shared" si="35"/>
        <v>#REF!</v>
      </c>
      <c r="V193" s="50" t="e">
        <f t="shared" si="36"/>
        <v>#REF!</v>
      </c>
      <c r="W193" s="50" t="e">
        <f t="shared" si="37"/>
        <v>#REF!</v>
      </c>
      <c r="X193" s="50" t="e">
        <f t="shared" si="38"/>
        <v>#REF!</v>
      </c>
      <c r="Y193" s="50" t="e">
        <f t="shared" si="39"/>
        <v>#REF!</v>
      </c>
      <c r="Z193" t="e">
        <f t="shared" si="40"/>
        <v>#REF!</v>
      </c>
    </row>
    <row r="194" spans="1:26" x14ac:dyDescent="0.4">
      <c r="A194" t="e">
        <f>'Product info'!#REF!</f>
        <v>#REF!</v>
      </c>
      <c r="B194" t="e">
        <f>'Product info'!#REF!</f>
        <v>#REF!</v>
      </c>
      <c r="C194" t="e">
        <f>'Product info'!#REF!</f>
        <v>#REF!</v>
      </c>
      <c r="D194" s="6" t="e">
        <f>'Product info'!#REF!</f>
        <v>#REF!</v>
      </c>
      <c r="E194" t="e">
        <f t="shared" si="28"/>
        <v>#REF!</v>
      </c>
      <c r="F194" s="50" t="e">
        <f>'Product info'!#REF!</f>
        <v>#REF!</v>
      </c>
      <c r="G194" s="50" t="e">
        <f>'Product info'!#REF!</f>
        <v>#REF!</v>
      </c>
      <c r="H194" s="50" t="e">
        <f>'Product info'!#REF!</f>
        <v>#REF!</v>
      </c>
      <c r="I194" s="50" t="e">
        <f>'Product info'!#REF!</f>
        <v>#REF!</v>
      </c>
      <c r="J194" s="51" t="e">
        <f>'Product info'!#REF!</f>
        <v>#REF!</v>
      </c>
      <c r="K194" s="52" t="e">
        <f t="shared" si="29"/>
        <v>#REF!</v>
      </c>
      <c r="L194" s="50" t="e">
        <f t="shared" si="30"/>
        <v>#REF!</v>
      </c>
      <c r="M194" s="50" t="e">
        <f t="shared" si="31"/>
        <v>#REF!</v>
      </c>
      <c r="N194" s="50" t="e">
        <f t="shared" si="32"/>
        <v>#REF!</v>
      </c>
      <c r="O194" s="50" t="e">
        <f t="shared" si="33"/>
        <v>#REF!</v>
      </c>
      <c r="P194" s="53" t="e">
        <f t="shared" si="34"/>
        <v>#REF!</v>
      </c>
      <c r="Q194" s="54" t="e">
        <f>'Product info'!#REF!</f>
        <v>#REF!</v>
      </c>
      <c r="R194" s="54" t="e">
        <f>'Product info'!#REF!</f>
        <v>#REF!</v>
      </c>
      <c r="S194" s="54" t="e">
        <f>'Product info'!#REF!</f>
        <v>#REF!</v>
      </c>
      <c r="T194" s="50" t="e">
        <f>'Product info'!#REF!</f>
        <v>#REF!</v>
      </c>
      <c r="U194" s="52" t="e">
        <f t="shared" si="35"/>
        <v>#REF!</v>
      </c>
      <c r="V194" s="50" t="e">
        <f t="shared" si="36"/>
        <v>#REF!</v>
      </c>
      <c r="W194" s="50" t="e">
        <f t="shared" si="37"/>
        <v>#REF!</v>
      </c>
      <c r="X194" s="50" t="e">
        <f t="shared" si="38"/>
        <v>#REF!</v>
      </c>
      <c r="Y194" s="50" t="e">
        <f t="shared" si="39"/>
        <v>#REF!</v>
      </c>
      <c r="Z194" t="e">
        <f t="shared" si="40"/>
        <v>#REF!</v>
      </c>
    </row>
    <row r="195" spans="1:26" x14ac:dyDescent="0.4">
      <c r="A195" t="e">
        <f>'Product info'!#REF!</f>
        <v>#REF!</v>
      </c>
      <c r="B195" t="e">
        <f>'Product info'!#REF!</f>
        <v>#REF!</v>
      </c>
      <c r="C195" t="e">
        <f>'Product info'!#REF!</f>
        <v>#REF!</v>
      </c>
      <c r="D195" s="6" t="e">
        <f>'Product info'!#REF!</f>
        <v>#REF!</v>
      </c>
      <c r="E195" t="e">
        <f t="shared" si="28"/>
        <v>#REF!</v>
      </c>
      <c r="F195" s="50" t="e">
        <f>'Product info'!#REF!</f>
        <v>#REF!</v>
      </c>
      <c r="G195" s="50" t="e">
        <f>'Product info'!#REF!</f>
        <v>#REF!</v>
      </c>
      <c r="H195" s="50" t="e">
        <f>'Product info'!#REF!</f>
        <v>#REF!</v>
      </c>
      <c r="I195" s="50" t="e">
        <f>'Product info'!#REF!</f>
        <v>#REF!</v>
      </c>
      <c r="J195" s="51" t="e">
        <f>'Product info'!#REF!</f>
        <v>#REF!</v>
      </c>
      <c r="K195" s="52" t="e">
        <f t="shared" si="29"/>
        <v>#REF!</v>
      </c>
      <c r="L195" s="50" t="e">
        <f t="shared" si="30"/>
        <v>#REF!</v>
      </c>
      <c r="M195" s="50" t="e">
        <f t="shared" si="31"/>
        <v>#REF!</v>
      </c>
      <c r="N195" s="50" t="e">
        <f t="shared" si="32"/>
        <v>#REF!</v>
      </c>
      <c r="O195" s="50" t="e">
        <f t="shared" si="33"/>
        <v>#REF!</v>
      </c>
      <c r="P195" s="53" t="e">
        <f t="shared" si="34"/>
        <v>#REF!</v>
      </c>
      <c r="Q195" s="54" t="e">
        <f>'Product info'!#REF!</f>
        <v>#REF!</v>
      </c>
      <c r="R195" s="54" t="e">
        <f>'Product info'!#REF!</f>
        <v>#REF!</v>
      </c>
      <c r="S195" s="54" t="e">
        <f>'Product info'!#REF!</f>
        <v>#REF!</v>
      </c>
      <c r="T195" s="50" t="e">
        <f>'Product info'!#REF!</f>
        <v>#REF!</v>
      </c>
      <c r="U195" s="52" t="e">
        <f t="shared" si="35"/>
        <v>#REF!</v>
      </c>
      <c r="V195" s="50" t="e">
        <f t="shared" si="36"/>
        <v>#REF!</v>
      </c>
      <c r="W195" s="50" t="e">
        <f t="shared" si="37"/>
        <v>#REF!</v>
      </c>
      <c r="X195" s="50" t="e">
        <f t="shared" si="38"/>
        <v>#REF!</v>
      </c>
      <c r="Y195" s="50" t="e">
        <f t="shared" si="39"/>
        <v>#REF!</v>
      </c>
      <c r="Z195" t="e">
        <f t="shared" si="40"/>
        <v>#REF!</v>
      </c>
    </row>
    <row r="196" spans="1:26" x14ac:dyDescent="0.4">
      <c r="A196" t="e">
        <f>'Product info'!#REF!</f>
        <v>#REF!</v>
      </c>
      <c r="B196" t="e">
        <f>'Product info'!#REF!</f>
        <v>#REF!</v>
      </c>
      <c r="C196" t="e">
        <f>'Product info'!#REF!</f>
        <v>#REF!</v>
      </c>
      <c r="D196" s="6" t="e">
        <f>'Product info'!#REF!</f>
        <v>#REF!</v>
      </c>
      <c r="E196" t="e">
        <f t="shared" ref="E196:E259" si="41">F196&amp;"*"&amp;G196&amp;"*"&amp;H196</f>
        <v>#REF!</v>
      </c>
      <c r="F196" s="50" t="e">
        <f>'Product info'!#REF!</f>
        <v>#REF!</v>
      </c>
      <c r="G196" s="50" t="e">
        <f>'Product info'!#REF!</f>
        <v>#REF!</v>
      </c>
      <c r="H196" s="50" t="e">
        <f>'Product info'!#REF!</f>
        <v>#REF!</v>
      </c>
      <c r="I196" s="50" t="e">
        <f>'Product info'!#REF!</f>
        <v>#REF!</v>
      </c>
      <c r="J196" s="51" t="e">
        <f>'Product info'!#REF!</f>
        <v>#REF!</v>
      </c>
      <c r="K196" s="52" t="e">
        <f t="shared" ref="K196:K259" si="42">F196*G196*H196/(100*100*100)</f>
        <v>#REF!</v>
      </c>
      <c r="L196" s="50" t="e">
        <f t="shared" ref="L196:L259" si="43">F196*0.393701</f>
        <v>#REF!</v>
      </c>
      <c r="M196" s="50" t="e">
        <f t="shared" ref="M196:M259" si="44">G196*0.393701</f>
        <v>#REF!</v>
      </c>
      <c r="N196" s="50" t="e">
        <f t="shared" ref="N196:N259" si="45">H196*0.393701</f>
        <v>#REF!</v>
      </c>
      <c r="O196" s="50" t="e">
        <f t="shared" ref="O196:O259" si="46">I196*2.20462</f>
        <v>#REF!</v>
      </c>
      <c r="P196" s="53" t="e">
        <f t="shared" ref="P196:P259" si="47">Q196&amp;"*"&amp;R196&amp;"*"&amp;S196</f>
        <v>#REF!</v>
      </c>
      <c r="Q196" s="54" t="e">
        <f>'Product info'!#REF!</f>
        <v>#REF!</v>
      </c>
      <c r="R196" s="54" t="e">
        <f>'Product info'!#REF!</f>
        <v>#REF!</v>
      </c>
      <c r="S196" s="54" t="e">
        <f>'Product info'!#REF!</f>
        <v>#REF!</v>
      </c>
      <c r="T196" s="50" t="e">
        <f>'Product info'!#REF!</f>
        <v>#REF!</v>
      </c>
      <c r="U196" s="52" t="e">
        <f t="shared" ref="U196:U259" si="48">Q196*R196*S196/(100*100*100)</f>
        <v>#REF!</v>
      </c>
      <c r="V196" s="50" t="e">
        <f t="shared" ref="V196:V259" si="49">Q196*0.393701</f>
        <v>#REF!</v>
      </c>
      <c r="W196" s="50" t="e">
        <f t="shared" ref="W196:W259" si="50">R196*0.393701</f>
        <v>#REF!</v>
      </c>
      <c r="X196" s="50" t="e">
        <f t="shared" ref="X196:X259" si="51">S196*0.393701</f>
        <v>#REF!</v>
      </c>
      <c r="Y196" s="50" t="e">
        <f t="shared" ref="Y196:Y259" si="52">T196*2.20462</f>
        <v>#REF!</v>
      </c>
      <c r="Z196" t="e">
        <f t="shared" ref="Z196:Z259" si="53">K196/J196</f>
        <v>#REF!</v>
      </c>
    </row>
    <row r="197" spans="1:26" x14ac:dyDescent="0.4">
      <c r="A197" t="e">
        <f>'Product info'!#REF!</f>
        <v>#REF!</v>
      </c>
      <c r="B197" t="e">
        <f>'Product info'!#REF!</f>
        <v>#REF!</v>
      </c>
      <c r="C197" t="e">
        <f>'Product info'!#REF!</f>
        <v>#REF!</v>
      </c>
      <c r="D197" s="6" t="e">
        <f>'Product info'!#REF!</f>
        <v>#REF!</v>
      </c>
      <c r="E197" t="e">
        <f t="shared" si="41"/>
        <v>#REF!</v>
      </c>
      <c r="F197" s="50" t="e">
        <f>'Product info'!#REF!</f>
        <v>#REF!</v>
      </c>
      <c r="G197" s="50" t="e">
        <f>'Product info'!#REF!</f>
        <v>#REF!</v>
      </c>
      <c r="H197" s="50" t="e">
        <f>'Product info'!#REF!</f>
        <v>#REF!</v>
      </c>
      <c r="I197" s="50" t="e">
        <f>'Product info'!#REF!</f>
        <v>#REF!</v>
      </c>
      <c r="J197" s="51" t="e">
        <f>'Product info'!#REF!</f>
        <v>#REF!</v>
      </c>
      <c r="K197" s="52" t="e">
        <f t="shared" si="42"/>
        <v>#REF!</v>
      </c>
      <c r="L197" s="50" t="e">
        <f t="shared" si="43"/>
        <v>#REF!</v>
      </c>
      <c r="M197" s="50" t="e">
        <f t="shared" si="44"/>
        <v>#REF!</v>
      </c>
      <c r="N197" s="50" t="e">
        <f t="shared" si="45"/>
        <v>#REF!</v>
      </c>
      <c r="O197" s="50" t="e">
        <f t="shared" si="46"/>
        <v>#REF!</v>
      </c>
      <c r="P197" s="53" t="e">
        <f t="shared" si="47"/>
        <v>#REF!</v>
      </c>
      <c r="Q197" s="54" t="e">
        <f>'Product info'!#REF!</f>
        <v>#REF!</v>
      </c>
      <c r="R197" s="54" t="e">
        <f>'Product info'!#REF!</f>
        <v>#REF!</v>
      </c>
      <c r="S197" s="54" t="e">
        <f>'Product info'!#REF!</f>
        <v>#REF!</v>
      </c>
      <c r="T197" s="50" t="e">
        <f>'Product info'!#REF!</f>
        <v>#REF!</v>
      </c>
      <c r="U197" s="52" t="e">
        <f t="shared" si="48"/>
        <v>#REF!</v>
      </c>
      <c r="V197" s="50" t="e">
        <f t="shared" si="49"/>
        <v>#REF!</v>
      </c>
      <c r="W197" s="50" t="e">
        <f t="shared" si="50"/>
        <v>#REF!</v>
      </c>
      <c r="X197" s="50" t="e">
        <f t="shared" si="51"/>
        <v>#REF!</v>
      </c>
      <c r="Y197" s="50" t="e">
        <f t="shared" si="52"/>
        <v>#REF!</v>
      </c>
      <c r="Z197" t="e">
        <f t="shared" si="53"/>
        <v>#REF!</v>
      </c>
    </row>
    <row r="198" spans="1:26" x14ac:dyDescent="0.4">
      <c r="A198" t="e">
        <f>'Product info'!#REF!</f>
        <v>#REF!</v>
      </c>
      <c r="B198" t="e">
        <f>'Product info'!#REF!</f>
        <v>#REF!</v>
      </c>
      <c r="C198" t="e">
        <f>'Product info'!#REF!</f>
        <v>#REF!</v>
      </c>
      <c r="D198" s="6" t="e">
        <f>'Product info'!#REF!</f>
        <v>#REF!</v>
      </c>
      <c r="E198" t="e">
        <f t="shared" si="41"/>
        <v>#REF!</v>
      </c>
      <c r="F198" s="50" t="e">
        <f>'Product info'!#REF!</f>
        <v>#REF!</v>
      </c>
      <c r="G198" s="50" t="e">
        <f>'Product info'!#REF!</f>
        <v>#REF!</v>
      </c>
      <c r="H198" s="50" t="e">
        <f>'Product info'!#REF!</f>
        <v>#REF!</v>
      </c>
      <c r="I198" s="50" t="e">
        <f>'Product info'!#REF!</f>
        <v>#REF!</v>
      </c>
      <c r="J198" s="51" t="e">
        <f>'Product info'!#REF!</f>
        <v>#REF!</v>
      </c>
      <c r="K198" s="52" t="e">
        <f t="shared" si="42"/>
        <v>#REF!</v>
      </c>
      <c r="L198" s="50" t="e">
        <f t="shared" si="43"/>
        <v>#REF!</v>
      </c>
      <c r="M198" s="50" t="e">
        <f t="shared" si="44"/>
        <v>#REF!</v>
      </c>
      <c r="N198" s="50" t="e">
        <f t="shared" si="45"/>
        <v>#REF!</v>
      </c>
      <c r="O198" s="50" t="e">
        <f t="shared" si="46"/>
        <v>#REF!</v>
      </c>
      <c r="P198" s="53" t="e">
        <f t="shared" si="47"/>
        <v>#REF!</v>
      </c>
      <c r="Q198" s="54" t="e">
        <f>'Product info'!#REF!</f>
        <v>#REF!</v>
      </c>
      <c r="R198" s="54" t="e">
        <f>'Product info'!#REF!</f>
        <v>#REF!</v>
      </c>
      <c r="S198" s="54" t="e">
        <f>'Product info'!#REF!</f>
        <v>#REF!</v>
      </c>
      <c r="T198" s="50" t="e">
        <f>'Product info'!#REF!</f>
        <v>#REF!</v>
      </c>
      <c r="U198" s="52" t="e">
        <f t="shared" si="48"/>
        <v>#REF!</v>
      </c>
      <c r="V198" s="50" t="e">
        <f t="shared" si="49"/>
        <v>#REF!</v>
      </c>
      <c r="W198" s="50" t="e">
        <f t="shared" si="50"/>
        <v>#REF!</v>
      </c>
      <c r="X198" s="50" t="e">
        <f t="shared" si="51"/>
        <v>#REF!</v>
      </c>
      <c r="Y198" s="50" t="e">
        <f t="shared" si="52"/>
        <v>#REF!</v>
      </c>
      <c r="Z198" t="e">
        <f t="shared" si="53"/>
        <v>#REF!</v>
      </c>
    </row>
    <row r="199" spans="1:26" x14ac:dyDescent="0.4">
      <c r="A199" t="e">
        <f>'Product info'!#REF!</f>
        <v>#REF!</v>
      </c>
      <c r="B199" t="e">
        <f>'Product info'!#REF!</f>
        <v>#REF!</v>
      </c>
      <c r="C199" t="e">
        <f>'Product info'!#REF!</f>
        <v>#REF!</v>
      </c>
      <c r="D199" s="6" t="e">
        <f>'Product info'!#REF!</f>
        <v>#REF!</v>
      </c>
      <c r="E199" t="e">
        <f t="shared" si="41"/>
        <v>#REF!</v>
      </c>
      <c r="F199" s="50" t="e">
        <f>'Product info'!#REF!</f>
        <v>#REF!</v>
      </c>
      <c r="G199" s="50" t="e">
        <f>'Product info'!#REF!</f>
        <v>#REF!</v>
      </c>
      <c r="H199" s="50" t="e">
        <f>'Product info'!#REF!</f>
        <v>#REF!</v>
      </c>
      <c r="I199" s="50" t="e">
        <f>'Product info'!#REF!</f>
        <v>#REF!</v>
      </c>
      <c r="J199" s="51" t="e">
        <f>'Product info'!#REF!</f>
        <v>#REF!</v>
      </c>
      <c r="K199" s="52" t="e">
        <f t="shared" si="42"/>
        <v>#REF!</v>
      </c>
      <c r="L199" s="50" t="e">
        <f t="shared" si="43"/>
        <v>#REF!</v>
      </c>
      <c r="M199" s="50" t="e">
        <f t="shared" si="44"/>
        <v>#REF!</v>
      </c>
      <c r="N199" s="50" t="e">
        <f t="shared" si="45"/>
        <v>#REF!</v>
      </c>
      <c r="O199" s="50" t="e">
        <f t="shared" si="46"/>
        <v>#REF!</v>
      </c>
      <c r="P199" s="53" t="e">
        <f t="shared" si="47"/>
        <v>#REF!</v>
      </c>
      <c r="Q199" s="54" t="e">
        <f>'Product info'!#REF!</f>
        <v>#REF!</v>
      </c>
      <c r="R199" s="54" t="e">
        <f>'Product info'!#REF!</f>
        <v>#REF!</v>
      </c>
      <c r="S199" s="54" t="e">
        <f>'Product info'!#REF!</f>
        <v>#REF!</v>
      </c>
      <c r="T199" s="50" t="e">
        <f>'Product info'!#REF!</f>
        <v>#REF!</v>
      </c>
      <c r="U199" s="52" t="e">
        <f t="shared" si="48"/>
        <v>#REF!</v>
      </c>
      <c r="V199" s="50" t="e">
        <f t="shared" si="49"/>
        <v>#REF!</v>
      </c>
      <c r="W199" s="50" t="e">
        <f t="shared" si="50"/>
        <v>#REF!</v>
      </c>
      <c r="X199" s="50" t="e">
        <f t="shared" si="51"/>
        <v>#REF!</v>
      </c>
      <c r="Y199" s="50" t="e">
        <f t="shared" si="52"/>
        <v>#REF!</v>
      </c>
      <c r="Z199" t="e">
        <f t="shared" si="53"/>
        <v>#REF!</v>
      </c>
    </row>
    <row r="200" spans="1:26" x14ac:dyDescent="0.4">
      <c r="A200" t="e">
        <f>'Product info'!#REF!</f>
        <v>#REF!</v>
      </c>
      <c r="B200" t="e">
        <f>'Product info'!#REF!</f>
        <v>#REF!</v>
      </c>
      <c r="C200" t="e">
        <f>'Product info'!#REF!</f>
        <v>#REF!</v>
      </c>
      <c r="D200" s="6" t="e">
        <f>'Product info'!#REF!</f>
        <v>#REF!</v>
      </c>
      <c r="E200" t="e">
        <f t="shared" si="41"/>
        <v>#REF!</v>
      </c>
      <c r="F200" s="50" t="e">
        <f>'Product info'!#REF!</f>
        <v>#REF!</v>
      </c>
      <c r="G200" s="50" t="e">
        <f>'Product info'!#REF!</f>
        <v>#REF!</v>
      </c>
      <c r="H200" s="50" t="e">
        <f>'Product info'!#REF!</f>
        <v>#REF!</v>
      </c>
      <c r="I200" s="50" t="e">
        <f>'Product info'!#REF!</f>
        <v>#REF!</v>
      </c>
      <c r="J200" s="51" t="e">
        <f>'Product info'!#REF!</f>
        <v>#REF!</v>
      </c>
      <c r="K200" s="52" t="e">
        <f t="shared" si="42"/>
        <v>#REF!</v>
      </c>
      <c r="L200" s="50" t="e">
        <f t="shared" si="43"/>
        <v>#REF!</v>
      </c>
      <c r="M200" s="50" t="e">
        <f t="shared" si="44"/>
        <v>#REF!</v>
      </c>
      <c r="N200" s="50" t="e">
        <f t="shared" si="45"/>
        <v>#REF!</v>
      </c>
      <c r="O200" s="50" t="e">
        <f t="shared" si="46"/>
        <v>#REF!</v>
      </c>
      <c r="P200" s="53" t="e">
        <f t="shared" si="47"/>
        <v>#REF!</v>
      </c>
      <c r="Q200" s="54" t="e">
        <f>'Product info'!#REF!</f>
        <v>#REF!</v>
      </c>
      <c r="R200" s="54" t="e">
        <f>'Product info'!#REF!</f>
        <v>#REF!</v>
      </c>
      <c r="S200" s="54" t="e">
        <f>'Product info'!#REF!</f>
        <v>#REF!</v>
      </c>
      <c r="T200" s="50" t="e">
        <f>'Product info'!#REF!</f>
        <v>#REF!</v>
      </c>
      <c r="U200" s="52" t="e">
        <f t="shared" si="48"/>
        <v>#REF!</v>
      </c>
      <c r="V200" s="50" t="e">
        <f t="shared" si="49"/>
        <v>#REF!</v>
      </c>
      <c r="W200" s="50" t="e">
        <f t="shared" si="50"/>
        <v>#REF!</v>
      </c>
      <c r="X200" s="50" t="e">
        <f t="shared" si="51"/>
        <v>#REF!</v>
      </c>
      <c r="Y200" s="50" t="e">
        <f t="shared" si="52"/>
        <v>#REF!</v>
      </c>
      <c r="Z200" t="e">
        <f t="shared" si="53"/>
        <v>#REF!</v>
      </c>
    </row>
    <row r="201" spans="1:26" x14ac:dyDescent="0.4">
      <c r="A201" t="e">
        <f>'Product info'!#REF!</f>
        <v>#REF!</v>
      </c>
      <c r="B201" t="e">
        <f>'Product info'!#REF!</f>
        <v>#REF!</v>
      </c>
      <c r="C201" t="e">
        <f>'Product info'!#REF!</f>
        <v>#REF!</v>
      </c>
      <c r="D201" s="6" t="e">
        <f>'Product info'!#REF!</f>
        <v>#REF!</v>
      </c>
      <c r="E201" t="e">
        <f t="shared" si="41"/>
        <v>#REF!</v>
      </c>
      <c r="F201" s="50" t="e">
        <f>'Product info'!#REF!</f>
        <v>#REF!</v>
      </c>
      <c r="G201" s="50" t="e">
        <f>'Product info'!#REF!</f>
        <v>#REF!</v>
      </c>
      <c r="H201" s="50" t="e">
        <f>'Product info'!#REF!</f>
        <v>#REF!</v>
      </c>
      <c r="I201" s="50" t="e">
        <f>'Product info'!#REF!</f>
        <v>#REF!</v>
      </c>
      <c r="J201" s="51" t="e">
        <f>'Product info'!#REF!</f>
        <v>#REF!</v>
      </c>
      <c r="K201" s="52" t="e">
        <f t="shared" si="42"/>
        <v>#REF!</v>
      </c>
      <c r="L201" s="50" t="e">
        <f t="shared" si="43"/>
        <v>#REF!</v>
      </c>
      <c r="M201" s="50" t="e">
        <f t="shared" si="44"/>
        <v>#REF!</v>
      </c>
      <c r="N201" s="50" t="e">
        <f t="shared" si="45"/>
        <v>#REF!</v>
      </c>
      <c r="O201" s="50" t="e">
        <f t="shared" si="46"/>
        <v>#REF!</v>
      </c>
      <c r="P201" s="53" t="e">
        <f t="shared" si="47"/>
        <v>#REF!</v>
      </c>
      <c r="Q201" s="54" t="e">
        <f>'Product info'!#REF!</f>
        <v>#REF!</v>
      </c>
      <c r="R201" s="54" t="e">
        <f>'Product info'!#REF!</f>
        <v>#REF!</v>
      </c>
      <c r="S201" s="54" t="e">
        <f>'Product info'!#REF!</f>
        <v>#REF!</v>
      </c>
      <c r="T201" s="50" t="e">
        <f>'Product info'!#REF!</f>
        <v>#REF!</v>
      </c>
      <c r="U201" s="52" t="e">
        <f t="shared" si="48"/>
        <v>#REF!</v>
      </c>
      <c r="V201" s="50" t="e">
        <f t="shared" si="49"/>
        <v>#REF!</v>
      </c>
      <c r="W201" s="50" t="e">
        <f t="shared" si="50"/>
        <v>#REF!</v>
      </c>
      <c r="X201" s="50" t="e">
        <f t="shared" si="51"/>
        <v>#REF!</v>
      </c>
      <c r="Y201" s="50" t="e">
        <f t="shared" si="52"/>
        <v>#REF!</v>
      </c>
      <c r="Z201" t="e">
        <f t="shared" si="53"/>
        <v>#REF!</v>
      </c>
    </row>
    <row r="202" spans="1:26" x14ac:dyDescent="0.4">
      <c r="A202" t="e">
        <f>'Product info'!#REF!</f>
        <v>#REF!</v>
      </c>
      <c r="B202" t="e">
        <f>'Product info'!#REF!</f>
        <v>#REF!</v>
      </c>
      <c r="C202" t="e">
        <f>'Product info'!#REF!</f>
        <v>#REF!</v>
      </c>
      <c r="D202" s="6" t="e">
        <f>'Product info'!#REF!</f>
        <v>#REF!</v>
      </c>
      <c r="E202" t="e">
        <f t="shared" si="41"/>
        <v>#REF!</v>
      </c>
      <c r="F202" s="50" t="e">
        <f>'Product info'!#REF!</f>
        <v>#REF!</v>
      </c>
      <c r="G202" s="50" t="e">
        <f>'Product info'!#REF!</f>
        <v>#REF!</v>
      </c>
      <c r="H202" s="50" t="e">
        <f>'Product info'!#REF!</f>
        <v>#REF!</v>
      </c>
      <c r="I202" s="50" t="e">
        <f>'Product info'!#REF!</f>
        <v>#REF!</v>
      </c>
      <c r="J202" s="51" t="e">
        <f>'Product info'!#REF!</f>
        <v>#REF!</v>
      </c>
      <c r="K202" s="52" t="e">
        <f t="shared" si="42"/>
        <v>#REF!</v>
      </c>
      <c r="L202" s="50" t="e">
        <f t="shared" si="43"/>
        <v>#REF!</v>
      </c>
      <c r="M202" s="50" t="e">
        <f t="shared" si="44"/>
        <v>#REF!</v>
      </c>
      <c r="N202" s="50" t="e">
        <f t="shared" si="45"/>
        <v>#REF!</v>
      </c>
      <c r="O202" s="50" t="e">
        <f t="shared" si="46"/>
        <v>#REF!</v>
      </c>
      <c r="P202" s="53" t="e">
        <f t="shared" si="47"/>
        <v>#REF!</v>
      </c>
      <c r="Q202" s="54" t="e">
        <f>'Product info'!#REF!</f>
        <v>#REF!</v>
      </c>
      <c r="R202" s="54" t="e">
        <f>'Product info'!#REF!</f>
        <v>#REF!</v>
      </c>
      <c r="S202" s="54" t="e">
        <f>'Product info'!#REF!</f>
        <v>#REF!</v>
      </c>
      <c r="T202" s="50" t="e">
        <f>'Product info'!#REF!</f>
        <v>#REF!</v>
      </c>
      <c r="U202" s="52" t="e">
        <f t="shared" si="48"/>
        <v>#REF!</v>
      </c>
      <c r="V202" s="50" t="e">
        <f t="shared" si="49"/>
        <v>#REF!</v>
      </c>
      <c r="W202" s="50" t="e">
        <f t="shared" si="50"/>
        <v>#REF!</v>
      </c>
      <c r="X202" s="50" t="e">
        <f t="shared" si="51"/>
        <v>#REF!</v>
      </c>
      <c r="Y202" s="50" t="e">
        <f t="shared" si="52"/>
        <v>#REF!</v>
      </c>
      <c r="Z202" t="e">
        <f t="shared" si="53"/>
        <v>#REF!</v>
      </c>
    </row>
    <row r="203" spans="1:26" x14ac:dyDescent="0.4">
      <c r="A203" t="e">
        <f>'Product info'!#REF!</f>
        <v>#REF!</v>
      </c>
      <c r="B203" t="e">
        <f>'Product info'!#REF!</f>
        <v>#REF!</v>
      </c>
      <c r="C203" t="e">
        <f>'Product info'!#REF!</f>
        <v>#REF!</v>
      </c>
      <c r="D203" s="6" t="e">
        <f>'Product info'!#REF!</f>
        <v>#REF!</v>
      </c>
      <c r="E203" t="e">
        <f t="shared" si="41"/>
        <v>#REF!</v>
      </c>
      <c r="F203" s="50" t="e">
        <f>'Product info'!#REF!</f>
        <v>#REF!</v>
      </c>
      <c r="G203" s="50" t="e">
        <f>'Product info'!#REF!</f>
        <v>#REF!</v>
      </c>
      <c r="H203" s="50" t="e">
        <f>'Product info'!#REF!</f>
        <v>#REF!</v>
      </c>
      <c r="I203" s="50" t="e">
        <f>'Product info'!#REF!</f>
        <v>#REF!</v>
      </c>
      <c r="J203" s="51" t="e">
        <f>'Product info'!#REF!</f>
        <v>#REF!</v>
      </c>
      <c r="K203" s="52" t="e">
        <f t="shared" si="42"/>
        <v>#REF!</v>
      </c>
      <c r="L203" s="50" t="e">
        <f t="shared" si="43"/>
        <v>#REF!</v>
      </c>
      <c r="M203" s="50" t="e">
        <f t="shared" si="44"/>
        <v>#REF!</v>
      </c>
      <c r="N203" s="50" t="e">
        <f t="shared" si="45"/>
        <v>#REF!</v>
      </c>
      <c r="O203" s="50" t="e">
        <f t="shared" si="46"/>
        <v>#REF!</v>
      </c>
      <c r="P203" s="53" t="e">
        <f t="shared" si="47"/>
        <v>#REF!</v>
      </c>
      <c r="Q203" s="54" t="e">
        <f>'Product info'!#REF!</f>
        <v>#REF!</v>
      </c>
      <c r="R203" s="54" t="e">
        <f>'Product info'!#REF!</f>
        <v>#REF!</v>
      </c>
      <c r="S203" s="54" t="e">
        <f>'Product info'!#REF!</f>
        <v>#REF!</v>
      </c>
      <c r="T203" s="50" t="e">
        <f>'Product info'!#REF!</f>
        <v>#REF!</v>
      </c>
      <c r="U203" s="52" t="e">
        <f t="shared" si="48"/>
        <v>#REF!</v>
      </c>
      <c r="V203" s="50" t="e">
        <f t="shared" si="49"/>
        <v>#REF!</v>
      </c>
      <c r="W203" s="50" t="e">
        <f t="shared" si="50"/>
        <v>#REF!</v>
      </c>
      <c r="X203" s="50" t="e">
        <f t="shared" si="51"/>
        <v>#REF!</v>
      </c>
      <c r="Y203" s="50" t="e">
        <f t="shared" si="52"/>
        <v>#REF!</v>
      </c>
      <c r="Z203" t="e">
        <f t="shared" si="53"/>
        <v>#REF!</v>
      </c>
    </row>
    <row r="204" spans="1:26" x14ac:dyDescent="0.4">
      <c r="A204" t="e">
        <f>'Product info'!#REF!</f>
        <v>#REF!</v>
      </c>
      <c r="B204" t="e">
        <f>'Product info'!#REF!</f>
        <v>#REF!</v>
      </c>
      <c r="C204" t="e">
        <f>'Product info'!#REF!</f>
        <v>#REF!</v>
      </c>
      <c r="D204" s="6" t="e">
        <f>'Product info'!#REF!</f>
        <v>#REF!</v>
      </c>
      <c r="E204" t="e">
        <f t="shared" si="41"/>
        <v>#REF!</v>
      </c>
      <c r="F204" s="50" t="e">
        <f>'Product info'!#REF!</f>
        <v>#REF!</v>
      </c>
      <c r="G204" s="50" t="e">
        <f>'Product info'!#REF!</f>
        <v>#REF!</v>
      </c>
      <c r="H204" s="50" t="e">
        <f>'Product info'!#REF!</f>
        <v>#REF!</v>
      </c>
      <c r="I204" s="50" t="e">
        <f>'Product info'!#REF!</f>
        <v>#REF!</v>
      </c>
      <c r="J204" s="51" t="e">
        <f>'Product info'!#REF!</f>
        <v>#REF!</v>
      </c>
      <c r="K204" s="52" t="e">
        <f t="shared" si="42"/>
        <v>#REF!</v>
      </c>
      <c r="L204" s="50" t="e">
        <f t="shared" si="43"/>
        <v>#REF!</v>
      </c>
      <c r="M204" s="50" t="e">
        <f t="shared" si="44"/>
        <v>#REF!</v>
      </c>
      <c r="N204" s="50" t="e">
        <f t="shared" si="45"/>
        <v>#REF!</v>
      </c>
      <c r="O204" s="50" t="e">
        <f t="shared" si="46"/>
        <v>#REF!</v>
      </c>
      <c r="P204" s="53" t="e">
        <f t="shared" si="47"/>
        <v>#REF!</v>
      </c>
      <c r="Q204" s="54" t="e">
        <f>'Product info'!#REF!</f>
        <v>#REF!</v>
      </c>
      <c r="R204" s="54" t="e">
        <f>'Product info'!#REF!</f>
        <v>#REF!</v>
      </c>
      <c r="S204" s="54" t="e">
        <f>'Product info'!#REF!</f>
        <v>#REF!</v>
      </c>
      <c r="T204" s="50" t="e">
        <f>'Product info'!#REF!</f>
        <v>#REF!</v>
      </c>
      <c r="U204" s="52" t="e">
        <f t="shared" si="48"/>
        <v>#REF!</v>
      </c>
      <c r="V204" s="50" t="e">
        <f t="shared" si="49"/>
        <v>#REF!</v>
      </c>
      <c r="W204" s="50" t="e">
        <f t="shared" si="50"/>
        <v>#REF!</v>
      </c>
      <c r="X204" s="50" t="e">
        <f t="shared" si="51"/>
        <v>#REF!</v>
      </c>
      <c r="Y204" s="50" t="e">
        <f t="shared" si="52"/>
        <v>#REF!</v>
      </c>
      <c r="Z204" t="e">
        <f t="shared" si="53"/>
        <v>#REF!</v>
      </c>
    </row>
    <row r="205" spans="1:26" x14ac:dyDescent="0.4">
      <c r="A205" t="e">
        <f>'Product info'!#REF!</f>
        <v>#REF!</v>
      </c>
      <c r="B205" t="e">
        <f>'Product info'!#REF!</f>
        <v>#REF!</v>
      </c>
      <c r="C205" t="e">
        <f>'Product info'!#REF!</f>
        <v>#REF!</v>
      </c>
      <c r="D205" s="6" t="e">
        <f>'Product info'!#REF!</f>
        <v>#REF!</v>
      </c>
      <c r="E205" t="e">
        <f t="shared" si="41"/>
        <v>#REF!</v>
      </c>
      <c r="F205" s="50" t="e">
        <f>'Product info'!#REF!</f>
        <v>#REF!</v>
      </c>
      <c r="G205" s="50" t="e">
        <f>'Product info'!#REF!</f>
        <v>#REF!</v>
      </c>
      <c r="H205" s="50" t="e">
        <f>'Product info'!#REF!</f>
        <v>#REF!</v>
      </c>
      <c r="I205" s="50" t="e">
        <f>'Product info'!#REF!</f>
        <v>#REF!</v>
      </c>
      <c r="J205" s="51" t="e">
        <f>'Product info'!#REF!</f>
        <v>#REF!</v>
      </c>
      <c r="K205" s="52" t="e">
        <f t="shared" si="42"/>
        <v>#REF!</v>
      </c>
      <c r="L205" s="50" t="e">
        <f t="shared" si="43"/>
        <v>#REF!</v>
      </c>
      <c r="M205" s="50" t="e">
        <f t="shared" si="44"/>
        <v>#REF!</v>
      </c>
      <c r="N205" s="50" t="e">
        <f t="shared" si="45"/>
        <v>#REF!</v>
      </c>
      <c r="O205" s="50" t="e">
        <f t="shared" si="46"/>
        <v>#REF!</v>
      </c>
      <c r="P205" s="53" t="e">
        <f t="shared" si="47"/>
        <v>#REF!</v>
      </c>
      <c r="Q205" s="54" t="e">
        <f>'Product info'!#REF!</f>
        <v>#REF!</v>
      </c>
      <c r="R205" s="54" t="e">
        <f>'Product info'!#REF!</f>
        <v>#REF!</v>
      </c>
      <c r="S205" s="54" t="e">
        <f>'Product info'!#REF!</f>
        <v>#REF!</v>
      </c>
      <c r="T205" s="50" t="e">
        <f>'Product info'!#REF!</f>
        <v>#REF!</v>
      </c>
      <c r="U205" s="52" t="e">
        <f t="shared" si="48"/>
        <v>#REF!</v>
      </c>
      <c r="V205" s="50" t="e">
        <f t="shared" si="49"/>
        <v>#REF!</v>
      </c>
      <c r="W205" s="50" t="e">
        <f t="shared" si="50"/>
        <v>#REF!</v>
      </c>
      <c r="X205" s="50" t="e">
        <f t="shared" si="51"/>
        <v>#REF!</v>
      </c>
      <c r="Y205" s="50" t="e">
        <f t="shared" si="52"/>
        <v>#REF!</v>
      </c>
      <c r="Z205" t="e">
        <f t="shared" si="53"/>
        <v>#REF!</v>
      </c>
    </row>
    <row r="206" spans="1:26" x14ac:dyDescent="0.4">
      <c r="A206" t="e">
        <f>'Product info'!#REF!</f>
        <v>#REF!</v>
      </c>
      <c r="B206" t="e">
        <f>'Product info'!#REF!</f>
        <v>#REF!</v>
      </c>
      <c r="C206" t="e">
        <f>'Product info'!#REF!</f>
        <v>#REF!</v>
      </c>
      <c r="D206" s="6" t="e">
        <f>'Product info'!#REF!</f>
        <v>#REF!</v>
      </c>
      <c r="E206" t="e">
        <f t="shared" si="41"/>
        <v>#REF!</v>
      </c>
      <c r="F206" s="50" t="e">
        <f>'Product info'!#REF!</f>
        <v>#REF!</v>
      </c>
      <c r="G206" s="50" t="e">
        <f>'Product info'!#REF!</f>
        <v>#REF!</v>
      </c>
      <c r="H206" s="50" t="e">
        <f>'Product info'!#REF!</f>
        <v>#REF!</v>
      </c>
      <c r="I206" s="50" t="e">
        <f>'Product info'!#REF!</f>
        <v>#REF!</v>
      </c>
      <c r="J206" s="51" t="e">
        <f>'Product info'!#REF!</f>
        <v>#REF!</v>
      </c>
      <c r="K206" s="52" t="e">
        <f t="shared" si="42"/>
        <v>#REF!</v>
      </c>
      <c r="L206" s="50" t="e">
        <f t="shared" si="43"/>
        <v>#REF!</v>
      </c>
      <c r="M206" s="50" t="e">
        <f t="shared" si="44"/>
        <v>#REF!</v>
      </c>
      <c r="N206" s="50" t="e">
        <f t="shared" si="45"/>
        <v>#REF!</v>
      </c>
      <c r="O206" s="50" t="e">
        <f t="shared" si="46"/>
        <v>#REF!</v>
      </c>
      <c r="P206" s="53" t="e">
        <f t="shared" si="47"/>
        <v>#REF!</v>
      </c>
      <c r="Q206" s="54" t="e">
        <f>'Product info'!#REF!</f>
        <v>#REF!</v>
      </c>
      <c r="R206" s="54" t="e">
        <f>'Product info'!#REF!</f>
        <v>#REF!</v>
      </c>
      <c r="S206" s="54" t="e">
        <f>'Product info'!#REF!</f>
        <v>#REF!</v>
      </c>
      <c r="T206" s="50" t="e">
        <f>'Product info'!#REF!</f>
        <v>#REF!</v>
      </c>
      <c r="U206" s="52" t="e">
        <f t="shared" si="48"/>
        <v>#REF!</v>
      </c>
      <c r="V206" s="50" t="e">
        <f t="shared" si="49"/>
        <v>#REF!</v>
      </c>
      <c r="W206" s="50" t="e">
        <f t="shared" si="50"/>
        <v>#REF!</v>
      </c>
      <c r="X206" s="50" t="e">
        <f t="shared" si="51"/>
        <v>#REF!</v>
      </c>
      <c r="Y206" s="50" t="e">
        <f t="shared" si="52"/>
        <v>#REF!</v>
      </c>
      <c r="Z206" t="e">
        <f t="shared" si="53"/>
        <v>#REF!</v>
      </c>
    </row>
    <row r="207" spans="1:26" x14ac:dyDescent="0.4">
      <c r="A207" t="e">
        <f>'Product info'!#REF!</f>
        <v>#REF!</v>
      </c>
      <c r="B207" t="e">
        <f>'Product info'!#REF!</f>
        <v>#REF!</v>
      </c>
      <c r="C207" t="e">
        <f>'Product info'!#REF!</f>
        <v>#REF!</v>
      </c>
      <c r="D207" s="6" t="e">
        <f>'Product info'!#REF!</f>
        <v>#REF!</v>
      </c>
      <c r="E207" t="e">
        <f t="shared" si="41"/>
        <v>#REF!</v>
      </c>
      <c r="F207" s="50" t="e">
        <f>'Product info'!#REF!</f>
        <v>#REF!</v>
      </c>
      <c r="G207" s="50" t="e">
        <f>'Product info'!#REF!</f>
        <v>#REF!</v>
      </c>
      <c r="H207" s="50" t="e">
        <f>'Product info'!#REF!</f>
        <v>#REF!</v>
      </c>
      <c r="I207" s="50" t="e">
        <f>'Product info'!#REF!</f>
        <v>#REF!</v>
      </c>
      <c r="J207" s="51" t="e">
        <f>'Product info'!#REF!</f>
        <v>#REF!</v>
      </c>
      <c r="K207" s="52" t="e">
        <f t="shared" si="42"/>
        <v>#REF!</v>
      </c>
      <c r="L207" s="50" t="e">
        <f t="shared" si="43"/>
        <v>#REF!</v>
      </c>
      <c r="M207" s="50" t="e">
        <f t="shared" si="44"/>
        <v>#REF!</v>
      </c>
      <c r="N207" s="50" t="e">
        <f t="shared" si="45"/>
        <v>#REF!</v>
      </c>
      <c r="O207" s="50" t="e">
        <f t="shared" si="46"/>
        <v>#REF!</v>
      </c>
      <c r="P207" s="53" t="e">
        <f t="shared" si="47"/>
        <v>#REF!</v>
      </c>
      <c r="Q207" s="54" t="e">
        <f>'Product info'!#REF!</f>
        <v>#REF!</v>
      </c>
      <c r="R207" s="54" t="e">
        <f>'Product info'!#REF!</f>
        <v>#REF!</v>
      </c>
      <c r="S207" s="54" t="e">
        <f>'Product info'!#REF!</f>
        <v>#REF!</v>
      </c>
      <c r="T207" s="50" t="e">
        <f>'Product info'!#REF!</f>
        <v>#REF!</v>
      </c>
      <c r="U207" s="52" t="e">
        <f t="shared" si="48"/>
        <v>#REF!</v>
      </c>
      <c r="V207" s="50" t="e">
        <f t="shared" si="49"/>
        <v>#REF!</v>
      </c>
      <c r="W207" s="50" t="e">
        <f t="shared" si="50"/>
        <v>#REF!</v>
      </c>
      <c r="X207" s="50" t="e">
        <f t="shared" si="51"/>
        <v>#REF!</v>
      </c>
      <c r="Y207" s="50" t="e">
        <f t="shared" si="52"/>
        <v>#REF!</v>
      </c>
      <c r="Z207" t="e">
        <f t="shared" si="53"/>
        <v>#REF!</v>
      </c>
    </row>
    <row r="208" spans="1:26" x14ac:dyDescent="0.4">
      <c r="A208" t="e">
        <f>'Product info'!#REF!</f>
        <v>#REF!</v>
      </c>
      <c r="B208" t="e">
        <f>'Product info'!#REF!</f>
        <v>#REF!</v>
      </c>
      <c r="C208" t="e">
        <f>'Product info'!#REF!</f>
        <v>#REF!</v>
      </c>
      <c r="D208" s="6" t="e">
        <f>'Product info'!#REF!</f>
        <v>#REF!</v>
      </c>
      <c r="E208" t="e">
        <f t="shared" si="41"/>
        <v>#REF!</v>
      </c>
      <c r="F208" s="50" t="e">
        <f>'Product info'!#REF!</f>
        <v>#REF!</v>
      </c>
      <c r="G208" s="50" t="e">
        <f>'Product info'!#REF!</f>
        <v>#REF!</v>
      </c>
      <c r="H208" s="50" t="e">
        <f>'Product info'!#REF!</f>
        <v>#REF!</v>
      </c>
      <c r="I208" s="50" t="e">
        <f>'Product info'!#REF!</f>
        <v>#REF!</v>
      </c>
      <c r="J208" s="51" t="e">
        <f>'Product info'!#REF!</f>
        <v>#REF!</v>
      </c>
      <c r="K208" s="52" t="e">
        <f t="shared" si="42"/>
        <v>#REF!</v>
      </c>
      <c r="L208" s="50" t="e">
        <f t="shared" si="43"/>
        <v>#REF!</v>
      </c>
      <c r="M208" s="50" t="e">
        <f t="shared" si="44"/>
        <v>#REF!</v>
      </c>
      <c r="N208" s="50" t="e">
        <f t="shared" si="45"/>
        <v>#REF!</v>
      </c>
      <c r="O208" s="50" t="e">
        <f t="shared" si="46"/>
        <v>#REF!</v>
      </c>
      <c r="P208" s="53" t="e">
        <f t="shared" si="47"/>
        <v>#REF!</v>
      </c>
      <c r="Q208" s="54" t="e">
        <f>'Product info'!#REF!</f>
        <v>#REF!</v>
      </c>
      <c r="R208" s="54" t="e">
        <f>'Product info'!#REF!</f>
        <v>#REF!</v>
      </c>
      <c r="S208" s="54" t="e">
        <f>'Product info'!#REF!</f>
        <v>#REF!</v>
      </c>
      <c r="T208" s="50" t="e">
        <f>'Product info'!#REF!</f>
        <v>#REF!</v>
      </c>
      <c r="U208" s="52" t="e">
        <f t="shared" si="48"/>
        <v>#REF!</v>
      </c>
      <c r="V208" s="50" t="e">
        <f t="shared" si="49"/>
        <v>#REF!</v>
      </c>
      <c r="W208" s="50" t="e">
        <f t="shared" si="50"/>
        <v>#REF!</v>
      </c>
      <c r="X208" s="50" t="e">
        <f t="shared" si="51"/>
        <v>#REF!</v>
      </c>
      <c r="Y208" s="50" t="e">
        <f t="shared" si="52"/>
        <v>#REF!</v>
      </c>
      <c r="Z208" t="e">
        <f t="shared" si="53"/>
        <v>#REF!</v>
      </c>
    </row>
    <row r="209" spans="1:26" x14ac:dyDescent="0.4">
      <c r="A209" t="e">
        <f>'Product info'!#REF!</f>
        <v>#REF!</v>
      </c>
      <c r="B209" t="e">
        <f>'Product info'!#REF!</f>
        <v>#REF!</v>
      </c>
      <c r="C209" t="e">
        <f>'Product info'!#REF!</f>
        <v>#REF!</v>
      </c>
      <c r="D209" s="6" t="e">
        <f>'Product info'!#REF!</f>
        <v>#REF!</v>
      </c>
      <c r="E209" t="e">
        <f t="shared" si="41"/>
        <v>#REF!</v>
      </c>
      <c r="F209" s="50" t="e">
        <f>'Product info'!#REF!</f>
        <v>#REF!</v>
      </c>
      <c r="G209" s="50" t="e">
        <f>'Product info'!#REF!</f>
        <v>#REF!</v>
      </c>
      <c r="H209" s="50" t="e">
        <f>'Product info'!#REF!</f>
        <v>#REF!</v>
      </c>
      <c r="I209" s="50" t="e">
        <f>'Product info'!#REF!</f>
        <v>#REF!</v>
      </c>
      <c r="J209" s="51" t="e">
        <f>'Product info'!#REF!</f>
        <v>#REF!</v>
      </c>
      <c r="K209" s="52" t="e">
        <f t="shared" si="42"/>
        <v>#REF!</v>
      </c>
      <c r="L209" s="50" t="e">
        <f t="shared" si="43"/>
        <v>#REF!</v>
      </c>
      <c r="M209" s="50" t="e">
        <f t="shared" si="44"/>
        <v>#REF!</v>
      </c>
      <c r="N209" s="50" t="e">
        <f t="shared" si="45"/>
        <v>#REF!</v>
      </c>
      <c r="O209" s="50" t="e">
        <f t="shared" si="46"/>
        <v>#REF!</v>
      </c>
      <c r="P209" s="53" t="e">
        <f t="shared" si="47"/>
        <v>#REF!</v>
      </c>
      <c r="Q209" s="54" t="e">
        <f>'Product info'!#REF!</f>
        <v>#REF!</v>
      </c>
      <c r="R209" s="54" t="e">
        <f>'Product info'!#REF!</f>
        <v>#REF!</v>
      </c>
      <c r="S209" s="54" t="e">
        <f>'Product info'!#REF!</f>
        <v>#REF!</v>
      </c>
      <c r="T209" s="50" t="e">
        <f>'Product info'!#REF!</f>
        <v>#REF!</v>
      </c>
      <c r="U209" s="52" t="e">
        <f t="shared" si="48"/>
        <v>#REF!</v>
      </c>
      <c r="V209" s="50" t="e">
        <f t="shared" si="49"/>
        <v>#REF!</v>
      </c>
      <c r="W209" s="50" t="e">
        <f t="shared" si="50"/>
        <v>#REF!</v>
      </c>
      <c r="X209" s="50" t="e">
        <f t="shared" si="51"/>
        <v>#REF!</v>
      </c>
      <c r="Y209" s="50" t="e">
        <f t="shared" si="52"/>
        <v>#REF!</v>
      </c>
      <c r="Z209" t="e">
        <f t="shared" si="53"/>
        <v>#REF!</v>
      </c>
    </row>
    <row r="210" spans="1:26" x14ac:dyDescent="0.4">
      <c r="A210" t="e">
        <f>'Product info'!#REF!</f>
        <v>#REF!</v>
      </c>
      <c r="B210" t="e">
        <f>'Product info'!#REF!</f>
        <v>#REF!</v>
      </c>
      <c r="C210" t="e">
        <f>'Product info'!#REF!</f>
        <v>#REF!</v>
      </c>
      <c r="D210" s="6" t="e">
        <f>'Product info'!#REF!</f>
        <v>#REF!</v>
      </c>
      <c r="E210" t="e">
        <f t="shared" si="41"/>
        <v>#REF!</v>
      </c>
      <c r="F210" s="50" t="e">
        <f>'Product info'!#REF!</f>
        <v>#REF!</v>
      </c>
      <c r="G210" s="50" t="e">
        <f>'Product info'!#REF!</f>
        <v>#REF!</v>
      </c>
      <c r="H210" s="50" t="e">
        <f>'Product info'!#REF!</f>
        <v>#REF!</v>
      </c>
      <c r="I210" s="50" t="e">
        <f>'Product info'!#REF!</f>
        <v>#REF!</v>
      </c>
      <c r="J210" s="51" t="e">
        <f>'Product info'!#REF!</f>
        <v>#REF!</v>
      </c>
      <c r="K210" s="52" t="e">
        <f t="shared" si="42"/>
        <v>#REF!</v>
      </c>
      <c r="L210" s="50" t="e">
        <f t="shared" si="43"/>
        <v>#REF!</v>
      </c>
      <c r="M210" s="50" t="e">
        <f t="shared" si="44"/>
        <v>#REF!</v>
      </c>
      <c r="N210" s="50" t="e">
        <f t="shared" si="45"/>
        <v>#REF!</v>
      </c>
      <c r="O210" s="50" t="e">
        <f t="shared" si="46"/>
        <v>#REF!</v>
      </c>
      <c r="P210" s="53" t="e">
        <f t="shared" si="47"/>
        <v>#REF!</v>
      </c>
      <c r="Q210" s="54" t="e">
        <f>'Product info'!#REF!</f>
        <v>#REF!</v>
      </c>
      <c r="R210" s="54" t="e">
        <f>'Product info'!#REF!</f>
        <v>#REF!</v>
      </c>
      <c r="S210" s="54" t="e">
        <f>'Product info'!#REF!</f>
        <v>#REF!</v>
      </c>
      <c r="T210" s="50" t="e">
        <f>'Product info'!#REF!</f>
        <v>#REF!</v>
      </c>
      <c r="U210" s="52" t="e">
        <f t="shared" si="48"/>
        <v>#REF!</v>
      </c>
      <c r="V210" s="50" t="e">
        <f t="shared" si="49"/>
        <v>#REF!</v>
      </c>
      <c r="W210" s="50" t="e">
        <f t="shared" si="50"/>
        <v>#REF!</v>
      </c>
      <c r="X210" s="50" t="e">
        <f t="shared" si="51"/>
        <v>#REF!</v>
      </c>
      <c r="Y210" s="50" t="e">
        <f t="shared" si="52"/>
        <v>#REF!</v>
      </c>
      <c r="Z210" t="e">
        <f t="shared" si="53"/>
        <v>#REF!</v>
      </c>
    </row>
    <row r="211" spans="1:26" x14ac:dyDescent="0.4">
      <c r="A211" t="e">
        <f>'Product info'!#REF!</f>
        <v>#REF!</v>
      </c>
      <c r="B211" t="e">
        <f>'Product info'!#REF!</f>
        <v>#REF!</v>
      </c>
      <c r="C211" t="e">
        <f>'Product info'!#REF!</f>
        <v>#REF!</v>
      </c>
      <c r="D211" s="6" t="e">
        <f>'Product info'!#REF!</f>
        <v>#REF!</v>
      </c>
      <c r="E211" t="e">
        <f t="shared" si="41"/>
        <v>#REF!</v>
      </c>
      <c r="F211" s="50" t="e">
        <f>'Product info'!#REF!</f>
        <v>#REF!</v>
      </c>
      <c r="G211" s="50" t="e">
        <f>'Product info'!#REF!</f>
        <v>#REF!</v>
      </c>
      <c r="H211" s="50" t="e">
        <f>'Product info'!#REF!</f>
        <v>#REF!</v>
      </c>
      <c r="I211" s="50" t="e">
        <f>'Product info'!#REF!</f>
        <v>#REF!</v>
      </c>
      <c r="J211" s="51" t="e">
        <f>'Product info'!#REF!</f>
        <v>#REF!</v>
      </c>
      <c r="K211" s="52" t="e">
        <f t="shared" si="42"/>
        <v>#REF!</v>
      </c>
      <c r="L211" s="50" t="e">
        <f t="shared" si="43"/>
        <v>#REF!</v>
      </c>
      <c r="M211" s="50" t="e">
        <f t="shared" si="44"/>
        <v>#REF!</v>
      </c>
      <c r="N211" s="50" t="e">
        <f t="shared" si="45"/>
        <v>#REF!</v>
      </c>
      <c r="O211" s="50" t="e">
        <f t="shared" si="46"/>
        <v>#REF!</v>
      </c>
      <c r="P211" s="53" t="e">
        <f t="shared" si="47"/>
        <v>#REF!</v>
      </c>
      <c r="Q211" s="54" t="e">
        <f>'Product info'!#REF!</f>
        <v>#REF!</v>
      </c>
      <c r="R211" s="54" t="e">
        <f>'Product info'!#REF!</f>
        <v>#REF!</v>
      </c>
      <c r="S211" s="54" t="e">
        <f>'Product info'!#REF!</f>
        <v>#REF!</v>
      </c>
      <c r="T211" s="50" t="e">
        <f>'Product info'!#REF!</f>
        <v>#REF!</v>
      </c>
      <c r="U211" s="52" t="e">
        <f t="shared" si="48"/>
        <v>#REF!</v>
      </c>
      <c r="V211" s="50" t="e">
        <f t="shared" si="49"/>
        <v>#REF!</v>
      </c>
      <c r="W211" s="50" t="e">
        <f t="shared" si="50"/>
        <v>#REF!</v>
      </c>
      <c r="X211" s="50" t="e">
        <f t="shared" si="51"/>
        <v>#REF!</v>
      </c>
      <c r="Y211" s="50" t="e">
        <f t="shared" si="52"/>
        <v>#REF!</v>
      </c>
      <c r="Z211" t="e">
        <f t="shared" si="53"/>
        <v>#REF!</v>
      </c>
    </row>
    <row r="212" spans="1:26" x14ac:dyDescent="0.4">
      <c r="A212" t="e">
        <f>'Product info'!#REF!</f>
        <v>#REF!</v>
      </c>
      <c r="B212" t="e">
        <f>'Product info'!#REF!</f>
        <v>#REF!</v>
      </c>
      <c r="C212" t="e">
        <f>'Product info'!#REF!</f>
        <v>#REF!</v>
      </c>
      <c r="D212" s="6" t="e">
        <f>'Product info'!#REF!</f>
        <v>#REF!</v>
      </c>
      <c r="E212" t="e">
        <f t="shared" si="41"/>
        <v>#REF!</v>
      </c>
      <c r="F212" s="50" t="e">
        <f>'Product info'!#REF!</f>
        <v>#REF!</v>
      </c>
      <c r="G212" s="50" t="e">
        <f>'Product info'!#REF!</f>
        <v>#REF!</v>
      </c>
      <c r="H212" s="50" t="e">
        <f>'Product info'!#REF!</f>
        <v>#REF!</v>
      </c>
      <c r="I212" s="50" t="e">
        <f>'Product info'!#REF!</f>
        <v>#REF!</v>
      </c>
      <c r="J212" s="51" t="e">
        <f>'Product info'!#REF!</f>
        <v>#REF!</v>
      </c>
      <c r="K212" s="52" t="e">
        <f t="shared" si="42"/>
        <v>#REF!</v>
      </c>
      <c r="L212" s="50" t="e">
        <f t="shared" si="43"/>
        <v>#REF!</v>
      </c>
      <c r="M212" s="50" t="e">
        <f t="shared" si="44"/>
        <v>#REF!</v>
      </c>
      <c r="N212" s="50" t="e">
        <f t="shared" si="45"/>
        <v>#REF!</v>
      </c>
      <c r="O212" s="50" t="e">
        <f t="shared" si="46"/>
        <v>#REF!</v>
      </c>
      <c r="P212" s="53" t="e">
        <f t="shared" si="47"/>
        <v>#REF!</v>
      </c>
      <c r="Q212" s="54" t="e">
        <f>'Product info'!#REF!</f>
        <v>#REF!</v>
      </c>
      <c r="R212" s="54" t="e">
        <f>'Product info'!#REF!</f>
        <v>#REF!</v>
      </c>
      <c r="S212" s="54" t="e">
        <f>'Product info'!#REF!</f>
        <v>#REF!</v>
      </c>
      <c r="T212" s="50" t="e">
        <f>'Product info'!#REF!</f>
        <v>#REF!</v>
      </c>
      <c r="U212" s="52" t="e">
        <f t="shared" si="48"/>
        <v>#REF!</v>
      </c>
      <c r="V212" s="50" t="e">
        <f t="shared" si="49"/>
        <v>#REF!</v>
      </c>
      <c r="W212" s="50" t="e">
        <f t="shared" si="50"/>
        <v>#REF!</v>
      </c>
      <c r="X212" s="50" t="e">
        <f t="shared" si="51"/>
        <v>#REF!</v>
      </c>
      <c r="Y212" s="50" t="e">
        <f t="shared" si="52"/>
        <v>#REF!</v>
      </c>
      <c r="Z212" t="e">
        <f t="shared" si="53"/>
        <v>#REF!</v>
      </c>
    </row>
    <row r="213" spans="1:26" x14ac:dyDescent="0.4">
      <c r="A213" t="e">
        <f>'Product info'!#REF!</f>
        <v>#REF!</v>
      </c>
      <c r="B213" t="e">
        <f>'Product info'!#REF!</f>
        <v>#REF!</v>
      </c>
      <c r="C213" t="e">
        <f>'Product info'!#REF!</f>
        <v>#REF!</v>
      </c>
      <c r="D213" s="6" t="e">
        <f>'Product info'!#REF!</f>
        <v>#REF!</v>
      </c>
      <c r="E213" t="e">
        <f t="shared" si="41"/>
        <v>#REF!</v>
      </c>
      <c r="F213" s="50" t="e">
        <f>'Product info'!#REF!</f>
        <v>#REF!</v>
      </c>
      <c r="G213" s="50" t="e">
        <f>'Product info'!#REF!</f>
        <v>#REF!</v>
      </c>
      <c r="H213" s="50" t="e">
        <f>'Product info'!#REF!</f>
        <v>#REF!</v>
      </c>
      <c r="I213" s="50" t="e">
        <f>'Product info'!#REF!</f>
        <v>#REF!</v>
      </c>
      <c r="J213" s="51" t="e">
        <f>'Product info'!#REF!</f>
        <v>#REF!</v>
      </c>
      <c r="K213" s="52" t="e">
        <f t="shared" si="42"/>
        <v>#REF!</v>
      </c>
      <c r="L213" s="50" t="e">
        <f t="shared" si="43"/>
        <v>#REF!</v>
      </c>
      <c r="M213" s="50" t="e">
        <f t="shared" si="44"/>
        <v>#REF!</v>
      </c>
      <c r="N213" s="50" t="e">
        <f t="shared" si="45"/>
        <v>#REF!</v>
      </c>
      <c r="O213" s="50" t="e">
        <f t="shared" si="46"/>
        <v>#REF!</v>
      </c>
      <c r="P213" s="53" t="e">
        <f t="shared" si="47"/>
        <v>#REF!</v>
      </c>
      <c r="Q213" s="54" t="e">
        <f>'Product info'!#REF!</f>
        <v>#REF!</v>
      </c>
      <c r="R213" s="54" t="e">
        <f>'Product info'!#REF!</f>
        <v>#REF!</v>
      </c>
      <c r="S213" s="54" t="e">
        <f>'Product info'!#REF!</f>
        <v>#REF!</v>
      </c>
      <c r="T213" s="50" t="e">
        <f>'Product info'!#REF!</f>
        <v>#REF!</v>
      </c>
      <c r="U213" s="52" t="e">
        <f t="shared" si="48"/>
        <v>#REF!</v>
      </c>
      <c r="V213" s="50" t="e">
        <f t="shared" si="49"/>
        <v>#REF!</v>
      </c>
      <c r="W213" s="50" t="e">
        <f t="shared" si="50"/>
        <v>#REF!</v>
      </c>
      <c r="X213" s="50" t="e">
        <f t="shared" si="51"/>
        <v>#REF!</v>
      </c>
      <c r="Y213" s="50" t="e">
        <f t="shared" si="52"/>
        <v>#REF!</v>
      </c>
      <c r="Z213" t="e">
        <f t="shared" si="53"/>
        <v>#REF!</v>
      </c>
    </row>
    <row r="214" spans="1:26" x14ac:dyDescent="0.4">
      <c r="A214" t="e">
        <f>'Product info'!#REF!</f>
        <v>#REF!</v>
      </c>
      <c r="B214" t="e">
        <f>'Product info'!#REF!</f>
        <v>#REF!</v>
      </c>
      <c r="C214" t="e">
        <f>'Product info'!#REF!</f>
        <v>#REF!</v>
      </c>
      <c r="D214" s="6" t="e">
        <f>'Product info'!#REF!</f>
        <v>#REF!</v>
      </c>
      <c r="E214" t="e">
        <f t="shared" si="41"/>
        <v>#REF!</v>
      </c>
      <c r="F214" s="50" t="e">
        <f>'Product info'!#REF!</f>
        <v>#REF!</v>
      </c>
      <c r="G214" s="50" t="e">
        <f>'Product info'!#REF!</f>
        <v>#REF!</v>
      </c>
      <c r="H214" s="50" t="e">
        <f>'Product info'!#REF!</f>
        <v>#REF!</v>
      </c>
      <c r="I214" s="50" t="e">
        <f>'Product info'!#REF!</f>
        <v>#REF!</v>
      </c>
      <c r="J214" s="51" t="e">
        <f>'Product info'!#REF!</f>
        <v>#REF!</v>
      </c>
      <c r="K214" s="52" t="e">
        <f t="shared" si="42"/>
        <v>#REF!</v>
      </c>
      <c r="L214" s="50" t="e">
        <f t="shared" si="43"/>
        <v>#REF!</v>
      </c>
      <c r="M214" s="50" t="e">
        <f t="shared" si="44"/>
        <v>#REF!</v>
      </c>
      <c r="N214" s="50" t="e">
        <f t="shared" si="45"/>
        <v>#REF!</v>
      </c>
      <c r="O214" s="50" t="e">
        <f t="shared" si="46"/>
        <v>#REF!</v>
      </c>
      <c r="P214" s="53" t="e">
        <f t="shared" si="47"/>
        <v>#REF!</v>
      </c>
      <c r="Q214" s="54" t="e">
        <f>'Product info'!#REF!</f>
        <v>#REF!</v>
      </c>
      <c r="R214" s="54" t="e">
        <f>'Product info'!#REF!</f>
        <v>#REF!</v>
      </c>
      <c r="S214" s="54" t="e">
        <f>'Product info'!#REF!</f>
        <v>#REF!</v>
      </c>
      <c r="T214" s="50" t="e">
        <f>'Product info'!#REF!</f>
        <v>#REF!</v>
      </c>
      <c r="U214" s="52" t="e">
        <f t="shared" si="48"/>
        <v>#REF!</v>
      </c>
      <c r="V214" s="50" t="e">
        <f t="shared" si="49"/>
        <v>#REF!</v>
      </c>
      <c r="W214" s="50" t="e">
        <f t="shared" si="50"/>
        <v>#REF!</v>
      </c>
      <c r="X214" s="50" t="e">
        <f t="shared" si="51"/>
        <v>#REF!</v>
      </c>
      <c r="Y214" s="50" t="e">
        <f t="shared" si="52"/>
        <v>#REF!</v>
      </c>
      <c r="Z214" t="e">
        <f t="shared" si="53"/>
        <v>#REF!</v>
      </c>
    </row>
    <row r="215" spans="1:26" x14ac:dyDescent="0.4">
      <c r="A215" t="e">
        <f>'Product info'!#REF!</f>
        <v>#REF!</v>
      </c>
      <c r="B215" t="e">
        <f>'Product info'!#REF!</f>
        <v>#REF!</v>
      </c>
      <c r="C215" t="e">
        <f>'Product info'!#REF!</f>
        <v>#REF!</v>
      </c>
      <c r="D215" s="6" t="e">
        <f>'Product info'!#REF!</f>
        <v>#REF!</v>
      </c>
      <c r="E215" t="e">
        <f t="shared" si="41"/>
        <v>#REF!</v>
      </c>
      <c r="F215" s="50" t="e">
        <f>'Product info'!#REF!</f>
        <v>#REF!</v>
      </c>
      <c r="G215" s="50" t="e">
        <f>'Product info'!#REF!</f>
        <v>#REF!</v>
      </c>
      <c r="H215" s="50" t="e">
        <f>'Product info'!#REF!</f>
        <v>#REF!</v>
      </c>
      <c r="I215" s="50" t="e">
        <f>'Product info'!#REF!</f>
        <v>#REF!</v>
      </c>
      <c r="J215" s="51" t="e">
        <f>'Product info'!#REF!</f>
        <v>#REF!</v>
      </c>
      <c r="K215" s="52" t="e">
        <f t="shared" si="42"/>
        <v>#REF!</v>
      </c>
      <c r="L215" s="50" t="e">
        <f t="shared" si="43"/>
        <v>#REF!</v>
      </c>
      <c r="M215" s="50" t="e">
        <f t="shared" si="44"/>
        <v>#REF!</v>
      </c>
      <c r="N215" s="50" t="e">
        <f t="shared" si="45"/>
        <v>#REF!</v>
      </c>
      <c r="O215" s="50" t="e">
        <f t="shared" si="46"/>
        <v>#REF!</v>
      </c>
      <c r="P215" s="53" t="e">
        <f t="shared" si="47"/>
        <v>#REF!</v>
      </c>
      <c r="Q215" s="54" t="e">
        <f>'Product info'!#REF!</f>
        <v>#REF!</v>
      </c>
      <c r="R215" s="54" t="e">
        <f>'Product info'!#REF!</f>
        <v>#REF!</v>
      </c>
      <c r="S215" s="54" t="e">
        <f>'Product info'!#REF!</f>
        <v>#REF!</v>
      </c>
      <c r="T215" s="50" t="e">
        <f>'Product info'!#REF!</f>
        <v>#REF!</v>
      </c>
      <c r="U215" s="52" t="e">
        <f t="shared" si="48"/>
        <v>#REF!</v>
      </c>
      <c r="V215" s="50" t="e">
        <f t="shared" si="49"/>
        <v>#REF!</v>
      </c>
      <c r="W215" s="50" t="e">
        <f t="shared" si="50"/>
        <v>#REF!</v>
      </c>
      <c r="X215" s="50" t="e">
        <f t="shared" si="51"/>
        <v>#REF!</v>
      </c>
      <c r="Y215" s="50" t="e">
        <f t="shared" si="52"/>
        <v>#REF!</v>
      </c>
      <c r="Z215" t="e">
        <f t="shared" si="53"/>
        <v>#REF!</v>
      </c>
    </row>
    <row r="216" spans="1:26" x14ac:dyDescent="0.4">
      <c r="A216" t="e">
        <f>'Product info'!#REF!</f>
        <v>#REF!</v>
      </c>
      <c r="B216" t="e">
        <f>'Product info'!#REF!</f>
        <v>#REF!</v>
      </c>
      <c r="C216" t="e">
        <f>'Product info'!#REF!</f>
        <v>#REF!</v>
      </c>
      <c r="D216" s="6" t="e">
        <f>'Product info'!#REF!</f>
        <v>#REF!</v>
      </c>
      <c r="E216" t="e">
        <f t="shared" si="41"/>
        <v>#REF!</v>
      </c>
      <c r="F216" s="50" t="e">
        <f>'Product info'!#REF!</f>
        <v>#REF!</v>
      </c>
      <c r="G216" s="50" t="e">
        <f>'Product info'!#REF!</f>
        <v>#REF!</v>
      </c>
      <c r="H216" s="50" t="e">
        <f>'Product info'!#REF!</f>
        <v>#REF!</v>
      </c>
      <c r="I216" s="50" t="e">
        <f>'Product info'!#REF!</f>
        <v>#REF!</v>
      </c>
      <c r="J216" s="51" t="e">
        <f>'Product info'!#REF!</f>
        <v>#REF!</v>
      </c>
      <c r="K216" s="52" t="e">
        <f t="shared" si="42"/>
        <v>#REF!</v>
      </c>
      <c r="L216" s="50" t="e">
        <f t="shared" si="43"/>
        <v>#REF!</v>
      </c>
      <c r="M216" s="50" t="e">
        <f t="shared" si="44"/>
        <v>#REF!</v>
      </c>
      <c r="N216" s="50" t="e">
        <f t="shared" si="45"/>
        <v>#REF!</v>
      </c>
      <c r="O216" s="50" t="e">
        <f t="shared" si="46"/>
        <v>#REF!</v>
      </c>
      <c r="P216" s="53" t="e">
        <f t="shared" si="47"/>
        <v>#REF!</v>
      </c>
      <c r="Q216" s="54" t="e">
        <f>'Product info'!#REF!</f>
        <v>#REF!</v>
      </c>
      <c r="R216" s="54" t="e">
        <f>'Product info'!#REF!</f>
        <v>#REF!</v>
      </c>
      <c r="S216" s="54" t="e">
        <f>'Product info'!#REF!</f>
        <v>#REF!</v>
      </c>
      <c r="T216" s="50" t="e">
        <f>'Product info'!#REF!</f>
        <v>#REF!</v>
      </c>
      <c r="U216" s="52" t="e">
        <f t="shared" si="48"/>
        <v>#REF!</v>
      </c>
      <c r="V216" s="50" t="e">
        <f t="shared" si="49"/>
        <v>#REF!</v>
      </c>
      <c r="W216" s="50" t="e">
        <f t="shared" si="50"/>
        <v>#REF!</v>
      </c>
      <c r="X216" s="50" t="e">
        <f t="shared" si="51"/>
        <v>#REF!</v>
      </c>
      <c r="Y216" s="50" t="e">
        <f t="shared" si="52"/>
        <v>#REF!</v>
      </c>
      <c r="Z216" t="e">
        <f t="shared" si="53"/>
        <v>#REF!</v>
      </c>
    </row>
    <row r="217" spans="1:26" x14ac:dyDescent="0.4">
      <c r="A217" t="e">
        <f>'Product info'!#REF!</f>
        <v>#REF!</v>
      </c>
      <c r="B217" t="e">
        <f>'Product info'!#REF!</f>
        <v>#REF!</v>
      </c>
      <c r="C217" t="e">
        <f>'Product info'!#REF!</f>
        <v>#REF!</v>
      </c>
      <c r="D217" s="6" t="e">
        <f>'Product info'!#REF!</f>
        <v>#REF!</v>
      </c>
      <c r="E217" t="e">
        <f t="shared" si="41"/>
        <v>#REF!</v>
      </c>
      <c r="F217" s="50" t="e">
        <f>'Product info'!#REF!</f>
        <v>#REF!</v>
      </c>
      <c r="G217" s="50" t="e">
        <f>'Product info'!#REF!</f>
        <v>#REF!</v>
      </c>
      <c r="H217" s="50" t="e">
        <f>'Product info'!#REF!</f>
        <v>#REF!</v>
      </c>
      <c r="I217" s="50" t="e">
        <f>'Product info'!#REF!</f>
        <v>#REF!</v>
      </c>
      <c r="J217" s="51" t="e">
        <f>'Product info'!#REF!</f>
        <v>#REF!</v>
      </c>
      <c r="K217" s="52" t="e">
        <f t="shared" si="42"/>
        <v>#REF!</v>
      </c>
      <c r="L217" s="50" t="e">
        <f t="shared" si="43"/>
        <v>#REF!</v>
      </c>
      <c r="M217" s="50" t="e">
        <f t="shared" si="44"/>
        <v>#REF!</v>
      </c>
      <c r="N217" s="50" t="e">
        <f t="shared" si="45"/>
        <v>#REF!</v>
      </c>
      <c r="O217" s="50" t="e">
        <f t="shared" si="46"/>
        <v>#REF!</v>
      </c>
      <c r="P217" s="53" t="e">
        <f t="shared" si="47"/>
        <v>#REF!</v>
      </c>
      <c r="Q217" s="54" t="e">
        <f>'Product info'!#REF!</f>
        <v>#REF!</v>
      </c>
      <c r="R217" s="54" t="e">
        <f>'Product info'!#REF!</f>
        <v>#REF!</v>
      </c>
      <c r="S217" s="54" t="e">
        <f>'Product info'!#REF!</f>
        <v>#REF!</v>
      </c>
      <c r="T217" s="50" t="e">
        <f>'Product info'!#REF!</f>
        <v>#REF!</v>
      </c>
      <c r="U217" s="52" t="e">
        <f t="shared" si="48"/>
        <v>#REF!</v>
      </c>
      <c r="V217" s="50" t="e">
        <f t="shared" si="49"/>
        <v>#REF!</v>
      </c>
      <c r="W217" s="50" t="e">
        <f t="shared" si="50"/>
        <v>#REF!</v>
      </c>
      <c r="X217" s="50" t="e">
        <f t="shared" si="51"/>
        <v>#REF!</v>
      </c>
      <c r="Y217" s="50" t="e">
        <f t="shared" si="52"/>
        <v>#REF!</v>
      </c>
      <c r="Z217" t="e">
        <f t="shared" si="53"/>
        <v>#REF!</v>
      </c>
    </row>
    <row r="218" spans="1:26" x14ac:dyDescent="0.4">
      <c r="A218" t="e">
        <f>'Product info'!#REF!</f>
        <v>#REF!</v>
      </c>
      <c r="B218" t="e">
        <f>'Product info'!#REF!</f>
        <v>#REF!</v>
      </c>
      <c r="C218" t="e">
        <f>'Product info'!#REF!</f>
        <v>#REF!</v>
      </c>
      <c r="D218" s="6" t="e">
        <f>'Product info'!#REF!</f>
        <v>#REF!</v>
      </c>
      <c r="E218" t="e">
        <f t="shared" si="41"/>
        <v>#REF!</v>
      </c>
      <c r="F218" s="50" t="e">
        <f>'Product info'!#REF!</f>
        <v>#REF!</v>
      </c>
      <c r="G218" s="50" t="e">
        <f>'Product info'!#REF!</f>
        <v>#REF!</v>
      </c>
      <c r="H218" s="50" t="e">
        <f>'Product info'!#REF!</f>
        <v>#REF!</v>
      </c>
      <c r="I218" s="50" t="e">
        <f>'Product info'!#REF!</f>
        <v>#REF!</v>
      </c>
      <c r="J218" s="51" t="e">
        <f>'Product info'!#REF!</f>
        <v>#REF!</v>
      </c>
      <c r="K218" s="52" t="e">
        <f t="shared" si="42"/>
        <v>#REF!</v>
      </c>
      <c r="L218" s="50" t="e">
        <f t="shared" si="43"/>
        <v>#REF!</v>
      </c>
      <c r="M218" s="50" t="e">
        <f t="shared" si="44"/>
        <v>#REF!</v>
      </c>
      <c r="N218" s="50" t="e">
        <f t="shared" si="45"/>
        <v>#REF!</v>
      </c>
      <c r="O218" s="50" t="e">
        <f t="shared" si="46"/>
        <v>#REF!</v>
      </c>
      <c r="P218" s="53" t="e">
        <f t="shared" si="47"/>
        <v>#REF!</v>
      </c>
      <c r="Q218" s="54" t="e">
        <f>'Product info'!#REF!</f>
        <v>#REF!</v>
      </c>
      <c r="R218" s="54" t="e">
        <f>'Product info'!#REF!</f>
        <v>#REF!</v>
      </c>
      <c r="S218" s="54" t="e">
        <f>'Product info'!#REF!</f>
        <v>#REF!</v>
      </c>
      <c r="T218" s="50" t="e">
        <f>'Product info'!#REF!</f>
        <v>#REF!</v>
      </c>
      <c r="U218" s="52" t="e">
        <f t="shared" si="48"/>
        <v>#REF!</v>
      </c>
      <c r="V218" s="50" t="e">
        <f t="shared" si="49"/>
        <v>#REF!</v>
      </c>
      <c r="W218" s="50" t="e">
        <f t="shared" si="50"/>
        <v>#REF!</v>
      </c>
      <c r="X218" s="50" t="e">
        <f t="shared" si="51"/>
        <v>#REF!</v>
      </c>
      <c r="Y218" s="50" t="e">
        <f t="shared" si="52"/>
        <v>#REF!</v>
      </c>
      <c r="Z218" t="e">
        <f t="shared" si="53"/>
        <v>#REF!</v>
      </c>
    </row>
    <row r="219" spans="1:26" x14ac:dyDescent="0.4">
      <c r="A219" t="e">
        <f>'Product info'!#REF!</f>
        <v>#REF!</v>
      </c>
      <c r="B219" t="e">
        <f>'Product info'!#REF!</f>
        <v>#REF!</v>
      </c>
      <c r="C219" t="e">
        <f>'Product info'!#REF!</f>
        <v>#REF!</v>
      </c>
      <c r="D219" s="6" t="e">
        <f>'Product info'!#REF!</f>
        <v>#REF!</v>
      </c>
      <c r="E219" t="e">
        <f t="shared" si="41"/>
        <v>#REF!</v>
      </c>
      <c r="F219" s="50" t="e">
        <f>'Product info'!#REF!</f>
        <v>#REF!</v>
      </c>
      <c r="G219" s="50" t="e">
        <f>'Product info'!#REF!</f>
        <v>#REF!</v>
      </c>
      <c r="H219" s="50" t="e">
        <f>'Product info'!#REF!</f>
        <v>#REF!</v>
      </c>
      <c r="I219" s="50" t="e">
        <f>'Product info'!#REF!</f>
        <v>#REF!</v>
      </c>
      <c r="J219" s="51" t="e">
        <f>'Product info'!#REF!</f>
        <v>#REF!</v>
      </c>
      <c r="K219" s="52" t="e">
        <f t="shared" si="42"/>
        <v>#REF!</v>
      </c>
      <c r="L219" s="50" t="e">
        <f t="shared" si="43"/>
        <v>#REF!</v>
      </c>
      <c r="M219" s="50" t="e">
        <f t="shared" si="44"/>
        <v>#REF!</v>
      </c>
      <c r="N219" s="50" t="e">
        <f t="shared" si="45"/>
        <v>#REF!</v>
      </c>
      <c r="O219" s="50" t="e">
        <f t="shared" si="46"/>
        <v>#REF!</v>
      </c>
      <c r="P219" s="53" t="e">
        <f t="shared" si="47"/>
        <v>#REF!</v>
      </c>
      <c r="Q219" s="54" t="e">
        <f>'Product info'!#REF!</f>
        <v>#REF!</v>
      </c>
      <c r="R219" s="54" t="e">
        <f>'Product info'!#REF!</f>
        <v>#REF!</v>
      </c>
      <c r="S219" s="54" t="e">
        <f>'Product info'!#REF!</f>
        <v>#REF!</v>
      </c>
      <c r="T219" s="50" t="e">
        <f>'Product info'!#REF!</f>
        <v>#REF!</v>
      </c>
      <c r="U219" s="52" t="e">
        <f t="shared" si="48"/>
        <v>#REF!</v>
      </c>
      <c r="V219" s="50" t="e">
        <f t="shared" si="49"/>
        <v>#REF!</v>
      </c>
      <c r="W219" s="50" t="e">
        <f t="shared" si="50"/>
        <v>#REF!</v>
      </c>
      <c r="X219" s="50" t="e">
        <f t="shared" si="51"/>
        <v>#REF!</v>
      </c>
      <c r="Y219" s="50" t="e">
        <f t="shared" si="52"/>
        <v>#REF!</v>
      </c>
      <c r="Z219" t="e">
        <f t="shared" si="53"/>
        <v>#REF!</v>
      </c>
    </row>
    <row r="220" spans="1:26" x14ac:dyDescent="0.4">
      <c r="A220" t="e">
        <f>'Product info'!#REF!</f>
        <v>#REF!</v>
      </c>
      <c r="B220" t="e">
        <f>'Product info'!#REF!</f>
        <v>#REF!</v>
      </c>
      <c r="C220" t="e">
        <f>'Product info'!#REF!</f>
        <v>#REF!</v>
      </c>
      <c r="D220" s="6" t="e">
        <f>'Product info'!#REF!</f>
        <v>#REF!</v>
      </c>
      <c r="E220" t="e">
        <f t="shared" si="41"/>
        <v>#REF!</v>
      </c>
      <c r="F220" s="50" t="e">
        <f>'Product info'!#REF!</f>
        <v>#REF!</v>
      </c>
      <c r="G220" s="50" t="e">
        <f>'Product info'!#REF!</f>
        <v>#REF!</v>
      </c>
      <c r="H220" s="50" t="e">
        <f>'Product info'!#REF!</f>
        <v>#REF!</v>
      </c>
      <c r="I220" s="50" t="e">
        <f>'Product info'!#REF!</f>
        <v>#REF!</v>
      </c>
      <c r="J220" s="51" t="e">
        <f>'Product info'!#REF!</f>
        <v>#REF!</v>
      </c>
      <c r="K220" s="52" t="e">
        <f t="shared" si="42"/>
        <v>#REF!</v>
      </c>
      <c r="L220" s="50" t="e">
        <f t="shared" si="43"/>
        <v>#REF!</v>
      </c>
      <c r="M220" s="50" t="e">
        <f t="shared" si="44"/>
        <v>#REF!</v>
      </c>
      <c r="N220" s="50" t="e">
        <f t="shared" si="45"/>
        <v>#REF!</v>
      </c>
      <c r="O220" s="50" t="e">
        <f t="shared" si="46"/>
        <v>#REF!</v>
      </c>
      <c r="P220" s="53" t="e">
        <f t="shared" si="47"/>
        <v>#REF!</v>
      </c>
      <c r="Q220" s="54" t="e">
        <f>'Product info'!#REF!</f>
        <v>#REF!</v>
      </c>
      <c r="R220" s="54" t="e">
        <f>'Product info'!#REF!</f>
        <v>#REF!</v>
      </c>
      <c r="S220" s="54" t="e">
        <f>'Product info'!#REF!</f>
        <v>#REF!</v>
      </c>
      <c r="T220" s="50" t="e">
        <f>'Product info'!#REF!</f>
        <v>#REF!</v>
      </c>
      <c r="U220" s="52" t="e">
        <f t="shared" si="48"/>
        <v>#REF!</v>
      </c>
      <c r="V220" s="50" t="e">
        <f t="shared" si="49"/>
        <v>#REF!</v>
      </c>
      <c r="W220" s="50" t="e">
        <f t="shared" si="50"/>
        <v>#REF!</v>
      </c>
      <c r="X220" s="50" t="e">
        <f t="shared" si="51"/>
        <v>#REF!</v>
      </c>
      <c r="Y220" s="50" t="e">
        <f t="shared" si="52"/>
        <v>#REF!</v>
      </c>
      <c r="Z220" t="e">
        <f t="shared" si="53"/>
        <v>#REF!</v>
      </c>
    </row>
    <row r="221" spans="1:26" x14ac:dyDescent="0.4">
      <c r="A221" t="e">
        <f>'Product info'!#REF!</f>
        <v>#REF!</v>
      </c>
      <c r="B221" t="e">
        <f>'Product info'!#REF!</f>
        <v>#REF!</v>
      </c>
      <c r="C221" t="e">
        <f>'Product info'!#REF!</f>
        <v>#REF!</v>
      </c>
      <c r="D221" s="6" t="e">
        <f>'Product info'!#REF!</f>
        <v>#REF!</v>
      </c>
      <c r="E221" t="e">
        <f t="shared" si="41"/>
        <v>#REF!</v>
      </c>
      <c r="F221" s="50" t="e">
        <f>'Product info'!#REF!</f>
        <v>#REF!</v>
      </c>
      <c r="G221" s="50" t="e">
        <f>'Product info'!#REF!</f>
        <v>#REF!</v>
      </c>
      <c r="H221" s="50" t="e">
        <f>'Product info'!#REF!</f>
        <v>#REF!</v>
      </c>
      <c r="I221" s="50" t="e">
        <f>'Product info'!#REF!</f>
        <v>#REF!</v>
      </c>
      <c r="J221" s="51" t="e">
        <f>'Product info'!#REF!</f>
        <v>#REF!</v>
      </c>
      <c r="K221" s="52" t="e">
        <f t="shared" si="42"/>
        <v>#REF!</v>
      </c>
      <c r="L221" s="50" t="e">
        <f t="shared" si="43"/>
        <v>#REF!</v>
      </c>
      <c r="M221" s="50" t="e">
        <f t="shared" si="44"/>
        <v>#REF!</v>
      </c>
      <c r="N221" s="50" t="e">
        <f t="shared" si="45"/>
        <v>#REF!</v>
      </c>
      <c r="O221" s="50" t="e">
        <f t="shared" si="46"/>
        <v>#REF!</v>
      </c>
      <c r="P221" s="53" t="e">
        <f t="shared" si="47"/>
        <v>#REF!</v>
      </c>
      <c r="Q221" s="54" t="e">
        <f>'Product info'!#REF!</f>
        <v>#REF!</v>
      </c>
      <c r="R221" s="54" t="e">
        <f>'Product info'!#REF!</f>
        <v>#REF!</v>
      </c>
      <c r="S221" s="54" t="e">
        <f>'Product info'!#REF!</f>
        <v>#REF!</v>
      </c>
      <c r="T221" s="50" t="e">
        <f>'Product info'!#REF!</f>
        <v>#REF!</v>
      </c>
      <c r="U221" s="52" t="e">
        <f t="shared" si="48"/>
        <v>#REF!</v>
      </c>
      <c r="V221" s="50" t="e">
        <f t="shared" si="49"/>
        <v>#REF!</v>
      </c>
      <c r="W221" s="50" t="e">
        <f t="shared" si="50"/>
        <v>#REF!</v>
      </c>
      <c r="X221" s="50" t="e">
        <f t="shared" si="51"/>
        <v>#REF!</v>
      </c>
      <c r="Y221" s="50" t="e">
        <f t="shared" si="52"/>
        <v>#REF!</v>
      </c>
      <c r="Z221" t="e">
        <f t="shared" si="53"/>
        <v>#REF!</v>
      </c>
    </row>
    <row r="222" spans="1:26" x14ac:dyDescent="0.4">
      <c r="A222" t="e">
        <f>'Product info'!#REF!</f>
        <v>#REF!</v>
      </c>
      <c r="B222" t="e">
        <f>'Product info'!#REF!</f>
        <v>#REF!</v>
      </c>
      <c r="C222" t="e">
        <f>'Product info'!#REF!</f>
        <v>#REF!</v>
      </c>
      <c r="D222" s="6" t="e">
        <f>'Product info'!#REF!</f>
        <v>#REF!</v>
      </c>
      <c r="E222" t="e">
        <f t="shared" si="41"/>
        <v>#REF!</v>
      </c>
      <c r="F222" s="50" t="e">
        <f>'Product info'!#REF!</f>
        <v>#REF!</v>
      </c>
      <c r="G222" s="50" t="e">
        <f>'Product info'!#REF!</f>
        <v>#REF!</v>
      </c>
      <c r="H222" s="50" t="e">
        <f>'Product info'!#REF!</f>
        <v>#REF!</v>
      </c>
      <c r="I222" s="50" t="e">
        <f>'Product info'!#REF!</f>
        <v>#REF!</v>
      </c>
      <c r="J222" s="51" t="e">
        <f>'Product info'!#REF!</f>
        <v>#REF!</v>
      </c>
      <c r="K222" s="52" t="e">
        <f t="shared" si="42"/>
        <v>#REF!</v>
      </c>
      <c r="L222" s="50" t="e">
        <f t="shared" si="43"/>
        <v>#REF!</v>
      </c>
      <c r="M222" s="50" t="e">
        <f t="shared" si="44"/>
        <v>#REF!</v>
      </c>
      <c r="N222" s="50" t="e">
        <f t="shared" si="45"/>
        <v>#REF!</v>
      </c>
      <c r="O222" s="50" t="e">
        <f t="shared" si="46"/>
        <v>#REF!</v>
      </c>
      <c r="P222" s="53" t="e">
        <f t="shared" si="47"/>
        <v>#REF!</v>
      </c>
      <c r="Q222" s="54" t="e">
        <f>'Product info'!#REF!</f>
        <v>#REF!</v>
      </c>
      <c r="R222" s="54" t="e">
        <f>'Product info'!#REF!</f>
        <v>#REF!</v>
      </c>
      <c r="S222" s="54" t="e">
        <f>'Product info'!#REF!</f>
        <v>#REF!</v>
      </c>
      <c r="T222" s="50" t="e">
        <f>'Product info'!#REF!</f>
        <v>#REF!</v>
      </c>
      <c r="U222" s="52" t="e">
        <f t="shared" si="48"/>
        <v>#REF!</v>
      </c>
      <c r="V222" s="50" t="e">
        <f t="shared" si="49"/>
        <v>#REF!</v>
      </c>
      <c r="W222" s="50" t="e">
        <f t="shared" si="50"/>
        <v>#REF!</v>
      </c>
      <c r="X222" s="50" t="e">
        <f t="shared" si="51"/>
        <v>#REF!</v>
      </c>
      <c r="Y222" s="50" t="e">
        <f t="shared" si="52"/>
        <v>#REF!</v>
      </c>
      <c r="Z222" t="e">
        <f t="shared" si="53"/>
        <v>#REF!</v>
      </c>
    </row>
    <row r="223" spans="1:26" x14ac:dyDescent="0.4">
      <c r="A223" t="e">
        <f>'Product info'!#REF!</f>
        <v>#REF!</v>
      </c>
      <c r="B223" t="e">
        <f>'Product info'!#REF!</f>
        <v>#REF!</v>
      </c>
      <c r="C223" t="e">
        <f>'Product info'!#REF!</f>
        <v>#REF!</v>
      </c>
      <c r="D223" s="6" t="e">
        <f>'Product info'!#REF!</f>
        <v>#REF!</v>
      </c>
      <c r="E223" t="e">
        <f t="shared" si="41"/>
        <v>#REF!</v>
      </c>
      <c r="F223" s="50" t="e">
        <f>'Product info'!#REF!</f>
        <v>#REF!</v>
      </c>
      <c r="G223" s="50" t="e">
        <f>'Product info'!#REF!</f>
        <v>#REF!</v>
      </c>
      <c r="H223" s="50" t="e">
        <f>'Product info'!#REF!</f>
        <v>#REF!</v>
      </c>
      <c r="I223" s="50" t="e">
        <f>'Product info'!#REF!</f>
        <v>#REF!</v>
      </c>
      <c r="J223" s="51" t="e">
        <f>'Product info'!#REF!</f>
        <v>#REF!</v>
      </c>
      <c r="K223" s="52" t="e">
        <f t="shared" si="42"/>
        <v>#REF!</v>
      </c>
      <c r="L223" s="50" t="e">
        <f t="shared" si="43"/>
        <v>#REF!</v>
      </c>
      <c r="M223" s="50" t="e">
        <f t="shared" si="44"/>
        <v>#REF!</v>
      </c>
      <c r="N223" s="50" t="e">
        <f t="shared" si="45"/>
        <v>#REF!</v>
      </c>
      <c r="O223" s="50" t="e">
        <f t="shared" si="46"/>
        <v>#REF!</v>
      </c>
      <c r="P223" s="53" t="e">
        <f t="shared" si="47"/>
        <v>#REF!</v>
      </c>
      <c r="Q223" s="54" t="e">
        <f>'Product info'!#REF!</f>
        <v>#REF!</v>
      </c>
      <c r="R223" s="54" t="e">
        <f>'Product info'!#REF!</f>
        <v>#REF!</v>
      </c>
      <c r="S223" s="54" t="e">
        <f>'Product info'!#REF!</f>
        <v>#REF!</v>
      </c>
      <c r="T223" s="50" t="e">
        <f>'Product info'!#REF!</f>
        <v>#REF!</v>
      </c>
      <c r="U223" s="52" t="e">
        <f t="shared" si="48"/>
        <v>#REF!</v>
      </c>
      <c r="V223" s="50" t="e">
        <f t="shared" si="49"/>
        <v>#REF!</v>
      </c>
      <c r="W223" s="50" t="e">
        <f t="shared" si="50"/>
        <v>#REF!</v>
      </c>
      <c r="X223" s="50" t="e">
        <f t="shared" si="51"/>
        <v>#REF!</v>
      </c>
      <c r="Y223" s="50" t="e">
        <f t="shared" si="52"/>
        <v>#REF!</v>
      </c>
      <c r="Z223" t="e">
        <f t="shared" si="53"/>
        <v>#REF!</v>
      </c>
    </row>
    <row r="224" spans="1:26" x14ac:dyDescent="0.4">
      <c r="A224" t="e">
        <f>'Product info'!#REF!</f>
        <v>#REF!</v>
      </c>
      <c r="B224" t="e">
        <f>'Product info'!#REF!</f>
        <v>#REF!</v>
      </c>
      <c r="C224" t="e">
        <f>'Product info'!#REF!</f>
        <v>#REF!</v>
      </c>
      <c r="D224" s="6" t="e">
        <f>'Product info'!#REF!</f>
        <v>#REF!</v>
      </c>
      <c r="E224" t="e">
        <f t="shared" si="41"/>
        <v>#REF!</v>
      </c>
      <c r="F224" s="50" t="e">
        <f>'Product info'!#REF!</f>
        <v>#REF!</v>
      </c>
      <c r="G224" s="50" t="e">
        <f>'Product info'!#REF!</f>
        <v>#REF!</v>
      </c>
      <c r="H224" s="50" t="e">
        <f>'Product info'!#REF!</f>
        <v>#REF!</v>
      </c>
      <c r="I224" s="50" t="e">
        <f>'Product info'!#REF!</f>
        <v>#REF!</v>
      </c>
      <c r="J224" s="51" t="e">
        <f>'Product info'!#REF!</f>
        <v>#REF!</v>
      </c>
      <c r="K224" s="52" t="e">
        <f t="shared" si="42"/>
        <v>#REF!</v>
      </c>
      <c r="L224" s="50" t="e">
        <f t="shared" si="43"/>
        <v>#REF!</v>
      </c>
      <c r="M224" s="50" t="e">
        <f t="shared" si="44"/>
        <v>#REF!</v>
      </c>
      <c r="N224" s="50" t="e">
        <f t="shared" si="45"/>
        <v>#REF!</v>
      </c>
      <c r="O224" s="50" t="e">
        <f t="shared" si="46"/>
        <v>#REF!</v>
      </c>
      <c r="P224" s="53" t="e">
        <f t="shared" si="47"/>
        <v>#REF!</v>
      </c>
      <c r="Q224" s="54" t="e">
        <f>'Product info'!#REF!</f>
        <v>#REF!</v>
      </c>
      <c r="R224" s="54" t="e">
        <f>'Product info'!#REF!</f>
        <v>#REF!</v>
      </c>
      <c r="S224" s="54" t="e">
        <f>'Product info'!#REF!</f>
        <v>#REF!</v>
      </c>
      <c r="T224" s="50" t="e">
        <f>'Product info'!#REF!</f>
        <v>#REF!</v>
      </c>
      <c r="U224" s="52" t="e">
        <f t="shared" si="48"/>
        <v>#REF!</v>
      </c>
      <c r="V224" s="50" t="e">
        <f t="shared" si="49"/>
        <v>#REF!</v>
      </c>
      <c r="W224" s="50" t="e">
        <f t="shared" si="50"/>
        <v>#REF!</v>
      </c>
      <c r="X224" s="50" t="e">
        <f t="shared" si="51"/>
        <v>#REF!</v>
      </c>
      <c r="Y224" s="50" t="e">
        <f t="shared" si="52"/>
        <v>#REF!</v>
      </c>
      <c r="Z224" t="e">
        <f t="shared" si="53"/>
        <v>#REF!</v>
      </c>
    </row>
    <row r="225" spans="1:26" x14ac:dyDescent="0.4">
      <c r="A225" t="e">
        <f>'Product info'!#REF!</f>
        <v>#REF!</v>
      </c>
      <c r="B225" t="e">
        <f>'Product info'!#REF!</f>
        <v>#REF!</v>
      </c>
      <c r="C225" t="e">
        <f>'Product info'!#REF!</f>
        <v>#REF!</v>
      </c>
      <c r="D225" s="6" t="e">
        <f>'Product info'!#REF!</f>
        <v>#REF!</v>
      </c>
      <c r="E225" t="e">
        <f t="shared" si="41"/>
        <v>#REF!</v>
      </c>
      <c r="F225" s="50" t="e">
        <f>'Product info'!#REF!</f>
        <v>#REF!</v>
      </c>
      <c r="G225" s="50" t="e">
        <f>'Product info'!#REF!</f>
        <v>#REF!</v>
      </c>
      <c r="H225" s="50" t="e">
        <f>'Product info'!#REF!</f>
        <v>#REF!</v>
      </c>
      <c r="I225" s="50" t="e">
        <f>'Product info'!#REF!</f>
        <v>#REF!</v>
      </c>
      <c r="J225" s="51" t="e">
        <f>'Product info'!#REF!</f>
        <v>#REF!</v>
      </c>
      <c r="K225" s="52" t="e">
        <f t="shared" si="42"/>
        <v>#REF!</v>
      </c>
      <c r="L225" s="50" t="e">
        <f t="shared" si="43"/>
        <v>#REF!</v>
      </c>
      <c r="M225" s="50" t="e">
        <f t="shared" si="44"/>
        <v>#REF!</v>
      </c>
      <c r="N225" s="50" t="e">
        <f t="shared" si="45"/>
        <v>#REF!</v>
      </c>
      <c r="O225" s="50" t="e">
        <f t="shared" si="46"/>
        <v>#REF!</v>
      </c>
      <c r="P225" s="53" t="e">
        <f t="shared" si="47"/>
        <v>#REF!</v>
      </c>
      <c r="Q225" s="54" t="e">
        <f>'Product info'!#REF!</f>
        <v>#REF!</v>
      </c>
      <c r="R225" s="54" t="e">
        <f>'Product info'!#REF!</f>
        <v>#REF!</v>
      </c>
      <c r="S225" s="54" t="e">
        <f>'Product info'!#REF!</f>
        <v>#REF!</v>
      </c>
      <c r="T225" s="50" t="e">
        <f>'Product info'!#REF!</f>
        <v>#REF!</v>
      </c>
      <c r="U225" s="52" t="e">
        <f t="shared" si="48"/>
        <v>#REF!</v>
      </c>
      <c r="V225" s="50" t="e">
        <f t="shared" si="49"/>
        <v>#REF!</v>
      </c>
      <c r="W225" s="50" t="e">
        <f t="shared" si="50"/>
        <v>#REF!</v>
      </c>
      <c r="X225" s="50" t="e">
        <f t="shared" si="51"/>
        <v>#REF!</v>
      </c>
      <c r="Y225" s="50" t="e">
        <f t="shared" si="52"/>
        <v>#REF!</v>
      </c>
      <c r="Z225" t="e">
        <f t="shared" si="53"/>
        <v>#REF!</v>
      </c>
    </row>
    <row r="226" spans="1:26" x14ac:dyDescent="0.4">
      <c r="A226" t="e">
        <f>'Product info'!#REF!</f>
        <v>#REF!</v>
      </c>
      <c r="B226" t="e">
        <f>'Product info'!#REF!</f>
        <v>#REF!</v>
      </c>
      <c r="C226" t="e">
        <f>'Product info'!#REF!</f>
        <v>#REF!</v>
      </c>
      <c r="D226" s="6" t="e">
        <f>'Product info'!#REF!</f>
        <v>#REF!</v>
      </c>
      <c r="E226" t="e">
        <f t="shared" si="41"/>
        <v>#REF!</v>
      </c>
      <c r="F226" s="50" t="e">
        <f>'Product info'!#REF!</f>
        <v>#REF!</v>
      </c>
      <c r="G226" s="50" t="e">
        <f>'Product info'!#REF!</f>
        <v>#REF!</v>
      </c>
      <c r="H226" s="50" t="e">
        <f>'Product info'!#REF!</f>
        <v>#REF!</v>
      </c>
      <c r="I226" s="50" t="e">
        <f>'Product info'!#REF!</f>
        <v>#REF!</v>
      </c>
      <c r="J226" s="51" t="e">
        <f>'Product info'!#REF!</f>
        <v>#REF!</v>
      </c>
      <c r="K226" s="52" t="e">
        <f t="shared" si="42"/>
        <v>#REF!</v>
      </c>
      <c r="L226" s="50" t="e">
        <f t="shared" si="43"/>
        <v>#REF!</v>
      </c>
      <c r="M226" s="50" t="e">
        <f t="shared" si="44"/>
        <v>#REF!</v>
      </c>
      <c r="N226" s="50" t="e">
        <f t="shared" si="45"/>
        <v>#REF!</v>
      </c>
      <c r="O226" s="50" t="e">
        <f t="shared" si="46"/>
        <v>#REF!</v>
      </c>
      <c r="P226" s="53" t="e">
        <f t="shared" si="47"/>
        <v>#REF!</v>
      </c>
      <c r="Q226" s="54" t="e">
        <f>'Product info'!#REF!</f>
        <v>#REF!</v>
      </c>
      <c r="R226" s="54" t="e">
        <f>'Product info'!#REF!</f>
        <v>#REF!</v>
      </c>
      <c r="S226" s="54" t="e">
        <f>'Product info'!#REF!</f>
        <v>#REF!</v>
      </c>
      <c r="T226" s="50" t="e">
        <f>'Product info'!#REF!</f>
        <v>#REF!</v>
      </c>
      <c r="U226" s="52" t="e">
        <f t="shared" si="48"/>
        <v>#REF!</v>
      </c>
      <c r="V226" s="50" t="e">
        <f t="shared" si="49"/>
        <v>#REF!</v>
      </c>
      <c r="W226" s="50" t="e">
        <f t="shared" si="50"/>
        <v>#REF!</v>
      </c>
      <c r="X226" s="50" t="e">
        <f t="shared" si="51"/>
        <v>#REF!</v>
      </c>
      <c r="Y226" s="50" t="e">
        <f t="shared" si="52"/>
        <v>#REF!</v>
      </c>
      <c r="Z226" t="e">
        <f t="shared" si="53"/>
        <v>#REF!</v>
      </c>
    </row>
    <row r="227" spans="1:26" x14ac:dyDescent="0.4">
      <c r="A227" t="e">
        <f>'Product info'!#REF!</f>
        <v>#REF!</v>
      </c>
      <c r="B227" t="e">
        <f>'Product info'!#REF!</f>
        <v>#REF!</v>
      </c>
      <c r="C227" t="e">
        <f>'Product info'!#REF!</f>
        <v>#REF!</v>
      </c>
      <c r="D227" s="6" t="e">
        <f>'Product info'!#REF!</f>
        <v>#REF!</v>
      </c>
      <c r="E227" t="e">
        <f t="shared" si="41"/>
        <v>#REF!</v>
      </c>
      <c r="F227" s="50" t="e">
        <f>'Product info'!#REF!</f>
        <v>#REF!</v>
      </c>
      <c r="G227" s="50" t="e">
        <f>'Product info'!#REF!</f>
        <v>#REF!</v>
      </c>
      <c r="H227" s="50" t="e">
        <f>'Product info'!#REF!</f>
        <v>#REF!</v>
      </c>
      <c r="I227" s="50" t="e">
        <f>'Product info'!#REF!</f>
        <v>#REF!</v>
      </c>
      <c r="J227" s="51" t="e">
        <f>'Product info'!#REF!</f>
        <v>#REF!</v>
      </c>
      <c r="K227" s="52" t="e">
        <f t="shared" si="42"/>
        <v>#REF!</v>
      </c>
      <c r="L227" s="50" t="e">
        <f t="shared" si="43"/>
        <v>#REF!</v>
      </c>
      <c r="M227" s="50" t="e">
        <f t="shared" si="44"/>
        <v>#REF!</v>
      </c>
      <c r="N227" s="50" t="e">
        <f t="shared" si="45"/>
        <v>#REF!</v>
      </c>
      <c r="O227" s="50" t="e">
        <f t="shared" si="46"/>
        <v>#REF!</v>
      </c>
      <c r="P227" s="53" t="e">
        <f t="shared" si="47"/>
        <v>#REF!</v>
      </c>
      <c r="Q227" s="54" t="e">
        <f>'Product info'!#REF!</f>
        <v>#REF!</v>
      </c>
      <c r="R227" s="54" t="e">
        <f>'Product info'!#REF!</f>
        <v>#REF!</v>
      </c>
      <c r="S227" s="54" t="e">
        <f>'Product info'!#REF!</f>
        <v>#REF!</v>
      </c>
      <c r="T227" s="50" t="e">
        <f>'Product info'!#REF!</f>
        <v>#REF!</v>
      </c>
      <c r="U227" s="52" t="e">
        <f t="shared" si="48"/>
        <v>#REF!</v>
      </c>
      <c r="V227" s="50" t="e">
        <f t="shared" si="49"/>
        <v>#REF!</v>
      </c>
      <c r="W227" s="50" t="e">
        <f t="shared" si="50"/>
        <v>#REF!</v>
      </c>
      <c r="X227" s="50" t="e">
        <f t="shared" si="51"/>
        <v>#REF!</v>
      </c>
      <c r="Y227" s="50" t="e">
        <f t="shared" si="52"/>
        <v>#REF!</v>
      </c>
      <c r="Z227" t="e">
        <f t="shared" si="53"/>
        <v>#REF!</v>
      </c>
    </row>
    <row r="228" spans="1:26" x14ac:dyDescent="0.4">
      <c r="A228" t="e">
        <f>'Product info'!#REF!</f>
        <v>#REF!</v>
      </c>
      <c r="B228" t="e">
        <f>'Product info'!#REF!</f>
        <v>#REF!</v>
      </c>
      <c r="C228" t="e">
        <f>'Product info'!#REF!</f>
        <v>#REF!</v>
      </c>
      <c r="D228" s="6" t="e">
        <f>'Product info'!#REF!</f>
        <v>#REF!</v>
      </c>
      <c r="E228" t="e">
        <f t="shared" si="41"/>
        <v>#REF!</v>
      </c>
      <c r="F228" s="50" t="e">
        <f>'Product info'!#REF!</f>
        <v>#REF!</v>
      </c>
      <c r="G228" s="50" t="e">
        <f>'Product info'!#REF!</f>
        <v>#REF!</v>
      </c>
      <c r="H228" s="50" t="e">
        <f>'Product info'!#REF!</f>
        <v>#REF!</v>
      </c>
      <c r="I228" s="50" t="e">
        <f>'Product info'!#REF!</f>
        <v>#REF!</v>
      </c>
      <c r="J228" s="51" t="e">
        <f>'Product info'!#REF!</f>
        <v>#REF!</v>
      </c>
      <c r="K228" s="52" t="e">
        <f t="shared" si="42"/>
        <v>#REF!</v>
      </c>
      <c r="L228" s="50" t="e">
        <f t="shared" si="43"/>
        <v>#REF!</v>
      </c>
      <c r="M228" s="50" t="e">
        <f t="shared" si="44"/>
        <v>#REF!</v>
      </c>
      <c r="N228" s="50" t="e">
        <f t="shared" si="45"/>
        <v>#REF!</v>
      </c>
      <c r="O228" s="50" t="e">
        <f t="shared" si="46"/>
        <v>#REF!</v>
      </c>
      <c r="P228" s="53" t="e">
        <f t="shared" si="47"/>
        <v>#REF!</v>
      </c>
      <c r="Q228" s="54" t="e">
        <f>'Product info'!#REF!</f>
        <v>#REF!</v>
      </c>
      <c r="R228" s="54" t="e">
        <f>'Product info'!#REF!</f>
        <v>#REF!</v>
      </c>
      <c r="S228" s="54" t="e">
        <f>'Product info'!#REF!</f>
        <v>#REF!</v>
      </c>
      <c r="T228" s="50" t="e">
        <f>'Product info'!#REF!</f>
        <v>#REF!</v>
      </c>
      <c r="U228" s="52" t="e">
        <f t="shared" si="48"/>
        <v>#REF!</v>
      </c>
      <c r="V228" s="50" t="e">
        <f t="shared" si="49"/>
        <v>#REF!</v>
      </c>
      <c r="W228" s="50" t="e">
        <f t="shared" si="50"/>
        <v>#REF!</v>
      </c>
      <c r="X228" s="50" t="e">
        <f t="shared" si="51"/>
        <v>#REF!</v>
      </c>
      <c r="Y228" s="50" t="e">
        <f t="shared" si="52"/>
        <v>#REF!</v>
      </c>
      <c r="Z228" t="e">
        <f t="shared" si="53"/>
        <v>#REF!</v>
      </c>
    </row>
    <row r="229" spans="1:26" x14ac:dyDescent="0.4">
      <c r="A229" t="e">
        <f>'Product info'!#REF!</f>
        <v>#REF!</v>
      </c>
      <c r="B229" t="e">
        <f>'Product info'!#REF!</f>
        <v>#REF!</v>
      </c>
      <c r="C229" t="e">
        <f>'Product info'!#REF!</f>
        <v>#REF!</v>
      </c>
      <c r="D229" s="6" t="e">
        <f>'Product info'!#REF!</f>
        <v>#REF!</v>
      </c>
      <c r="E229" t="e">
        <f t="shared" si="41"/>
        <v>#REF!</v>
      </c>
      <c r="F229" s="50" t="e">
        <f>'Product info'!#REF!</f>
        <v>#REF!</v>
      </c>
      <c r="G229" s="50" t="e">
        <f>'Product info'!#REF!</f>
        <v>#REF!</v>
      </c>
      <c r="H229" s="50" t="e">
        <f>'Product info'!#REF!</f>
        <v>#REF!</v>
      </c>
      <c r="I229" s="50" t="e">
        <f>'Product info'!#REF!</f>
        <v>#REF!</v>
      </c>
      <c r="J229" s="51" t="e">
        <f>'Product info'!#REF!</f>
        <v>#REF!</v>
      </c>
      <c r="K229" s="52" t="e">
        <f t="shared" si="42"/>
        <v>#REF!</v>
      </c>
      <c r="L229" s="50" t="e">
        <f t="shared" si="43"/>
        <v>#REF!</v>
      </c>
      <c r="M229" s="50" t="e">
        <f t="shared" si="44"/>
        <v>#REF!</v>
      </c>
      <c r="N229" s="50" t="e">
        <f t="shared" si="45"/>
        <v>#REF!</v>
      </c>
      <c r="O229" s="50" t="e">
        <f t="shared" si="46"/>
        <v>#REF!</v>
      </c>
      <c r="P229" s="53" t="e">
        <f t="shared" si="47"/>
        <v>#REF!</v>
      </c>
      <c r="Q229" s="54" t="e">
        <f>'Product info'!#REF!</f>
        <v>#REF!</v>
      </c>
      <c r="R229" s="54" t="e">
        <f>'Product info'!#REF!</f>
        <v>#REF!</v>
      </c>
      <c r="S229" s="54" t="e">
        <f>'Product info'!#REF!</f>
        <v>#REF!</v>
      </c>
      <c r="T229" s="50" t="e">
        <f>'Product info'!#REF!</f>
        <v>#REF!</v>
      </c>
      <c r="U229" s="52" t="e">
        <f t="shared" si="48"/>
        <v>#REF!</v>
      </c>
      <c r="V229" s="50" t="e">
        <f t="shared" si="49"/>
        <v>#REF!</v>
      </c>
      <c r="W229" s="50" t="e">
        <f t="shared" si="50"/>
        <v>#REF!</v>
      </c>
      <c r="X229" s="50" t="e">
        <f t="shared" si="51"/>
        <v>#REF!</v>
      </c>
      <c r="Y229" s="50" t="e">
        <f t="shared" si="52"/>
        <v>#REF!</v>
      </c>
      <c r="Z229" t="e">
        <f t="shared" si="53"/>
        <v>#REF!</v>
      </c>
    </row>
    <row r="230" spans="1:26" x14ac:dyDescent="0.4">
      <c r="A230" t="e">
        <f>'Product info'!#REF!</f>
        <v>#REF!</v>
      </c>
      <c r="B230" t="e">
        <f>'Product info'!#REF!</f>
        <v>#REF!</v>
      </c>
      <c r="C230" t="e">
        <f>'Product info'!#REF!</f>
        <v>#REF!</v>
      </c>
      <c r="D230" s="6" t="e">
        <f>'Product info'!#REF!</f>
        <v>#REF!</v>
      </c>
      <c r="E230" t="e">
        <f t="shared" si="41"/>
        <v>#REF!</v>
      </c>
      <c r="F230" s="50" t="e">
        <f>'Product info'!#REF!</f>
        <v>#REF!</v>
      </c>
      <c r="G230" s="50" t="e">
        <f>'Product info'!#REF!</f>
        <v>#REF!</v>
      </c>
      <c r="H230" s="50" t="e">
        <f>'Product info'!#REF!</f>
        <v>#REF!</v>
      </c>
      <c r="I230" s="50" t="e">
        <f>'Product info'!#REF!</f>
        <v>#REF!</v>
      </c>
      <c r="J230" s="51" t="e">
        <f>'Product info'!#REF!</f>
        <v>#REF!</v>
      </c>
      <c r="K230" s="52" t="e">
        <f t="shared" si="42"/>
        <v>#REF!</v>
      </c>
      <c r="L230" s="50" t="e">
        <f t="shared" si="43"/>
        <v>#REF!</v>
      </c>
      <c r="M230" s="50" t="e">
        <f t="shared" si="44"/>
        <v>#REF!</v>
      </c>
      <c r="N230" s="50" t="e">
        <f t="shared" si="45"/>
        <v>#REF!</v>
      </c>
      <c r="O230" s="50" t="e">
        <f t="shared" si="46"/>
        <v>#REF!</v>
      </c>
      <c r="P230" s="53" t="e">
        <f t="shared" si="47"/>
        <v>#REF!</v>
      </c>
      <c r="Q230" s="54" t="e">
        <f>'Product info'!#REF!</f>
        <v>#REF!</v>
      </c>
      <c r="R230" s="54" t="e">
        <f>'Product info'!#REF!</f>
        <v>#REF!</v>
      </c>
      <c r="S230" s="54" t="e">
        <f>'Product info'!#REF!</f>
        <v>#REF!</v>
      </c>
      <c r="T230" s="50" t="e">
        <f>'Product info'!#REF!</f>
        <v>#REF!</v>
      </c>
      <c r="U230" s="52" t="e">
        <f t="shared" si="48"/>
        <v>#REF!</v>
      </c>
      <c r="V230" s="50" t="e">
        <f t="shared" si="49"/>
        <v>#REF!</v>
      </c>
      <c r="W230" s="50" t="e">
        <f t="shared" si="50"/>
        <v>#REF!</v>
      </c>
      <c r="X230" s="50" t="e">
        <f t="shared" si="51"/>
        <v>#REF!</v>
      </c>
      <c r="Y230" s="50" t="e">
        <f t="shared" si="52"/>
        <v>#REF!</v>
      </c>
      <c r="Z230" t="e">
        <f t="shared" si="53"/>
        <v>#REF!</v>
      </c>
    </row>
    <row r="231" spans="1:26" x14ac:dyDescent="0.4">
      <c r="A231" t="e">
        <f>'Product info'!#REF!</f>
        <v>#REF!</v>
      </c>
      <c r="B231" t="e">
        <f>'Product info'!#REF!</f>
        <v>#REF!</v>
      </c>
      <c r="C231" t="e">
        <f>'Product info'!#REF!</f>
        <v>#REF!</v>
      </c>
      <c r="D231" s="6" t="e">
        <f>'Product info'!#REF!</f>
        <v>#REF!</v>
      </c>
      <c r="E231" t="e">
        <f t="shared" si="41"/>
        <v>#REF!</v>
      </c>
      <c r="F231" s="50" t="e">
        <f>'Product info'!#REF!</f>
        <v>#REF!</v>
      </c>
      <c r="G231" s="50" t="e">
        <f>'Product info'!#REF!</f>
        <v>#REF!</v>
      </c>
      <c r="H231" s="50" t="e">
        <f>'Product info'!#REF!</f>
        <v>#REF!</v>
      </c>
      <c r="I231" s="50" t="e">
        <f>'Product info'!#REF!</f>
        <v>#REF!</v>
      </c>
      <c r="J231" s="51" t="e">
        <f>'Product info'!#REF!</f>
        <v>#REF!</v>
      </c>
      <c r="K231" s="52" t="e">
        <f t="shared" si="42"/>
        <v>#REF!</v>
      </c>
      <c r="L231" s="50" t="e">
        <f t="shared" si="43"/>
        <v>#REF!</v>
      </c>
      <c r="M231" s="50" t="e">
        <f t="shared" si="44"/>
        <v>#REF!</v>
      </c>
      <c r="N231" s="50" t="e">
        <f t="shared" si="45"/>
        <v>#REF!</v>
      </c>
      <c r="O231" s="50" t="e">
        <f t="shared" si="46"/>
        <v>#REF!</v>
      </c>
      <c r="P231" s="53" t="e">
        <f t="shared" si="47"/>
        <v>#REF!</v>
      </c>
      <c r="Q231" s="54" t="e">
        <f>'Product info'!#REF!</f>
        <v>#REF!</v>
      </c>
      <c r="R231" s="54" t="e">
        <f>'Product info'!#REF!</f>
        <v>#REF!</v>
      </c>
      <c r="S231" s="54" t="e">
        <f>'Product info'!#REF!</f>
        <v>#REF!</v>
      </c>
      <c r="T231" s="50" t="e">
        <f>'Product info'!#REF!</f>
        <v>#REF!</v>
      </c>
      <c r="U231" s="52" t="e">
        <f t="shared" si="48"/>
        <v>#REF!</v>
      </c>
      <c r="V231" s="50" t="e">
        <f t="shared" si="49"/>
        <v>#REF!</v>
      </c>
      <c r="W231" s="50" t="e">
        <f t="shared" si="50"/>
        <v>#REF!</v>
      </c>
      <c r="X231" s="50" t="e">
        <f t="shared" si="51"/>
        <v>#REF!</v>
      </c>
      <c r="Y231" s="50" t="e">
        <f t="shared" si="52"/>
        <v>#REF!</v>
      </c>
      <c r="Z231" t="e">
        <f t="shared" si="53"/>
        <v>#REF!</v>
      </c>
    </row>
    <row r="232" spans="1:26" x14ac:dyDescent="0.4">
      <c r="A232" t="e">
        <f>'Product info'!#REF!</f>
        <v>#REF!</v>
      </c>
      <c r="B232" t="e">
        <f>'Product info'!#REF!</f>
        <v>#REF!</v>
      </c>
      <c r="C232" t="e">
        <f>'Product info'!#REF!</f>
        <v>#REF!</v>
      </c>
      <c r="D232" s="6" t="e">
        <f>'Product info'!#REF!</f>
        <v>#REF!</v>
      </c>
      <c r="E232" t="e">
        <f t="shared" si="41"/>
        <v>#REF!</v>
      </c>
      <c r="F232" s="50" t="e">
        <f>'Product info'!#REF!</f>
        <v>#REF!</v>
      </c>
      <c r="G232" s="50" t="e">
        <f>'Product info'!#REF!</f>
        <v>#REF!</v>
      </c>
      <c r="H232" s="50" t="e">
        <f>'Product info'!#REF!</f>
        <v>#REF!</v>
      </c>
      <c r="I232" s="50" t="e">
        <f>'Product info'!#REF!</f>
        <v>#REF!</v>
      </c>
      <c r="J232" s="51" t="e">
        <f>'Product info'!#REF!</f>
        <v>#REF!</v>
      </c>
      <c r="K232" s="52" t="e">
        <f t="shared" si="42"/>
        <v>#REF!</v>
      </c>
      <c r="L232" s="50" t="e">
        <f t="shared" si="43"/>
        <v>#REF!</v>
      </c>
      <c r="M232" s="50" t="e">
        <f t="shared" si="44"/>
        <v>#REF!</v>
      </c>
      <c r="N232" s="50" t="e">
        <f t="shared" si="45"/>
        <v>#REF!</v>
      </c>
      <c r="O232" s="50" t="e">
        <f t="shared" si="46"/>
        <v>#REF!</v>
      </c>
      <c r="P232" s="53" t="e">
        <f t="shared" si="47"/>
        <v>#REF!</v>
      </c>
      <c r="Q232" s="54" t="e">
        <f>'Product info'!#REF!</f>
        <v>#REF!</v>
      </c>
      <c r="R232" s="54" t="e">
        <f>'Product info'!#REF!</f>
        <v>#REF!</v>
      </c>
      <c r="S232" s="54" t="e">
        <f>'Product info'!#REF!</f>
        <v>#REF!</v>
      </c>
      <c r="T232" s="50" t="e">
        <f>'Product info'!#REF!</f>
        <v>#REF!</v>
      </c>
      <c r="U232" s="52" t="e">
        <f t="shared" si="48"/>
        <v>#REF!</v>
      </c>
      <c r="V232" s="50" t="e">
        <f t="shared" si="49"/>
        <v>#REF!</v>
      </c>
      <c r="W232" s="50" t="e">
        <f t="shared" si="50"/>
        <v>#REF!</v>
      </c>
      <c r="X232" s="50" t="e">
        <f t="shared" si="51"/>
        <v>#REF!</v>
      </c>
      <c r="Y232" s="50" t="e">
        <f t="shared" si="52"/>
        <v>#REF!</v>
      </c>
      <c r="Z232" t="e">
        <f t="shared" si="53"/>
        <v>#REF!</v>
      </c>
    </row>
    <row r="233" spans="1:26" x14ac:dyDescent="0.4">
      <c r="A233" t="e">
        <f>'Product info'!#REF!</f>
        <v>#REF!</v>
      </c>
      <c r="B233" t="e">
        <f>'Product info'!#REF!</f>
        <v>#REF!</v>
      </c>
      <c r="C233" t="e">
        <f>'Product info'!#REF!</f>
        <v>#REF!</v>
      </c>
      <c r="D233" s="6" t="e">
        <f>'Product info'!#REF!</f>
        <v>#REF!</v>
      </c>
      <c r="E233" t="e">
        <f t="shared" si="41"/>
        <v>#REF!</v>
      </c>
      <c r="F233" s="50" t="e">
        <f>'Product info'!#REF!</f>
        <v>#REF!</v>
      </c>
      <c r="G233" s="50" t="e">
        <f>'Product info'!#REF!</f>
        <v>#REF!</v>
      </c>
      <c r="H233" s="50" t="e">
        <f>'Product info'!#REF!</f>
        <v>#REF!</v>
      </c>
      <c r="I233" s="50" t="e">
        <f>'Product info'!#REF!</f>
        <v>#REF!</v>
      </c>
      <c r="J233" s="51" t="e">
        <f>'Product info'!#REF!</f>
        <v>#REF!</v>
      </c>
      <c r="K233" s="52" t="e">
        <f t="shared" si="42"/>
        <v>#REF!</v>
      </c>
      <c r="L233" s="50" t="e">
        <f t="shared" si="43"/>
        <v>#REF!</v>
      </c>
      <c r="M233" s="50" t="e">
        <f t="shared" si="44"/>
        <v>#REF!</v>
      </c>
      <c r="N233" s="50" t="e">
        <f t="shared" si="45"/>
        <v>#REF!</v>
      </c>
      <c r="O233" s="50" t="e">
        <f t="shared" si="46"/>
        <v>#REF!</v>
      </c>
      <c r="P233" s="53" t="e">
        <f t="shared" si="47"/>
        <v>#REF!</v>
      </c>
      <c r="Q233" s="54" t="e">
        <f>'Product info'!#REF!</f>
        <v>#REF!</v>
      </c>
      <c r="R233" s="54" t="e">
        <f>'Product info'!#REF!</f>
        <v>#REF!</v>
      </c>
      <c r="S233" s="54" t="e">
        <f>'Product info'!#REF!</f>
        <v>#REF!</v>
      </c>
      <c r="T233" s="50" t="e">
        <f>'Product info'!#REF!</f>
        <v>#REF!</v>
      </c>
      <c r="U233" s="52" t="e">
        <f t="shared" si="48"/>
        <v>#REF!</v>
      </c>
      <c r="V233" s="50" t="e">
        <f t="shared" si="49"/>
        <v>#REF!</v>
      </c>
      <c r="W233" s="50" t="e">
        <f t="shared" si="50"/>
        <v>#REF!</v>
      </c>
      <c r="X233" s="50" t="e">
        <f t="shared" si="51"/>
        <v>#REF!</v>
      </c>
      <c r="Y233" s="50" t="e">
        <f t="shared" si="52"/>
        <v>#REF!</v>
      </c>
      <c r="Z233" t="e">
        <f t="shared" si="53"/>
        <v>#REF!</v>
      </c>
    </row>
    <row r="234" spans="1:26" x14ac:dyDescent="0.4">
      <c r="A234" t="e">
        <f>'Product info'!#REF!</f>
        <v>#REF!</v>
      </c>
      <c r="B234" t="e">
        <f>'Product info'!#REF!</f>
        <v>#REF!</v>
      </c>
      <c r="C234" t="e">
        <f>'Product info'!#REF!</f>
        <v>#REF!</v>
      </c>
      <c r="D234" s="6" t="e">
        <f>'Product info'!#REF!</f>
        <v>#REF!</v>
      </c>
      <c r="E234" t="e">
        <f t="shared" si="41"/>
        <v>#REF!</v>
      </c>
      <c r="F234" s="50" t="e">
        <f>'Product info'!#REF!</f>
        <v>#REF!</v>
      </c>
      <c r="G234" s="50" t="e">
        <f>'Product info'!#REF!</f>
        <v>#REF!</v>
      </c>
      <c r="H234" s="50" t="e">
        <f>'Product info'!#REF!</f>
        <v>#REF!</v>
      </c>
      <c r="I234" s="50" t="e">
        <f>'Product info'!#REF!</f>
        <v>#REF!</v>
      </c>
      <c r="J234" s="51" t="e">
        <f>'Product info'!#REF!</f>
        <v>#REF!</v>
      </c>
      <c r="K234" s="52" t="e">
        <f t="shared" si="42"/>
        <v>#REF!</v>
      </c>
      <c r="L234" s="50" t="e">
        <f t="shared" si="43"/>
        <v>#REF!</v>
      </c>
      <c r="M234" s="50" t="e">
        <f t="shared" si="44"/>
        <v>#REF!</v>
      </c>
      <c r="N234" s="50" t="e">
        <f t="shared" si="45"/>
        <v>#REF!</v>
      </c>
      <c r="O234" s="50" t="e">
        <f t="shared" si="46"/>
        <v>#REF!</v>
      </c>
      <c r="P234" s="53" t="e">
        <f t="shared" si="47"/>
        <v>#REF!</v>
      </c>
      <c r="Q234" s="54" t="e">
        <f>'Product info'!#REF!</f>
        <v>#REF!</v>
      </c>
      <c r="R234" s="54" t="e">
        <f>'Product info'!#REF!</f>
        <v>#REF!</v>
      </c>
      <c r="S234" s="54" t="e">
        <f>'Product info'!#REF!</f>
        <v>#REF!</v>
      </c>
      <c r="T234" s="50" t="e">
        <f>'Product info'!#REF!</f>
        <v>#REF!</v>
      </c>
      <c r="U234" s="52" t="e">
        <f t="shared" si="48"/>
        <v>#REF!</v>
      </c>
      <c r="V234" s="50" t="e">
        <f t="shared" si="49"/>
        <v>#REF!</v>
      </c>
      <c r="W234" s="50" t="e">
        <f t="shared" si="50"/>
        <v>#REF!</v>
      </c>
      <c r="X234" s="50" t="e">
        <f t="shared" si="51"/>
        <v>#REF!</v>
      </c>
      <c r="Y234" s="50" t="e">
        <f t="shared" si="52"/>
        <v>#REF!</v>
      </c>
      <c r="Z234" t="e">
        <f t="shared" si="53"/>
        <v>#REF!</v>
      </c>
    </row>
    <row r="235" spans="1:26" x14ac:dyDescent="0.4">
      <c r="A235" t="e">
        <f>'Product info'!#REF!</f>
        <v>#REF!</v>
      </c>
      <c r="B235" t="e">
        <f>'Product info'!#REF!</f>
        <v>#REF!</v>
      </c>
      <c r="C235" t="e">
        <f>'Product info'!#REF!</f>
        <v>#REF!</v>
      </c>
      <c r="D235" s="6" t="e">
        <f>'Product info'!#REF!</f>
        <v>#REF!</v>
      </c>
      <c r="E235" t="e">
        <f t="shared" si="41"/>
        <v>#REF!</v>
      </c>
      <c r="F235" s="50" t="e">
        <f>'Product info'!#REF!</f>
        <v>#REF!</v>
      </c>
      <c r="G235" s="50" t="e">
        <f>'Product info'!#REF!</f>
        <v>#REF!</v>
      </c>
      <c r="H235" s="50" t="e">
        <f>'Product info'!#REF!</f>
        <v>#REF!</v>
      </c>
      <c r="I235" s="50" t="e">
        <f>'Product info'!#REF!</f>
        <v>#REF!</v>
      </c>
      <c r="J235" s="51" t="e">
        <f>'Product info'!#REF!</f>
        <v>#REF!</v>
      </c>
      <c r="K235" s="52" t="e">
        <f t="shared" si="42"/>
        <v>#REF!</v>
      </c>
      <c r="L235" s="50" t="e">
        <f t="shared" si="43"/>
        <v>#REF!</v>
      </c>
      <c r="M235" s="50" t="e">
        <f t="shared" si="44"/>
        <v>#REF!</v>
      </c>
      <c r="N235" s="50" t="e">
        <f t="shared" si="45"/>
        <v>#REF!</v>
      </c>
      <c r="O235" s="50" t="e">
        <f t="shared" si="46"/>
        <v>#REF!</v>
      </c>
      <c r="P235" s="53" t="e">
        <f t="shared" si="47"/>
        <v>#REF!</v>
      </c>
      <c r="Q235" s="54" t="e">
        <f>'Product info'!#REF!</f>
        <v>#REF!</v>
      </c>
      <c r="R235" s="54" t="e">
        <f>'Product info'!#REF!</f>
        <v>#REF!</v>
      </c>
      <c r="S235" s="54" t="e">
        <f>'Product info'!#REF!</f>
        <v>#REF!</v>
      </c>
      <c r="T235" s="50" t="e">
        <f>'Product info'!#REF!</f>
        <v>#REF!</v>
      </c>
      <c r="U235" s="52" t="e">
        <f t="shared" si="48"/>
        <v>#REF!</v>
      </c>
      <c r="V235" s="50" t="e">
        <f t="shared" si="49"/>
        <v>#REF!</v>
      </c>
      <c r="W235" s="50" t="e">
        <f t="shared" si="50"/>
        <v>#REF!</v>
      </c>
      <c r="X235" s="50" t="e">
        <f t="shared" si="51"/>
        <v>#REF!</v>
      </c>
      <c r="Y235" s="50" t="e">
        <f t="shared" si="52"/>
        <v>#REF!</v>
      </c>
      <c r="Z235" t="e">
        <f t="shared" si="53"/>
        <v>#REF!</v>
      </c>
    </row>
    <row r="236" spans="1:26" x14ac:dyDescent="0.4">
      <c r="A236" t="e">
        <f>'Product info'!#REF!</f>
        <v>#REF!</v>
      </c>
      <c r="B236" t="e">
        <f>'Product info'!#REF!</f>
        <v>#REF!</v>
      </c>
      <c r="C236" t="e">
        <f>'Product info'!#REF!</f>
        <v>#REF!</v>
      </c>
      <c r="D236" s="6" t="e">
        <f>'Product info'!#REF!</f>
        <v>#REF!</v>
      </c>
      <c r="E236" t="e">
        <f t="shared" si="41"/>
        <v>#REF!</v>
      </c>
      <c r="F236" s="50" t="e">
        <f>'Product info'!#REF!</f>
        <v>#REF!</v>
      </c>
      <c r="G236" s="50" t="e">
        <f>'Product info'!#REF!</f>
        <v>#REF!</v>
      </c>
      <c r="H236" s="50" t="e">
        <f>'Product info'!#REF!</f>
        <v>#REF!</v>
      </c>
      <c r="I236" s="50" t="e">
        <f>'Product info'!#REF!</f>
        <v>#REF!</v>
      </c>
      <c r="J236" s="51" t="e">
        <f>'Product info'!#REF!</f>
        <v>#REF!</v>
      </c>
      <c r="K236" s="52" t="e">
        <f t="shared" si="42"/>
        <v>#REF!</v>
      </c>
      <c r="L236" s="50" t="e">
        <f t="shared" si="43"/>
        <v>#REF!</v>
      </c>
      <c r="M236" s="50" t="e">
        <f t="shared" si="44"/>
        <v>#REF!</v>
      </c>
      <c r="N236" s="50" t="e">
        <f t="shared" si="45"/>
        <v>#REF!</v>
      </c>
      <c r="O236" s="50" t="e">
        <f t="shared" si="46"/>
        <v>#REF!</v>
      </c>
      <c r="P236" s="53" t="e">
        <f t="shared" si="47"/>
        <v>#REF!</v>
      </c>
      <c r="Q236" s="54" t="e">
        <f>'Product info'!#REF!</f>
        <v>#REF!</v>
      </c>
      <c r="R236" s="54" t="e">
        <f>'Product info'!#REF!</f>
        <v>#REF!</v>
      </c>
      <c r="S236" s="54" t="e">
        <f>'Product info'!#REF!</f>
        <v>#REF!</v>
      </c>
      <c r="T236" s="50" t="e">
        <f>'Product info'!#REF!</f>
        <v>#REF!</v>
      </c>
      <c r="U236" s="52" t="e">
        <f t="shared" si="48"/>
        <v>#REF!</v>
      </c>
      <c r="V236" s="50" t="e">
        <f t="shared" si="49"/>
        <v>#REF!</v>
      </c>
      <c r="W236" s="50" t="e">
        <f t="shared" si="50"/>
        <v>#REF!</v>
      </c>
      <c r="X236" s="50" t="e">
        <f t="shared" si="51"/>
        <v>#REF!</v>
      </c>
      <c r="Y236" s="50" t="e">
        <f t="shared" si="52"/>
        <v>#REF!</v>
      </c>
      <c r="Z236" t="e">
        <f t="shared" si="53"/>
        <v>#REF!</v>
      </c>
    </row>
    <row r="237" spans="1:26" x14ac:dyDescent="0.4">
      <c r="A237" t="e">
        <f>'Product info'!#REF!</f>
        <v>#REF!</v>
      </c>
      <c r="B237" t="e">
        <f>'Product info'!#REF!</f>
        <v>#REF!</v>
      </c>
      <c r="C237" t="e">
        <f>'Product info'!#REF!</f>
        <v>#REF!</v>
      </c>
      <c r="D237" s="6" t="e">
        <f>'Product info'!#REF!</f>
        <v>#REF!</v>
      </c>
      <c r="E237" t="e">
        <f t="shared" si="41"/>
        <v>#REF!</v>
      </c>
      <c r="F237" s="50" t="e">
        <f>'Product info'!#REF!</f>
        <v>#REF!</v>
      </c>
      <c r="G237" s="50" t="e">
        <f>'Product info'!#REF!</f>
        <v>#REF!</v>
      </c>
      <c r="H237" s="50" t="e">
        <f>'Product info'!#REF!</f>
        <v>#REF!</v>
      </c>
      <c r="I237" s="50" t="e">
        <f>'Product info'!#REF!</f>
        <v>#REF!</v>
      </c>
      <c r="J237" s="51" t="e">
        <f>'Product info'!#REF!</f>
        <v>#REF!</v>
      </c>
      <c r="K237" s="52" t="e">
        <f t="shared" si="42"/>
        <v>#REF!</v>
      </c>
      <c r="L237" s="50" t="e">
        <f t="shared" si="43"/>
        <v>#REF!</v>
      </c>
      <c r="M237" s="50" t="e">
        <f t="shared" si="44"/>
        <v>#REF!</v>
      </c>
      <c r="N237" s="50" t="e">
        <f t="shared" si="45"/>
        <v>#REF!</v>
      </c>
      <c r="O237" s="50" t="e">
        <f t="shared" si="46"/>
        <v>#REF!</v>
      </c>
      <c r="P237" s="53" t="e">
        <f t="shared" si="47"/>
        <v>#REF!</v>
      </c>
      <c r="Q237" s="54" t="e">
        <f>'Product info'!#REF!</f>
        <v>#REF!</v>
      </c>
      <c r="R237" s="54" t="e">
        <f>'Product info'!#REF!</f>
        <v>#REF!</v>
      </c>
      <c r="S237" s="54" t="e">
        <f>'Product info'!#REF!</f>
        <v>#REF!</v>
      </c>
      <c r="T237" s="50" t="e">
        <f>'Product info'!#REF!</f>
        <v>#REF!</v>
      </c>
      <c r="U237" s="52" t="e">
        <f t="shared" si="48"/>
        <v>#REF!</v>
      </c>
      <c r="V237" s="50" t="e">
        <f t="shared" si="49"/>
        <v>#REF!</v>
      </c>
      <c r="W237" s="50" t="e">
        <f t="shared" si="50"/>
        <v>#REF!</v>
      </c>
      <c r="X237" s="50" t="e">
        <f t="shared" si="51"/>
        <v>#REF!</v>
      </c>
      <c r="Y237" s="50" t="e">
        <f t="shared" si="52"/>
        <v>#REF!</v>
      </c>
      <c r="Z237" t="e">
        <f t="shared" si="53"/>
        <v>#REF!</v>
      </c>
    </row>
    <row r="238" spans="1:26" x14ac:dyDescent="0.4">
      <c r="A238" t="e">
        <f>'Product info'!#REF!</f>
        <v>#REF!</v>
      </c>
      <c r="B238" t="e">
        <f>'Product info'!#REF!</f>
        <v>#REF!</v>
      </c>
      <c r="C238" t="e">
        <f>'Product info'!#REF!</f>
        <v>#REF!</v>
      </c>
      <c r="D238" s="6" t="e">
        <f>'Product info'!#REF!</f>
        <v>#REF!</v>
      </c>
      <c r="E238" t="e">
        <f t="shared" si="41"/>
        <v>#REF!</v>
      </c>
      <c r="F238" s="50" t="e">
        <f>'Product info'!#REF!</f>
        <v>#REF!</v>
      </c>
      <c r="G238" s="50" t="e">
        <f>'Product info'!#REF!</f>
        <v>#REF!</v>
      </c>
      <c r="H238" s="50" t="e">
        <f>'Product info'!#REF!</f>
        <v>#REF!</v>
      </c>
      <c r="I238" s="50" t="e">
        <f>'Product info'!#REF!</f>
        <v>#REF!</v>
      </c>
      <c r="J238" s="51" t="e">
        <f>'Product info'!#REF!</f>
        <v>#REF!</v>
      </c>
      <c r="K238" s="52" t="e">
        <f t="shared" si="42"/>
        <v>#REF!</v>
      </c>
      <c r="L238" s="50" t="e">
        <f t="shared" si="43"/>
        <v>#REF!</v>
      </c>
      <c r="M238" s="50" t="e">
        <f t="shared" si="44"/>
        <v>#REF!</v>
      </c>
      <c r="N238" s="50" t="e">
        <f t="shared" si="45"/>
        <v>#REF!</v>
      </c>
      <c r="O238" s="50" t="e">
        <f t="shared" si="46"/>
        <v>#REF!</v>
      </c>
      <c r="P238" s="53" t="e">
        <f t="shared" si="47"/>
        <v>#REF!</v>
      </c>
      <c r="Q238" s="54" t="e">
        <f>'Product info'!#REF!</f>
        <v>#REF!</v>
      </c>
      <c r="R238" s="54" t="e">
        <f>'Product info'!#REF!</f>
        <v>#REF!</v>
      </c>
      <c r="S238" s="54" t="e">
        <f>'Product info'!#REF!</f>
        <v>#REF!</v>
      </c>
      <c r="T238" s="50" t="e">
        <f>'Product info'!#REF!</f>
        <v>#REF!</v>
      </c>
      <c r="U238" s="52" t="e">
        <f t="shared" si="48"/>
        <v>#REF!</v>
      </c>
      <c r="V238" s="50" t="e">
        <f t="shared" si="49"/>
        <v>#REF!</v>
      </c>
      <c r="W238" s="50" t="e">
        <f t="shared" si="50"/>
        <v>#REF!</v>
      </c>
      <c r="X238" s="50" t="e">
        <f t="shared" si="51"/>
        <v>#REF!</v>
      </c>
      <c r="Y238" s="50" t="e">
        <f t="shared" si="52"/>
        <v>#REF!</v>
      </c>
      <c r="Z238" t="e">
        <f t="shared" si="53"/>
        <v>#REF!</v>
      </c>
    </row>
    <row r="239" spans="1:26" x14ac:dyDescent="0.4">
      <c r="A239" t="e">
        <f>'Product info'!#REF!</f>
        <v>#REF!</v>
      </c>
      <c r="B239" t="e">
        <f>'Product info'!#REF!</f>
        <v>#REF!</v>
      </c>
      <c r="C239" t="e">
        <f>'Product info'!#REF!</f>
        <v>#REF!</v>
      </c>
      <c r="D239" s="6" t="e">
        <f>'Product info'!#REF!</f>
        <v>#REF!</v>
      </c>
      <c r="E239" t="e">
        <f t="shared" si="41"/>
        <v>#REF!</v>
      </c>
      <c r="F239" s="50" t="e">
        <f>'Product info'!#REF!</f>
        <v>#REF!</v>
      </c>
      <c r="G239" s="50" t="e">
        <f>'Product info'!#REF!</f>
        <v>#REF!</v>
      </c>
      <c r="H239" s="50" t="e">
        <f>'Product info'!#REF!</f>
        <v>#REF!</v>
      </c>
      <c r="I239" s="50" t="e">
        <f>'Product info'!#REF!</f>
        <v>#REF!</v>
      </c>
      <c r="J239" s="51" t="e">
        <f>'Product info'!#REF!</f>
        <v>#REF!</v>
      </c>
      <c r="K239" s="52" t="e">
        <f t="shared" si="42"/>
        <v>#REF!</v>
      </c>
      <c r="L239" s="50" t="e">
        <f t="shared" si="43"/>
        <v>#REF!</v>
      </c>
      <c r="M239" s="50" t="e">
        <f t="shared" si="44"/>
        <v>#REF!</v>
      </c>
      <c r="N239" s="50" t="e">
        <f t="shared" si="45"/>
        <v>#REF!</v>
      </c>
      <c r="O239" s="50" t="e">
        <f t="shared" si="46"/>
        <v>#REF!</v>
      </c>
      <c r="P239" s="53" t="e">
        <f t="shared" si="47"/>
        <v>#REF!</v>
      </c>
      <c r="Q239" s="54" t="e">
        <f>'Product info'!#REF!</f>
        <v>#REF!</v>
      </c>
      <c r="R239" s="54" t="e">
        <f>'Product info'!#REF!</f>
        <v>#REF!</v>
      </c>
      <c r="S239" s="54" t="e">
        <f>'Product info'!#REF!</f>
        <v>#REF!</v>
      </c>
      <c r="T239" s="50" t="e">
        <f>'Product info'!#REF!</f>
        <v>#REF!</v>
      </c>
      <c r="U239" s="52" t="e">
        <f t="shared" si="48"/>
        <v>#REF!</v>
      </c>
      <c r="V239" s="50" t="e">
        <f t="shared" si="49"/>
        <v>#REF!</v>
      </c>
      <c r="W239" s="50" t="e">
        <f t="shared" si="50"/>
        <v>#REF!</v>
      </c>
      <c r="X239" s="50" t="e">
        <f t="shared" si="51"/>
        <v>#REF!</v>
      </c>
      <c r="Y239" s="50" t="e">
        <f t="shared" si="52"/>
        <v>#REF!</v>
      </c>
      <c r="Z239" t="e">
        <f t="shared" si="53"/>
        <v>#REF!</v>
      </c>
    </row>
    <row r="240" spans="1:26" x14ac:dyDescent="0.4">
      <c r="A240" t="e">
        <f>'Product info'!#REF!</f>
        <v>#REF!</v>
      </c>
      <c r="B240" t="e">
        <f>'Product info'!#REF!</f>
        <v>#REF!</v>
      </c>
      <c r="C240" t="e">
        <f>'Product info'!#REF!</f>
        <v>#REF!</v>
      </c>
      <c r="D240" s="6" t="e">
        <f>'Product info'!#REF!</f>
        <v>#REF!</v>
      </c>
      <c r="E240" t="e">
        <f t="shared" si="41"/>
        <v>#REF!</v>
      </c>
      <c r="F240" s="50" t="e">
        <f>'Product info'!#REF!</f>
        <v>#REF!</v>
      </c>
      <c r="G240" s="50" t="e">
        <f>'Product info'!#REF!</f>
        <v>#REF!</v>
      </c>
      <c r="H240" s="50" t="e">
        <f>'Product info'!#REF!</f>
        <v>#REF!</v>
      </c>
      <c r="I240" s="50" t="e">
        <f>'Product info'!#REF!</f>
        <v>#REF!</v>
      </c>
      <c r="J240" s="51" t="e">
        <f>'Product info'!#REF!</f>
        <v>#REF!</v>
      </c>
      <c r="K240" s="52" t="e">
        <f t="shared" si="42"/>
        <v>#REF!</v>
      </c>
      <c r="L240" s="50" t="e">
        <f t="shared" si="43"/>
        <v>#REF!</v>
      </c>
      <c r="M240" s="50" t="e">
        <f t="shared" si="44"/>
        <v>#REF!</v>
      </c>
      <c r="N240" s="50" t="e">
        <f t="shared" si="45"/>
        <v>#REF!</v>
      </c>
      <c r="O240" s="50" t="e">
        <f t="shared" si="46"/>
        <v>#REF!</v>
      </c>
      <c r="P240" s="53" t="e">
        <f t="shared" si="47"/>
        <v>#REF!</v>
      </c>
      <c r="Q240" s="54" t="e">
        <f>'Product info'!#REF!</f>
        <v>#REF!</v>
      </c>
      <c r="R240" s="54" t="e">
        <f>'Product info'!#REF!</f>
        <v>#REF!</v>
      </c>
      <c r="S240" s="54" t="e">
        <f>'Product info'!#REF!</f>
        <v>#REF!</v>
      </c>
      <c r="T240" s="50" t="e">
        <f>'Product info'!#REF!</f>
        <v>#REF!</v>
      </c>
      <c r="U240" s="52" t="e">
        <f t="shared" si="48"/>
        <v>#REF!</v>
      </c>
      <c r="V240" s="50" t="e">
        <f t="shared" si="49"/>
        <v>#REF!</v>
      </c>
      <c r="W240" s="50" t="e">
        <f t="shared" si="50"/>
        <v>#REF!</v>
      </c>
      <c r="X240" s="50" t="e">
        <f t="shared" si="51"/>
        <v>#REF!</v>
      </c>
      <c r="Y240" s="50" t="e">
        <f t="shared" si="52"/>
        <v>#REF!</v>
      </c>
      <c r="Z240" t="e">
        <f t="shared" si="53"/>
        <v>#REF!</v>
      </c>
    </row>
    <row r="241" spans="1:26" x14ac:dyDescent="0.4">
      <c r="A241" t="e">
        <f>'Product info'!#REF!</f>
        <v>#REF!</v>
      </c>
      <c r="B241" t="e">
        <f>'Product info'!#REF!</f>
        <v>#REF!</v>
      </c>
      <c r="C241" t="e">
        <f>'Product info'!#REF!</f>
        <v>#REF!</v>
      </c>
      <c r="D241" s="6" t="e">
        <f>'Product info'!#REF!</f>
        <v>#REF!</v>
      </c>
      <c r="E241" t="e">
        <f t="shared" si="41"/>
        <v>#REF!</v>
      </c>
      <c r="F241" s="50" t="e">
        <f>'Product info'!#REF!</f>
        <v>#REF!</v>
      </c>
      <c r="G241" s="50" t="e">
        <f>'Product info'!#REF!</f>
        <v>#REF!</v>
      </c>
      <c r="H241" s="50" t="e">
        <f>'Product info'!#REF!</f>
        <v>#REF!</v>
      </c>
      <c r="I241" s="50" t="e">
        <f>'Product info'!#REF!</f>
        <v>#REF!</v>
      </c>
      <c r="J241" s="51" t="e">
        <f>'Product info'!#REF!</f>
        <v>#REF!</v>
      </c>
      <c r="K241" s="52" t="e">
        <f t="shared" si="42"/>
        <v>#REF!</v>
      </c>
      <c r="L241" s="50" t="e">
        <f t="shared" si="43"/>
        <v>#REF!</v>
      </c>
      <c r="M241" s="50" t="e">
        <f t="shared" si="44"/>
        <v>#REF!</v>
      </c>
      <c r="N241" s="50" t="e">
        <f t="shared" si="45"/>
        <v>#REF!</v>
      </c>
      <c r="O241" s="50" t="e">
        <f t="shared" si="46"/>
        <v>#REF!</v>
      </c>
      <c r="P241" s="53" t="e">
        <f t="shared" si="47"/>
        <v>#REF!</v>
      </c>
      <c r="Q241" s="54" t="e">
        <f>'Product info'!#REF!</f>
        <v>#REF!</v>
      </c>
      <c r="R241" s="54" t="e">
        <f>'Product info'!#REF!</f>
        <v>#REF!</v>
      </c>
      <c r="S241" s="54" t="e">
        <f>'Product info'!#REF!</f>
        <v>#REF!</v>
      </c>
      <c r="T241" s="50" t="e">
        <f>'Product info'!#REF!</f>
        <v>#REF!</v>
      </c>
      <c r="U241" s="52" t="e">
        <f t="shared" si="48"/>
        <v>#REF!</v>
      </c>
      <c r="V241" s="50" t="e">
        <f t="shared" si="49"/>
        <v>#REF!</v>
      </c>
      <c r="W241" s="50" t="e">
        <f t="shared" si="50"/>
        <v>#REF!</v>
      </c>
      <c r="X241" s="50" t="e">
        <f t="shared" si="51"/>
        <v>#REF!</v>
      </c>
      <c r="Y241" s="50" t="e">
        <f t="shared" si="52"/>
        <v>#REF!</v>
      </c>
      <c r="Z241" t="e">
        <f t="shared" si="53"/>
        <v>#REF!</v>
      </c>
    </row>
    <row r="242" spans="1:26" x14ac:dyDescent="0.4">
      <c r="A242" t="e">
        <f>'Product info'!#REF!</f>
        <v>#REF!</v>
      </c>
      <c r="B242" t="e">
        <f>'Product info'!#REF!</f>
        <v>#REF!</v>
      </c>
      <c r="C242" t="e">
        <f>'Product info'!#REF!</f>
        <v>#REF!</v>
      </c>
      <c r="D242" s="6" t="e">
        <f>'Product info'!#REF!</f>
        <v>#REF!</v>
      </c>
      <c r="E242" t="e">
        <f t="shared" si="41"/>
        <v>#REF!</v>
      </c>
      <c r="F242" s="50" t="e">
        <f>'Product info'!#REF!</f>
        <v>#REF!</v>
      </c>
      <c r="G242" s="50" t="e">
        <f>'Product info'!#REF!</f>
        <v>#REF!</v>
      </c>
      <c r="H242" s="50" t="e">
        <f>'Product info'!#REF!</f>
        <v>#REF!</v>
      </c>
      <c r="I242" s="50" t="e">
        <f>'Product info'!#REF!</f>
        <v>#REF!</v>
      </c>
      <c r="J242" s="51" t="e">
        <f>'Product info'!#REF!</f>
        <v>#REF!</v>
      </c>
      <c r="K242" s="52" t="e">
        <f t="shared" si="42"/>
        <v>#REF!</v>
      </c>
      <c r="L242" s="50" t="e">
        <f t="shared" si="43"/>
        <v>#REF!</v>
      </c>
      <c r="M242" s="50" t="e">
        <f t="shared" si="44"/>
        <v>#REF!</v>
      </c>
      <c r="N242" s="50" t="e">
        <f t="shared" si="45"/>
        <v>#REF!</v>
      </c>
      <c r="O242" s="50" t="e">
        <f t="shared" si="46"/>
        <v>#REF!</v>
      </c>
      <c r="P242" s="53" t="e">
        <f t="shared" si="47"/>
        <v>#REF!</v>
      </c>
      <c r="Q242" s="54" t="e">
        <f>'Product info'!#REF!</f>
        <v>#REF!</v>
      </c>
      <c r="R242" s="54" t="e">
        <f>'Product info'!#REF!</f>
        <v>#REF!</v>
      </c>
      <c r="S242" s="54" t="e">
        <f>'Product info'!#REF!</f>
        <v>#REF!</v>
      </c>
      <c r="T242" s="50" t="e">
        <f>'Product info'!#REF!</f>
        <v>#REF!</v>
      </c>
      <c r="U242" s="52" t="e">
        <f t="shared" si="48"/>
        <v>#REF!</v>
      </c>
      <c r="V242" s="50" t="e">
        <f t="shared" si="49"/>
        <v>#REF!</v>
      </c>
      <c r="W242" s="50" t="e">
        <f t="shared" si="50"/>
        <v>#REF!</v>
      </c>
      <c r="X242" s="50" t="e">
        <f t="shared" si="51"/>
        <v>#REF!</v>
      </c>
      <c r="Y242" s="50" t="e">
        <f t="shared" si="52"/>
        <v>#REF!</v>
      </c>
      <c r="Z242" t="e">
        <f t="shared" si="53"/>
        <v>#REF!</v>
      </c>
    </row>
    <row r="243" spans="1:26" x14ac:dyDescent="0.4">
      <c r="A243" t="e">
        <f>'Product info'!#REF!</f>
        <v>#REF!</v>
      </c>
      <c r="B243" t="e">
        <f>'Product info'!#REF!</f>
        <v>#REF!</v>
      </c>
      <c r="C243" t="e">
        <f>'Product info'!#REF!</f>
        <v>#REF!</v>
      </c>
      <c r="D243" s="6" t="e">
        <f>'Product info'!#REF!</f>
        <v>#REF!</v>
      </c>
      <c r="E243" t="e">
        <f t="shared" si="41"/>
        <v>#REF!</v>
      </c>
      <c r="F243" s="50" t="e">
        <f>'Product info'!#REF!</f>
        <v>#REF!</v>
      </c>
      <c r="G243" s="50" t="e">
        <f>'Product info'!#REF!</f>
        <v>#REF!</v>
      </c>
      <c r="H243" s="50" t="e">
        <f>'Product info'!#REF!</f>
        <v>#REF!</v>
      </c>
      <c r="I243" s="50" t="e">
        <f>'Product info'!#REF!</f>
        <v>#REF!</v>
      </c>
      <c r="J243" s="51" t="e">
        <f>'Product info'!#REF!</f>
        <v>#REF!</v>
      </c>
      <c r="K243" s="52" t="e">
        <f t="shared" si="42"/>
        <v>#REF!</v>
      </c>
      <c r="L243" s="50" t="e">
        <f t="shared" si="43"/>
        <v>#REF!</v>
      </c>
      <c r="M243" s="50" t="e">
        <f t="shared" si="44"/>
        <v>#REF!</v>
      </c>
      <c r="N243" s="50" t="e">
        <f t="shared" si="45"/>
        <v>#REF!</v>
      </c>
      <c r="O243" s="50" t="e">
        <f t="shared" si="46"/>
        <v>#REF!</v>
      </c>
      <c r="P243" s="53" t="e">
        <f t="shared" si="47"/>
        <v>#REF!</v>
      </c>
      <c r="Q243" s="54" t="e">
        <f>'Product info'!#REF!</f>
        <v>#REF!</v>
      </c>
      <c r="R243" s="54" t="e">
        <f>'Product info'!#REF!</f>
        <v>#REF!</v>
      </c>
      <c r="S243" s="54" t="e">
        <f>'Product info'!#REF!</f>
        <v>#REF!</v>
      </c>
      <c r="T243" s="50" t="e">
        <f>'Product info'!#REF!</f>
        <v>#REF!</v>
      </c>
      <c r="U243" s="52" t="e">
        <f t="shared" si="48"/>
        <v>#REF!</v>
      </c>
      <c r="V243" s="50" t="e">
        <f t="shared" si="49"/>
        <v>#REF!</v>
      </c>
      <c r="W243" s="50" t="e">
        <f t="shared" si="50"/>
        <v>#REF!</v>
      </c>
      <c r="X243" s="50" t="e">
        <f t="shared" si="51"/>
        <v>#REF!</v>
      </c>
      <c r="Y243" s="50" t="e">
        <f t="shared" si="52"/>
        <v>#REF!</v>
      </c>
      <c r="Z243" t="e">
        <f t="shared" si="53"/>
        <v>#REF!</v>
      </c>
    </row>
    <row r="244" spans="1:26" x14ac:dyDescent="0.4">
      <c r="A244" t="e">
        <f>'Product info'!#REF!</f>
        <v>#REF!</v>
      </c>
      <c r="B244" t="e">
        <f>'Product info'!#REF!</f>
        <v>#REF!</v>
      </c>
      <c r="C244" t="e">
        <f>'Product info'!#REF!</f>
        <v>#REF!</v>
      </c>
      <c r="D244" s="6" t="e">
        <f>'Product info'!#REF!</f>
        <v>#REF!</v>
      </c>
      <c r="E244" t="e">
        <f t="shared" si="41"/>
        <v>#REF!</v>
      </c>
      <c r="F244" s="50" t="e">
        <f>'Product info'!#REF!</f>
        <v>#REF!</v>
      </c>
      <c r="G244" s="50" t="e">
        <f>'Product info'!#REF!</f>
        <v>#REF!</v>
      </c>
      <c r="H244" s="50" t="e">
        <f>'Product info'!#REF!</f>
        <v>#REF!</v>
      </c>
      <c r="I244" s="50" t="e">
        <f>'Product info'!#REF!</f>
        <v>#REF!</v>
      </c>
      <c r="J244" s="51" t="e">
        <f>'Product info'!#REF!</f>
        <v>#REF!</v>
      </c>
      <c r="K244" s="52" t="e">
        <f t="shared" si="42"/>
        <v>#REF!</v>
      </c>
      <c r="L244" s="50" t="e">
        <f t="shared" si="43"/>
        <v>#REF!</v>
      </c>
      <c r="M244" s="50" t="e">
        <f t="shared" si="44"/>
        <v>#REF!</v>
      </c>
      <c r="N244" s="50" t="e">
        <f t="shared" si="45"/>
        <v>#REF!</v>
      </c>
      <c r="O244" s="50" t="e">
        <f t="shared" si="46"/>
        <v>#REF!</v>
      </c>
      <c r="P244" s="53" t="e">
        <f t="shared" si="47"/>
        <v>#REF!</v>
      </c>
      <c r="Q244" s="54" t="e">
        <f>'Product info'!#REF!</f>
        <v>#REF!</v>
      </c>
      <c r="R244" s="54" t="e">
        <f>'Product info'!#REF!</f>
        <v>#REF!</v>
      </c>
      <c r="S244" s="54" t="e">
        <f>'Product info'!#REF!</f>
        <v>#REF!</v>
      </c>
      <c r="T244" s="50" t="e">
        <f>'Product info'!#REF!</f>
        <v>#REF!</v>
      </c>
      <c r="U244" s="52" t="e">
        <f t="shared" si="48"/>
        <v>#REF!</v>
      </c>
      <c r="V244" s="50" t="e">
        <f t="shared" si="49"/>
        <v>#REF!</v>
      </c>
      <c r="W244" s="50" t="e">
        <f t="shared" si="50"/>
        <v>#REF!</v>
      </c>
      <c r="X244" s="50" t="e">
        <f t="shared" si="51"/>
        <v>#REF!</v>
      </c>
      <c r="Y244" s="50" t="e">
        <f t="shared" si="52"/>
        <v>#REF!</v>
      </c>
      <c r="Z244" t="e">
        <f t="shared" si="53"/>
        <v>#REF!</v>
      </c>
    </row>
    <row r="245" spans="1:26" x14ac:dyDescent="0.4">
      <c r="A245" t="e">
        <f>'Product info'!#REF!</f>
        <v>#REF!</v>
      </c>
      <c r="B245" t="e">
        <f>'Product info'!#REF!</f>
        <v>#REF!</v>
      </c>
      <c r="C245" t="e">
        <f>'Product info'!#REF!</f>
        <v>#REF!</v>
      </c>
      <c r="D245" s="6" t="e">
        <f>'Product info'!#REF!</f>
        <v>#REF!</v>
      </c>
      <c r="E245" t="e">
        <f t="shared" si="41"/>
        <v>#REF!</v>
      </c>
      <c r="F245" s="50" t="e">
        <f>'Product info'!#REF!</f>
        <v>#REF!</v>
      </c>
      <c r="G245" s="50" t="e">
        <f>'Product info'!#REF!</f>
        <v>#REF!</v>
      </c>
      <c r="H245" s="50" t="e">
        <f>'Product info'!#REF!</f>
        <v>#REF!</v>
      </c>
      <c r="I245" s="50" t="e">
        <f>'Product info'!#REF!</f>
        <v>#REF!</v>
      </c>
      <c r="J245" s="51" t="e">
        <f>'Product info'!#REF!</f>
        <v>#REF!</v>
      </c>
      <c r="K245" s="52" t="e">
        <f t="shared" si="42"/>
        <v>#REF!</v>
      </c>
      <c r="L245" s="50" t="e">
        <f t="shared" si="43"/>
        <v>#REF!</v>
      </c>
      <c r="M245" s="50" t="e">
        <f t="shared" si="44"/>
        <v>#REF!</v>
      </c>
      <c r="N245" s="50" t="e">
        <f t="shared" si="45"/>
        <v>#REF!</v>
      </c>
      <c r="O245" s="50" t="e">
        <f t="shared" si="46"/>
        <v>#REF!</v>
      </c>
      <c r="P245" s="53" t="e">
        <f t="shared" si="47"/>
        <v>#REF!</v>
      </c>
      <c r="Q245" s="54" t="e">
        <f>'Product info'!#REF!</f>
        <v>#REF!</v>
      </c>
      <c r="R245" s="54" t="e">
        <f>'Product info'!#REF!</f>
        <v>#REF!</v>
      </c>
      <c r="S245" s="54" t="e">
        <f>'Product info'!#REF!</f>
        <v>#REF!</v>
      </c>
      <c r="T245" s="50" t="e">
        <f>'Product info'!#REF!</f>
        <v>#REF!</v>
      </c>
      <c r="U245" s="52" t="e">
        <f t="shared" si="48"/>
        <v>#REF!</v>
      </c>
      <c r="V245" s="50" t="e">
        <f t="shared" si="49"/>
        <v>#REF!</v>
      </c>
      <c r="W245" s="50" t="e">
        <f t="shared" si="50"/>
        <v>#REF!</v>
      </c>
      <c r="X245" s="50" t="e">
        <f t="shared" si="51"/>
        <v>#REF!</v>
      </c>
      <c r="Y245" s="50" t="e">
        <f t="shared" si="52"/>
        <v>#REF!</v>
      </c>
      <c r="Z245" t="e">
        <f t="shared" si="53"/>
        <v>#REF!</v>
      </c>
    </row>
    <row r="246" spans="1:26" x14ac:dyDescent="0.4">
      <c r="A246" t="e">
        <f>'Product info'!#REF!</f>
        <v>#REF!</v>
      </c>
      <c r="B246" t="e">
        <f>'Product info'!#REF!</f>
        <v>#REF!</v>
      </c>
      <c r="C246" t="e">
        <f>'Product info'!#REF!</f>
        <v>#REF!</v>
      </c>
      <c r="D246" s="6" t="e">
        <f>'Product info'!#REF!</f>
        <v>#REF!</v>
      </c>
      <c r="E246" t="e">
        <f t="shared" si="41"/>
        <v>#REF!</v>
      </c>
      <c r="F246" s="50" t="e">
        <f>'Product info'!#REF!</f>
        <v>#REF!</v>
      </c>
      <c r="G246" s="50" t="e">
        <f>'Product info'!#REF!</f>
        <v>#REF!</v>
      </c>
      <c r="H246" s="50" t="e">
        <f>'Product info'!#REF!</f>
        <v>#REF!</v>
      </c>
      <c r="I246" s="50" t="e">
        <f>'Product info'!#REF!</f>
        <v>#REF!</v>
      </c>
      <c r="J246" s="51" t="e">
        <f>'Product info'!#REF!</f>
        <v>#REF!</v>
      </c>
      <c r="K246" s="52" t="e">
        <f t="shared" si="42"/>
        <v>#REF!</v>
      </c>
      <c r="L246" s="50" t="e">
        <f t="shared" si="43"/>
        <v>#REF!</v>
      </c>
      <c r="M246" s="50" t="e">
        <f t="shared" si="44"/>
        <v>#REF!</v>
      </c>
      <c r="N246" s="50" t="e">
        <f t="shared" si="45"/>
        <v>#REF!</v>
      </c>
      <c r="O246" s="50" t="e">
        <f t="shared" si="46"/>
        <v>#REF!</v>
      </c>
      <c r="P246" s="53" t="e">
        <f t="shared" si="47"/>
        <v>#REF!</v>
      </c>
      <c r="Q246" s="54" t="e">
        <f>'Product info'!#REF!</f>
        <v>#REF!</v>
      </c>
      <c r="R246" s="54" t="e">
        <f>'Product info'!#REF!</f>
        <v>#REF!</v>
      </c>
      <c r="S246" s="54" t="e">
        <f>'Product info'!#REF!</f>
        <v>#REF!</v>
      </c>
      <c r="T246" s="50" t="e">
        <f>'Product info'!#REF!</f>
        <v>#REF!</v>
      </c>
      <c r="U246" s="52" t="e">
        <f t="shared" si="48"/>
        <v>#REF!</v>
      </c>
      <c r="V246" s="50" t="e">
        <f t="shared" si="49"/>
        <v>#REF!</v>
      </c>
      <c r="W246" s="50" t="e">
        <f t="shared" si="50"/>
        <v>#REF!</v>
      </c>
      <c r="X246" s="50" t="e">
        <f t="shared" si="51"/>
        <v>#REF!</v>
      </c>
      <c r="Y246" s="50" t="e">
        <f t="shared" si="52"/>
        <v>#REF!</v>
      </c>
      <c r="Z246" t="e">
        <f t="shared" si="53"/>
        <v>#REF!</v>
      </c>
    </row>
    <row r="247" spans="1:26" x14ac:dyDescent="0.4">
      <c r="A247" t="e">
        <f>'Product info'!#REF!</f>
        <v>#REF!</v>
      </c>
      <c r="B247" t="e">
        <f>'Product info'!#REF!</f>
        <v>#REF!</v>
      </c>
      <c r="C247" t="e">
        <f>'Product info'!#REF!</f>
        <v>#REF!</v>
      </c>
      <c r="D247" s="6" t="e">
        <f>'Product info'!#REF!</f>
        <v>#REF!</v>
      </c>
      <c r="E247" t="e">
        <f t="shared" si="41"/>
        <v>#REF!</v>
      </c>
      <c r="F247" s="50" t="e">
        <f>'Product info'!#REF!</f>
        <v>#REF!</v>
      </c>
      <c r="G247" s="50" t="e">
        <f>'Product info'!#REF!</f>
        <v>#REF!</v>
      </c>
      <c r="H247" s="50" t="e">
        <f>'Product info'!#REF!</f>
        <v>#REF!</v>
      </c>
      <c r="I247" s="50" t="e">
        <f>'Product info'!#REF!</f>
        <v>#REF!</v>
      </c>
      <c r="J247" s="51" t="e">
        <f>'Product info'!#REF!</f>
        <v>#REF!</v>
      </c>
      <c r="K247" s="52" t="e">
        <f t="shared" si="42"/>
        <v>#REF!</v>
      </c>
      <c r="L247" s="50" t="e">
        <f t="shared" si="43"/>
        <v>#REF!</v>
      </c>
      <c r="M247" s="50" t="e">
        <f t="shared" si="44"/>
        <v>#REF!</v>
      </c>
      <c r="N247" s="50" t="e">
        <f t="shared" si="45"/>
        <v>#REF!</v>
      </c>
      <c r="O247" s="50" t="e">
        <f t="shared" si="46"/>
        <v>#REF!</v>
      </c>
      <c r="P247" s="53" t="e">
        <f t="shared" si="47"/>
        <v>#REF!</v>
      </c>
      <c r="Q247" s="54" t="e">
        <f>'Product info'!#REF!</f>
        <v>#REF!</v>
      </c>
      <c r="R247" s="54" t="e">
        <f>'Product info'!#REF!</f>
        <v>#REF!</v>
      </c>
      <c r="S247" s="54" t="e">
        <f>'Product info'!#REF!</f>
        <v>#REF!</v>
      </c>
      <c r="T247" s="50" t="e">
        <f>'Product info'!#REF!</f>
        <v>#REF!</v>
      </c>
      <c r="U247" s="52" t="e">
        <f t="shared" si="48"/>
        <v>#REF!</v>
      </c>
      <c r="V247" s="50" t="e">
        <f t="shared" si="49"/>
        <v>#REF!</v>
      </c>
      <c r="W247" s="50" t="e">
        <f t="shared" si="50"/>
        <v>#REF!</v>
      </c>
      <c r="X247" s="50" t="e">
        <f t="shared" si="51"/>
        <v>#REF!</v>
      </c>
      <c r="Y247" s="50" t="e">
        <f t="shared" si="52"/>
        <v>#REF!</v>
      </c>
      <c r="Z247" t="e">
        <f t="shared" si="53"/>
        <v>#REF!</v>
      </c>
    </row>
    <row r="248" spans="1:26" x14ac:dyDescent="0.4">
      <c r="A248" t="e">
        <f>'Product info'!#REF!</f>
        <v>#REF!</v>
      </c>
      <c r="B248" t="e">
        <f>'Product info'!#REF!</f>
        <v>#REF!</v>
      </c>
      <c r="C248" t="e">
        <f>'Product info'!#REF!</f>
        <v>#REF!</v>
      </c>
      <c r="D248" s="6" t="e">
        <f>'Product info'!#REF!</f>
        <v>#REF!</v>
      </c>
      <c r="E248" t="e">
        <f t="shared" si="41"/>
        <v>#REF!</v>
      </c>
      <c r="F248" s="50" t="e">
        <f>'Product info'!#REF!</f>
        <v>#REF!</v>
      </c>
      <c r="G248" s="50" t="e">
        <f>'Product info'!#REF!</f>
        <v>#REF!</v>
      </c>
      <c r="H248" s="50" t="e">
        <f>'Product info'!#REF!</f>
        <v>#REF!</v>
      </c>
      <c r="I248" s="50" t="e">
        <f>'Product info'!#REF!</f>
        <v>#REF!</v>
      </c>
      <c r="J248" s="51" t="e">
        <f>'Product info'!#REF!</f>
        <v>#REF!</v>
      </c>
      <c r="K248" s="52" t="e">
        <f t="shared" si="42"/>
        <v>#REF!</v>
      </c>
      <c r="L248" s="50" t="e">
        <f t="shared" si="43"/>
        <v>#REF!</v>
      </c>
      <c r="M248" s="50" t="e">
        <f t="shared" si="44"/>
        <v>#REF!</v>
      </c>
      <c r="N248" s="50" t="e">
        <f t="shared" si="45"/>
        <v>#REF!</v>
      </c>
      <c r="O248" s="50" t="e">
        <f t="shared" si="46"/>
        <v>#REF!</v>
      </c>
      <c r="P248" s="53" t="e">
        <f t="shared" si="47"/>
        <v>#REF!</v>
      </c>
      <c r="Q248" s="54" t="e">
        <f>'Product info'!#REF!</f>
        <v>#REF!</v>
      </c>
      <c r="R248" s="54" t="e">
        <f>'Product info'!#REF!</f>
        <v>#REF!</v>
      </c>
      <c r="S248" s="54" t="e">
        <f>'Product info'!#REF!</f>
        <v>#REF!</v>
      </c>
      <c r="T248" s="50" t="e">
        <f>'Product info'!#REF!</f>
        <v>#REF!</v>
      </c>
      <c r="U248" s="52" t="e">
        <f t="shared" si="48"/>
        <v>#REF!</v>
      </c>
      <c r="V248" s="50" t="e">
        <f t="shared" si="49"/>
        <v>#REF!</v>
      </c>
      <c r="W248" s="50" t="e">
        <f t="shared" si="50"/>
        <v>#REF!</v>
      </c>
      <c r="X248" s="50" t="e">
        <f t="shared" si="51"/>
        <v>#REF!</v>
      </c>
      <c r="Y248" s="50" t="e">
        <f t="shared" si="52"/>
        <v>#REF!</v>
      </c>
      <c r="Z248" t="e">
        <f t="shared" si="53"/>
        <v>#REF!</v>
      </c>
    </row>
    <row r="249" spans="1:26" x14ac:dyDescent="0.4">
      <c r="A249" t="e">
        <f>'Product info'!#REF!</f>
        <v>#REF!</v>
      </c>
      <c r="B249" t="e">
        <f>'Product info'!#REF!</f>
        <v>#REF!</v>
      </c>
      <c r="C249" t="e">
        <f>'Product info'!#REF!</f>
        <v>#REF!</v>
      </c>
      <c r="D249" s="6" t="e">
        <f>'Product info'!#REF!</f>
        <v>#REF!</v>
      </c>
      <c r="E249" t="e">
        <f t="shared" si="41"/>
        <v>#REF!</v>
      </c>
      <c r="F249" s="50" t="e">
        <f>'Product info'!#REF!</f>
        <v>#REF!</v>
      </c>
      <c r="G249" s="50" t="e">
        <f>'Product info'!#REF!</f>
        <v>#REF!</v>
      </c>
      <c r="H249" s="50" t="e">
        <f>'Product info'!#REF!</f>
        <v>#REF!</v>
      </c>
      <c r="I249" s="50" t="e">
        <f>'Product info'!#REF!</f>
        <v>#REF!</v>
      </c>
      <c r="J249" s="51" t="e">
        <f>'Product info'!#REF!</f>
        <v>#REF!</v>
      </c>
      <c r="K249" s="52" t="e">
        <f t="shared" si="42"/>
        <v>#REF!</v>
      </c>
      <c r="L249" s="50" t="e">
        <f t="shared" si="43"/>
        <v>#REF!</v>
      </c>
      <c r="M249" s="50" t="e">
        <f t="shared" si="44"/>
        <v>#REF!</v>
      </c>
      <c r="N249" s="50" t="e">
        <f t="shared" si="45"/>
        <v>#REF!</v>
      </c>
      <c r="O249" s="50" t="e">
        <f t="shared" si="46"/>
        <v>#REF!</v>
      </c>
      <c r="P249" s="53" t="e">
        <f t="shared" si="47"/>
        <v>#REF!</v>
      </c>
      <c r="Q249" s="54" t="e">
        <f>'Product info'!#REF!</f>
        <v>#REF!</v>
      </c>
      <c r="R249" s="54" t="e">
        <f>'Product info'!#REF!</f>
        <v>#REF!</v>
      </c>
      <c r="S249" s="54" t="e">
        <f>'Product info'!#REF!</f>
        <v>#REF!</v>
      </c>
      <c r="T249" s="50" t="e">
        <f>'Product info'!#REF!</f>
        <v>#REF!</v>
      </c>
      <c r="U249" s="52" t="e">
        <f t="shared" si="48"/>
        <v>#REF!</v>
      </c>
      <c r="V249" s="50" t="e">
        <f t="shared" si="49"/>
        <v>#REF!</v>
      </c>
      <c r="W249" s="50" t="e">
        <f t="shared" si="50"/>
        <v>#REF!</v>
      </c>
      <c r="X249" s="50" t="e">
        <f t="shared" si="51"/>
        <v>#REF!</v>
      </c>
      <c r="Y249" s="50" t="e">
        <f t="shared" si="52"/>
        <v>#REF!</v>
      </c>
      <c r="Z249" t="e">
        <f t="shared" si="53"/>
        <v>#REF!</v>
      </c>
    </row>
    <row r="250" spans="1:26" x14ac:dyDescent="0.4">
      <c r="A250" t="e">
        <f>'Product info'!#REF!</f>
        <v>#REF!</v>
      </c>
      <c r="B250" t="e">
        <f>'Product info'!#REF!</f>
        <v>#REF!</v>
      </c>
      <c r="C250" t="e">
        <f>'Product info'!#REF!</f>
        <v>#REF!</v>
      </c>
      <c r="D250" s="6" t="e">
        <f>'Product info'!#REF!</f>
        <v>#REF!</v>
      </c>
      <c r="E250" t="e">
        <f t="shared" si="41"/>
        <v>#REF!</v>
      </c>
      <c r="F250" s="50" t="e">
        <f>'Product info'!#REF!</f>
        <v>#REF!</v>
      </c>
      <c r="G250" s="50" t="e">
        <f>'Product info'!#REF!</f>
        <v>#REF!</v>
      </c>
      <c r="H250" s="50" t="e">
        <f>'Product info'!#REF!</f>
        <v>#REF!</v>
      </c>
      <c r="I250" s="50" t="e">
        <f>'Product info'!#REF!</f>
        <v>#REF!</v>
      </c>
      <c r="J250" s="51" t="e">
        <f>'Product info'!#REF!</f>
        <v>#REF!</v>
      </c>
      <c r="K250" s="52" t="e">
        <f t="shared" si="42"/>
        <v>#REF!</v>
      </c>
      <c r="L250" s="50" t="e">
        <f t="shared" si="43"/>
        <v>#REF!</v>
      </c>
      <c r="M250" s="50" t="e">
        <f t="shared" si="44"/>
        <v>#REF!</v>
      </c>
      <c r="N250" s="50" t="e">
        <f t="shared" si="45"/>
        <v>#REF!</v>
      </c>
      <c r="O250" s="50" t="e">
        <f t="shared" si="46"/>
        <v>#REF!</v>
      </c>
      <c r="P250" s="53" t="e">
        <f t="shared" si="47"/>
        <v>#REF!</v>
      </c>
      <c r="Q250" s="54" t="e">
        <f>'Product info'!#REF!</f>
        <v>#REF!</v>
      </c>
      <c r="R250" s="54" t="e">
        <f>'Product info'!#REF!</f>
        <v>#REF!</v>
      </c>
      <c r="S250" s="54" t="e">
        <f>'Product info'!#REF!</f>
        <v>#REF!</v>
      </c>
      <c r="T250" s="50" t="e">
        <f>'Product info'!#REF!</f>
        <v>#REF!</v>
      </c>
      <c r="U250" s="52" t="e">
        <f t="shared" si="48"/>
        <v>#REF!</v>
      </c>
      <c r="V250" s="50" t="e">
        <f t="shared" si="49"/>
        <v>#REF!</v>
      </c>
      <c r="W250" s="50" t="e">
        <f t="shared" si="50"/>
        <v>#REF!</v>
      </c>
      <c r="X250" s="50" t="e">
        <f t="shared" si="51"/>
        <v>#REF!</v>
      </c>
      <c r="Y250" s="50" t="e">
        <f t="shared" si="52"/>
        <v>#REF!</v>
      </c>
      <c r="Z250" t="e">
        <f t="shared" si="53"/>
        <v>#REF!</v>
      </c>
    </row>
    <row r="251" spans="1:26" x14ac:dyDescent="0.4">
      <c r="A251" t="e">
        <f>'Product info'!#REF!</f>
        <v>#REF!</v>
      </c>
      <c r="B251" t="e">
        <f>'Product info'!#REF!</f>
        <v>#REF!</v>
      </c>
      <c r="C251" t="e">
        <f>'Product info'!#REF!</f>
        <v>#REF!</v>
      </c>
      <c r="D251" s="6" t="e">
        <f>'Product info'!#REF!</f>
        <v>#REF!</v>
      </c>
      <c r="E251" t="e">
        <f t="shared" si="41"/>
        <v>#REF!</v>
      </c>
      <c r="F251" s="50" t="e">
        <f>'Product info'!#REF!</f>
        <v>#REF!</v>
      </c>
      <c r="G251" s="50" t="e">
        <f>'Product info'!#REF!</f>
        <v>#REF!</v>
      </c>
      <c r="H251" s="50" t="e">
        <f>'Product info'!#REF!</f>
        <v>#REF!</v>
      </c>
      <c r="I251" s="50" t="e">
        <f>'Product info'!#REF!</f>
        <v>#REF!</v>
      </c>
      <c r="J251" s="51" t="e">
        <f>'Product info'!#REF!</f>
        <v>#REF!</v>
      </c>
      <c r="K251" s="52" t="e">
        <f t="shared" si="42"/>
        <v>#REF!</v>
      </c>
      <c r="L251" s="50" t="e">
        <f t="shared" si="43"/>
        <v>#REF!</v>
      </c>
      <c r="M251" s="50" t="e">
        <f t="shared" si="44"/>
        <v>#REF!</v>
      </c>
      <c r="N251" s="50" t="e">
        <f t="shared" si="45"/>
        <v>#REF!</v>
      </c>
      <c r="O251" s="50" t="e">
        <f t="shared" si="46"/>
        <v>#REF!</v>
      </c>
      <c r="P251" s="53" t="e">
        <f t="shared" si="47"/>
        <v>#REF!</v>
      </c>
      <c r="Q251" s="54" t="e">
        <f>'Product info'!#REF!</f>
        <v>#REF!</v>
      </c>
      <c r="R251" s="54" t="e">
        <f>'Product info'!#REF!</f>
        <v>#REF!</v>
      </c>
      <c r="S251" s="54" t="e">
        <f>'Product info'!#REF!</f>
        <v>#REF!</v>
      </c>
      <c r="T251" s="50" t="e">
        <f>'Product info'!#REF!</f>
        <v>#REF!</v>
      </c>
      <c r="U251" s="52" t="e">
        <f t="shared" si="48"/>
        <v>#REF!</v>
      </c>
      <c r="V251" s="50" t="e">
        <f t="shared" si="49"/>
        <v>#REF!</v>
      </c>
      <c r="W251" s="50" t="e">
        <f t="shared" si="50"/>
        <v>#REF!</v>
      </c>
      <c r="X251" s="50" t="e">
        <f t="shared" si="51"/>
        <v>#REF!</v>
      </c>
      <c r="Y251" s="50" t="e">
        <f t="shared" si="52"/>
        <v>#REF!</v>
      </c>
      <c r="Z251" t="e">
        <f t="shared" si="53"/>
        <v>#REF!</v>
      </c>
    </row>
    <row r="252" spans="1:26" x14ac:dyDescent="0.4">
      <c r="A252" t="e">
        <f>'Product info'!#REF!</f>
        <v>#REF!</v>
      </c>
      <c r="B252" t="e">
        <f>'Product info'!#REF!</f>
        <v>#REF!</v>
      </c>
      <c r="C252" t="e">
        <f>'Product info'!#REF!</f>
        <v>#REF!</v>
      </c>
      <c r="D252" s="6" t="e">
        <f>'Product info'!#REF!</f>
        <v>#REF!</v>
      </c>
      <c r="E252" t="e">
        <f t="shared" si="41"/>
        <v>#REF!</v>
      </c>
      <c r="F252" s="50" t="e">
        <f>'Product info'!#REF!</f>
        <v>#REF!</v>
      </c>
      <c r="G252" s="50" t="e">
        <f>'Product info'!#REF!</f>
        <v>#REF!</v>
      </c>
      <c r="H252" s="50" t="e">
        <f>'Product info'!#REF!</f>
        <v>#REF!</v>
      </c>
      <c r="I252" s="50" t="e">
        <f>'Product info'!#REF!</f>
        <v>#REF!</v>
      </c>
      <c r="J252" s="51" t="e">
        <f>'Product info'!#REF!</f>
        <v>#REF!</v>
      </c>
      <c r="K252" s="52" t="e">
        <f t="shared" si="42"/>
        <v>#REF!</v>
      </c>
      <c r="L252" s="50" t="e">
        <f t="shared" si="43"/>
        <v>#REF!</v>
      </c>
      <c r="M252" s="50" t="e">
        <f t="shared" si="44"/>
        <v>#REF!</v>
      </c>
      <c r="N252" s="50" t="e">
        <f t="shared" si="45"/>
        <v>#REF!</v>
      </c>
      <c r="O252" s="50" t="e">
        <f t="shared" si="46"/>
        <v>#REF!</v>
      </c>
      <c r="P252" s="53" t="e">
        <f t="shared" si="47"/>
        <v>#REF!</v>
      </c>
      <c r="Q252" s="54" t="e">
        <f>'Product info'!#REF!</f>
        <v>#REF!</v>
      </c>
      <c r="R252" s="54" t="e">
        <f>'Product info'!#REF!</f>
        <v>#REF!</v>
      </c>
      <c r="S252" s="54" t="e">
        <f>'Product info'!#REF!</f>
        <v>#REF!</v>
      </c>
      <c r="T252" s="50" t="e">
        <f>'Product info'!#REF!</f>
        <v>#REF!</v>
      </c>
      <c r="U252" s="52" t="e">
        <f t="shared" si="48"/>
        <v>#REF!</v>
      </c>
      <c r="V252" s="50" t="e">
        <f t="shared" si="49"/>
        <v>#REF!</v>
      </c>
      <c r="W252" s="50" t="e">
        <f t="shared" si="50"/>
        <v>#REF!</v>
      </c>
      <c r="X252" s="50" t="e">
        <f t="shared" si="51"/>
        <v>#REF!</v>
      </c>
      <c r="Y252" s="50" t="e">
        <f t="shared" si="52"/>
        <v>#REF!</v>
      </c>
      <c r="Z252" t="e">
        <f t="shared" si="53"/>
        <v>#REF!</v>
      </c>
    </row>
    <row r="253" spans="1:26" x14ac:dyDescent="0.4">
      <c r="A253" t="e">
        <f>'Product info'!#REF!</f>
        <v>#REF!</v>
      </c>
      <c r="B253" t="e">
        <f>'Product info'!#REF!</f>
        <v>#REF!</v>
      </c>
      <c r="C253" t="e">
        <f>'Product info'!#REF!</f>
        <v>#REF!</v>
      </c>
      <c r="D253" s="6" t="e">
        <f>'Product info'!#REF!</f>
        <v>#REF!</v>
      </c>
      <c r="E253" t="e">
        <f t="shared" si="41"/>
        <v>#REF!</v>
      </c>
      <c r="F253" s="50" t="e">
        <f>'Product info'!#REF!</f>
        <v>#REF!</v>
      </c>
      <c r="G253" s="50" t="e">
        <f>'Product info'!#REF!</f>
        <v>#REF!</v>
      </c>
      <c r="H253" s="50" t="e">
        <f>'Product info'!#REF!</f>
        <v>#REF!</v>
      </c>
      <c r="I253" s="50" t="e">
        <f>'Product info'!#REF!</f>
        <v>#REF!</v>
      </c>
      <c r="J253" s="51" t="e">
        <f>'Product info'!#REF!</f>
        <v>#REF!</v>
      </c>
      <c r="K253" s="52" t="e">
        <f t="shared" si="42"/>
        <v>#REF!</v>
      </c>
      <c r="L253" s="50" t="e">
        <f t="shared" si="43"/>
        <v>#REF!</v>
      </c>
      <c r="M253" s="50" t="e">
        <f t="shared" si="44"/>
        <v>#REF!</v>
      </c>
      <c r="N253" s="50" t="e">
        <f t="shared" si="45"/>
        <v>#REF!</v>
      </c>
      <c r="O253" s="50" t="e">
        <f t="shared" si="46"/>
        <v>#REF!</v>
      </c>
      <c r="P253" s="53" t="e">
        <f t="shared" si="47"/>
        <v>#REF!</v>
      </c>
      <c r="Q253" s="54" t="e">
        <f>'Product info'!#REF!</f>
        <v>#REF!</v>
      </c>
      <c r="R253" s="54" t="e">
        <f>'Product info'!#REF!</f>
        <v>#REF!</v>
      </c>
      <c r="S253" s="54" t="e">
        <f>'Product info'!#REF!</f>
        <v>#REF!</v>
      </c>
      <c r="T253" s="50" t="e">
        <f>'Product info'!#REF!</f>
        <v>#REF!</v>
      </c>
      <c r="U253" s="52" t="e">
        <f t="shared" si="48"/>
        <v>#REF!</v>
      </c>
      <c r="V253" s="50" t="e">
        <f t="shared" si="49"/>
        <v>#REF!</v>
      </c>
      <c r="W253" s="50" t="e">
        <f t="shared" si="50"/>
        <v>#REF!</v>
      </c>
      <c r="X253" s="50" t="e">
        <f t="shared" si="51"/>
        <v>#REF!</v>
      </c>
      <c r="Y253" s="50" t="e">
        <f t="shared" si="52"/>
        <v>#REF!</v>
      </c>
      <c r="Z253" t="e">
        <f t="shared" si="53"/>
        <v>#REF!</v>
      </c>
    </row>
    <row r="254" spans="1:26" x14ac:dyDescent="0.4">
      <c r="A254" t="e">
        <f>'Product info'!#REF!</f>
        <v>#REF!</v>
      </c>
      <c r="B254" t="e">
        <f>'Product info'!#REF!</f>
        <v>#REF!</v>
      </c>
      <c r="C254" t="e">
        <f>'Product info'!#REF!</f>
        <v>#REF!</v>
      </c>
      <c r="D254" s="6" t="e">
        <f>'Product info'!#REF!</f>
        <v>#REF!</v>
      </c>
      <c r="E254" t="e">
        <f t="shared" si="41"/>
        <v>#REF!</v>
      </c>
      <c r="F254" s="50" t="e">
        <f>'Product info'!#REF!</f>
        <v>#REF!</v>
      </c>
      <c r="G254" s="50" t="e">
        <f>'Product info'!#REF!</f>
        <v>#REF!</v>
      </c>
      <c r="H254" s="50" t="e">
        <f>'Product info'!#REF!</f>
        <v>#REF!</v>
      </c>
      <c r="I254" s="50" t="e">
        <f>'Product info'!#REF!</f>
        <v>#REF!</v>
      </c>
      <c r="J254" s="51" t="e">
        <f>'Product info'!#REF!</f>
        <v>#REF!</v>
      </c>
      <c r="K254" s="52" t="e">
        <f t="shared" si="42"/>
        <v>#REF!</v>
      </c>
      <c r="L254" s="50" t="e">
        <f t="shared" si="43"/>
        <v>#REF!</v>
      </c>
      <c r="M254" s="50" t="e">
        <f t="shared" si="44"/>
        <v>#REF!</v>
      </c>
      <c r="N254" s="50" t="e">
        <f t="shared" si="45"/>
        <v>#REF!</v>
      </c>
      <c r="O254" s="50" t="e">
        <f t="shared" si="46"/>
        <v>#REF!</v>
      </c>
      <c r="P254" s="53" t="e">
        <f t="shared" si="47"/>
        <v>#REF!</v>
      </c>
      <c r="Q254" s="54" t="e">
        <f>'Product info'!#REF!</f>
        <v>#REF!</v>
      </c>
      <c r="R254" s="54" t="e">
        <f>'Product info'!#REF!</f>
        <v>#REF!</v>
      </c>
      <c r="S254" s="54" t="e">
        <f>'Product info'!#REF!</f>
        <v>#REF!</v>
      </c>
      <c r="T254" s="50" t="e">
        <f>'Product info'!#REF!</f>
        <v>#REF!</v>
      </c>
      <c r="U254" s="52" t="e">
        <f t="shared" si="48"/>
        <v>#REF!</v>
      </c>
      <c r="V254" s="50" t="e">
        <f t="shared" si="49"/>
        <v>#REF!</v>
      </c>
      <c r="W254" s="50" t="e">
        <f t="shared" si="50"/>
        <v>#REF!</v>
      </c>
      <c r="X254" s="50" t="e">
        <f t="shared" si="51"/>
        <v>#REF!</v>
      </c>
      <c r="Y254" s="50" t="e">
        <f t="shared" si="52"/>
        <v>#REF!</v>
      </c>
      <c r="Z254" t="e">
        <f t="shared" si="53"/>
        <v>#REF!</v>
      </c>
    </row>
    <row r="255" spans="1:26" x14ac:dyDescent="0.4">
      <c r="A255" t="e">
        <f>'Product info'!#REF!</f>
        <v>#REF!</v>
      </c>
      <c r="B255" t="e">
        <f>'Product info'!#REF!</f>
        <v>#REF!</v>
      </c>
      <c r="C255" t="e">
        <f>'Product info'!#REF!</f>
        <v>#REF!</v>
      </c>
      <c r="D255" s="6" t="e">
        <f>'Product info'!#REF!</f>
        <v>#REF!</v>
      </c>
      <c r="E255" t="e">
        <f t="shared" si="41"/>
        <v>#REF!</v>
      </c>
      <c r="F255" s="50" t="e">
        <f>'Product info'!#REF!</f>
        <v>#REF!</v>
      </c>
      <c r="G255" s="50" t="e">
        <f>'Product info'!#REF!</f>
        <v>#REF!</v>
      </c>
      <c r="H255" s="50" t="e">
        <f>'Product info'!#REF!</f>
        <v>#REF!</v>
      </c>
      <c r="I255" s="50" t="e">
        <f>'Product info'!#REF!</f>
        <v>#REF!</v>
      </c>
      <c r="J255" s="51" t="e">
        <f>'Product info'!#REF!</f>
        <v>#REF!</v>
      </c>
      <c r="K255" s="52" t="e">
        <f t="shared" si="42"/>
        <v>#REF!</v>
      </c>
      <c r="L255" s="50" t="e">
        <f t="shared" si="43"/>
        <v>#REF!</v>
      </c>
      <c r="M255" s="50" t="e">
        <f t="shared" si="44"/>
        <v>#REF!</v>
      </c>
      <c r="N255" s="50" t="e">
        <f t="shared" si="45"/>
        <v>#REF!</v>
      </c>
      <c r="O255" s="50" t="e">
        <f t="shared" si="46"/>
        <v>#REF!</v>
      </c>
      <c r="P255" s="53" t="e">
        <f t="shared" si="47"/>
        <v>#REF!</v>
      </c>
      <c r="Q255" s="54" t="e">
        <f>'Product info'!#REF!</f>
        <v>#REF!</v>
      </c>
      <c r="R255" s="54" t="e">
        <f>'Product info'!#REF!</f>
        <v>#REF!</v>
      </c>
      <c r="S255" s="54" t="e">
        <f>'Product info'!#REF!</f>
        <v>#REF!</v>
      </c>
      <c r="T255" s="50" t="e">
        <f>'Product info'!#REF!</f>
        <v>#REF!</v>
      </c>
      <c r="U255" s="52" t="e">
        <f t="shared" si="48"/>
        <v>#REF!</v>
      </c>
      <c r="V255" s="50" t="e">
        <f t="shared" si="49"/>
        <v>#REF!</v>
      </c>
      <c r="W255" s="50" t="e">
        <f t="shared" si="50"/>
        <v>#REF!</v>
      </c>
      <c r="X255" s="50" t="e">
        <f t="shared" si="51"/>
        <v>#REF!</v>
      </c>
      <c r="Y255" s="50" t="e">
        <f t="shared" si="52"/>
        <v>#REF!</v>
      </c>
      <c r="Z255" t="e">
        <f t="shared" si="53"/>
        <v>#REF!</v>
      </c>
    </row>
    <row r="256" spans="1:26" x14ac:dyDescent="0.4">
      <c r="A256" t="e">
        <f>'Product info'!#REF!</f>
        <v>#REF!</v>
      </c>
      <c r="B256" t="e">
        <f>'Product info'!#REF!</f>
        <v>#REF!</v>
      </c>
      <c r="C256" t="e">
        <f>'Product info'!#REF!</f>
        <v>#REF!</v>
      </c>
      <c r="D256" s="6" t="e">
        <f>'Product info'!#REF!</f>
        <v>#REF!</v>
      </c>
      <c r="E256" t="e">
        <f t="shared" si="41"/>
        <v>#REF!</v>
      </c>
      <c r="F256" s="50" t="e">
        <f>'Product info'!#REF!</f>
        <v>#REF!</v>
      </c>
      <c r="G256" s="50" t="e">
        <f>'Product info'!#REF!</f>
        <v>#REF!</v>
      </c>
      <c r="H256" s="50" t="e">
        <f>'Product info'!#REF!</f>
        <v>#REF!</v>
      </c>
      <c r="I256" s="50" t="e">
        <f>'Product info'!#REF!</f>
        <v>#REF!</v>
      </c>
      <c r="J256" s="51" t="e">
        <f>'Product info'!#REF!</f>
        <v>#REF!</v>
      </c>
      <c r="K256" s="52" t="e">
        <f t="shared" si="42"/>
        <v>#REF!</v>
      </c>
      <c r="L256" s="50" t="e">
        <f t="shared" si="43"/>
        <v>#REF!</v>
      </c>
      <c r="M256" s="50" t="e">
        <f t="shared" si="44"/>
        <v>#REF!</v>
      </c>
      <c r="N256" s="50" t="e">
        <f t="shared" si="45"/>
        <v>#REF!</v>
      </c>
      <c r="O256" s="50" t="e">
        <f t="shared" si="46"/>
        <v>#REF!</v>
      </c>
      <c r="P256" s="53" t="e">
        <f t="shared" si="47"/>
        <v>#REF!</v>
      </c>
      <c r="Q256" s="54" t="e">
        <f>'Product info'!#REF!</f>
        <v>#REF!</v>
      </c>
      <c r="R256" s="54" t="e">
        <f>'Product info'!#REF!</f>
        <v>#REF!</v>
      </c>
      <c r="S256" s="54" t="e">
        <f>'Product info'!#REF!</f>
        <v>#REF!</v>
      </c>
      <c r="T256" s="50" t="e">
        <f>'Product info'!#REF!</f>
        <v>#REF!</v>
      </c>
      <c r="U256" s="52" t="e">
        <f t="shared" si="48"/>
        <v>#REF!</v>
      </c>
      <c r="V256" s="50" t="e">
        <f t="shared" si="49"/>
        <v>#REF!</v>
      </c>
      <c r="W256" s="50" t="e">
        <f t="shared" si="50"/>
        <v>#REF!</v>
      </c>
      <c r="X256" s="50" t="e">
        <f t="shared" si="51"/>
        <v>#REF!</v>
      </c>
      <c r="Y256" s="50" t="e">
        <f t="shared" si="52"/>
        <v>#REF!</v>
      </c>
      <c r="Z256" t="e">
        <f t="shared" si="53"/>
        <v>#REF!</v>
      </c>
    </row>
    <row r="257" spans="1:26" x14ac:dyDescent="0.4">
      <c r="A257" t="e">
        <f>'Product info'!#REF!</f>
        <v>#REF!</v>
      </c>
      <c r="B257" t="e">
        <f>'Product info'!#REF!</f>
        <v>#REF!</v>
      </c>
      <c r="C257" t="e">
        <f>'Product info'!#REF!</f>
        <v>#REF!</v>
      </c>
      <c r="D257" s="6" t="e">
        <f>'Product info'!#REF!</f>
        <v>#REF!</v>
      </c>
      <c r="E257" t="e">
        <f t="shared" si="41"/>
        <v>#REF!</v>
      </c>
      <c r="F257" s="50" t="e">
        <f>'Product info'!#REF!</f>
        <v>#REF!</v>
      </c>
      <c r="G257" s="50" t="e">
        <f>'Product info'!#REF!</f>
        <v>#REF!</v>
      </c>
      <c r="H257" s="50" t="e">
        <f>'Product info'!#REF!</f>
        <v>#REF!</v>
      </c>
      <c r="I257" s="50" t="e">
        <f>'Product info'!#REF!</f>
        <v>#REF!</v>
      </c>
      <c r="J257" s="51" t="e">
        <f>'Product info'!#REF!</f>
        <v>#REF!</v>
      </c>
      <c r="K257" s="52" t="e">
        <f t="shared" si="42"/>
        <v>#REF!</v>
      </c>
      <c r="L257" s="50" t="e">
        <f t="shared" si="43"/>
        <v>#REF!</v>
      </c>
      <c r="M257" s="50" t="e">
        <f t="shared" si="44"/>
        <v>#REF!</v>
      </c>
      <c r="N257" s="50" t="e">
        <f t="shared" si="45"/>
        <v>#REF!</v>
      </c>
      <c r="O257" s="50" t="e">
        <f t="shared" si="46"/>
        <v>#REF!</v>
      </c>
      <c r="P257" s="53" t="e">
        <f t="shared" si="47"/>
        <v>#REF!</v>
      </c>
      <c r="Q257" s="54" t="e">
        <f>'Product info'!#REF!</f>
        <v>#REF!</v>
      </c>
      <c r="R257" s="54" t="e">
        <f>'Product info'!#REF!</f>
        <v>#REF!</v>
      </c>
      <c r="S257" s="54" t="e">
        <f>'Product info'!#REF!</f>
        <v>#REF!</v>
      </c>
      <c r="T257" s="50" t="e">
        <f>'Product info'!#REF!</f>
        <v>#REF!</v>
      </c>
      <c r="U257" s="52" t="e">
        <f t="shared" si="48"/>
        <v>#REF!</v>
      </c>
      <c r="V257" s="50" t="e">
        <f t="shared" si="49"/>
        <v>#REF!</v>
      </c>
      <c r="W257" s="50" t="e">
        <f t="shared" si="50"/>
        <v>#REF!</v>
      </c>
      <c r="X257" s="50" t="e">
        <f t="shared" si="51"/>
        <v>#REF!</v>
      </c>
      <c r="Y257" s="50" t="e">
        <f t="shared" si="52"/>
        <v>#REF!</v>
      </c>
      <c r="Z257" t="e">
        <f t="shared" si="53"/>
        <v>#REF!</v>
      </c>
    </row>
    <row r="258" spans="1:26" x14ac:dyDescent="0.4">
      <c r="A258" t="e">
        <f>'Product info'!#REF!</f>
        <v>#REF!</v>
      </c>
      <c r="B258" t="e">
        <f>'Product info'!#REF!</f>
        <v>#REF!</v>
      </c>
      <c r="C258" t="e">
        <f>'Product info'!#REF!</f>
        <v>#REF!</v>
      </c>
      <c r="D258" s="6" t="e">
        <f>'Product info'!#REF!</f>
        <v>#REF!</v>
      </c>
      <c r="E258" t="e">
        <f t="shared" si="41"/>
        <v>#REF!</v>
      </c>
      <c r="F258" s="50" t="e">
        <f>'Product info'!#REF!</f>
        <v>#REF!</v>
      </c>
      <c r="G258" s="50" t="e">
        <f>'Product info'!#REF!</f>
        <v>#REF!</v>
      </c>
      <c r="H258" s="50" t="e">
        <f>'Product info'!#REF!</f>
        <v>#REF!</v>
      </c>
      <c r="I258" s="50" t="e">
        <f>'Product info'!#REF!</f>
        <v>#REF!</v>
      </c>
      <c r="J258" s="51" t="e">
        <f>'Product info'!#REF!</f>
        <v>#REF!</v>
      </c>
      <c r="K258" s="52" t="e">
        <f t="shared" si="42"/>
        <v>#REF!</v>
      </c>
      <c r="L258" s="50" t="e">
        <f t="shared" si="43"/>
        <v>#REF!</v>
      </c>
      <c r="M258" s="50" t="e">
        <f t="shared" si="44"/>
        <v>#REF!</v>
      </c>
      <c r="N258" s="50" t="e">
        <f t="shared" si="45"/>
        <v>#REF!</v>
      </c>
      <c r="O258" s="50" t="e">
        <f t="shared" si="46"/>
        <v>#REF!</v>
      </c>
      <c r="P258" s="53" t="e">
        <f t="shared" si="47"/>
        <v>#REF!</v>
      </c>
      <c r="Q258" s="54" t="e">
        <f>'Product info'!#REF!</f>
        <v>#REF!</v>
      </c>
      <c r="R258" s="54" t="e">
        <f>'Product info'!#REF!</f>
        <v>#REF!</v>
      </c>
      <c r="S258" s="54" t="e">
        <f>'Product info'!#REF!</f>
        <v>#REF!</v>
      </c>
      <c r="T258" s="50" t="e">
        <f>'Product info'!#REF!</f>
        <v>#REF!</v>
      </c>
      <c r="U258" s="52" t="e">
        <f t="shared" si="48"/>
        <v>#REF!</v>
      </c>
      <c r="V258" s="50" t="e">
        <f t="shared" si="49"/>
        <v>#REF!</v>
      </c>
      <c r="W258" s="50" t="e">
        <f t="shared" si="50"/>
        <v>#REF!</v>
      </c>
      <c r="X258" s="50" t="e">
        <f t="shared" si="51"/>
        <v>#REF!</v>
      </c>
      <c r="Y258" s="50" t="e">
        <f t="shared" si="52"/>
        <v>#REF!</v>
      </c>
      <c r="Z258" t="e">
        <f t="shared" si="53"/>
        <v>#REF!</v>
      </c>
    </row>
    <row r="259" spans="1:26" x14ac:dyDescent="0.4">
      <c r="A259" t="e">
        <f>'Product info'!#REF!</f>
        <v>#REF!</v>
      </c>
      <c r="B259" t="e">
        <f>'Product info'!#REF!</f>
        <v>#REF!</v>
      </c>
      <c r="C259" t="e">
        <f>'Product info'!#REF!</f>
        <v>#REF!</v>
      </c>
      <c r="D259" s="6" t="e">
        <f>'Product info'!#REF!</f>
        <v>#REF!</v>
      </c>
      <c r="E259" t="e">
        <f t="shared" si="41"/>
        <v>#REF!</v>
      </c>
      <c r="F259" s="50" t="e">
        <f>'Product info'!#REF!</f>
        <v>#REF!</v>
      </c>
      <c r="G259" s="50" t="e">
        <f>'Product info'!#REF!</f>
        <v>#REF!</v>
      </c>
      <c r="H259" s="50" t="e">
        <f>'Product info'!#REF!</f>
        <v>#REF!</v>
      </c>
      <c r="I259" s="50" t="e">
        <f>'Product info'!#REF!</f>
        <v>#REF!</v>
      </c>
      <c r="J259" s="51" t="e">
        <f>'Product info'!#REF!</f>
        <v>#REF!</v>
      </c>
      <c r="K259" s="52" t="e">
        <f t="shared" si="42"/>
        <v>#REF!</v>
      </c>
      <c r="L259" s="50" t="e">
        <f t="shared" si="43"/>
        <v>#REF!</v>
      </c>
      <c r="M259" s="50" t="e">
        <f t="shared" si="44"/>
        <v>#REF!</v>
      </c>
      <c r="N259" s="50" t="e">
        <f t="shared" si="45"/>
        <v>#REF!</v>
      </c>
      <c r="O259" s="50" t="e">
        <f t="shared" si="46"/>
        <v>#REF!</v>
      </c>
      <c r="P259" s="53" t="e">
        <f t="shared" si="47"/>
        <v>#REF!</v>
      </c>
      <c r="Q259" s="54" t="e">
        <f>'Product info'!#REF!</f>
        <v>#REF!</v>
      </c>
      <c r="R259" s="54" t="e">
        <f>'Product info'!#REF!</f>
        <v>#REF!</v>
      </c>
      <c r="S259" s="54" t="e">
        <f>'Product info'!#REF!</f>
        <v>#REF!</v>
      </c>
      <c r="T259" s="50" t="e">
        <f>'Product info'!#REF!</f>
        <v>#REF!</v>
      </c>
      <c r="U259" s="52" t="e">
        <f t="shared" si="48"/>
        <v>#REF!</v>
      </c>
      <c r="V259" s="50" t="e">
        <f t="shared" si="49"/>
        <v>#REF!</v>
      </c>
      <c r="W259" s="50" t="e">
        <f t="shared" si="50"/>
        <v>#REF!</v>
      </c>
      <c r="X259" s="50" t="e">
        <f t="shared" si="51"/>
        <v>#REF!</v>
      </c>
      <c r="Y259" s="50" t="e">
        <f t="shared" si="52"/>
        <v>#REF!</v>
      </c>
      <c r="Z259" t="e">
        <f t="shared" si="53"/>
        <v>#REF!</v>
      </c>
    </row>
    <row r="260" spans="1:26" x14ac:dyDescent="0.4">
      <c r="A260" t="e">
        <f>'Product info'!#REF!</f>
        <v>#REF!</v>
      </c>
      <c r="B260" t="e">
        <f>'Product info'!#REF!</f>
        <v>#REF!</v>
      </c>
      <c r="C260" t="e">
        <f>'Product info'!#REF!</f>
        <v>#REF!</v>
      </c>
      <c r="D260" s="6" t="e">
        <f>'Product info'!#REF!</f>
        <v>#REF!</v>
      </c>
      <c r="E260" t="e">
        <f t="shared" ref="E260:E323" si="54">F260&amp;"*"&amp;G260&amp;"*"&amp;H260</f>
        <v>#REF!</v>
      </c>
      <c r="F260" s="50" t="e">
        <f>'Product info'!#REF!</f>
        <v>#REF!</v>
      </c>
      <c r="G260" s="50" t="e">
        <f>'Product info'!#REF!</f>
        <v>#REF!</v>
      </c>
      <c r="H260" s="50" t="e">
        <f>'Product info'!#REF!</f>
        <v>#REF!</v>
      </c>
      <c r="I260" s="50" t="e">
        <f>'Product info'!#REF!</f>
        <v>#REF!</v>
      </c>
      <c r="J260" s="51" t="e">
        <f>'Product info'!#REF!</f>
        <v>#REF!</v>
      </c>
      <c r="K260" s="52" t="e">
        <f t="shared" ref="K260:K323" si="55">F260*G260*H260/(100*100*100)</f>
        <v>#REF!</v>
      </c>
      <c r="L260" s="50" t="e">
        <f t="shared" ref="L260:L323" si="56">F260*0.393701</f>
        <v>#REF!</v>
      </c>
      <c r="M260" s="50" t="e">
        <f t="shared" ref="M260:M323" si="57">G260*0.393701</f>
        <v>#REF!</v>
      </c>
      <c r="N260" s="50" t="e">
        <f t="shared" ref="N260:N323" si="58">H260*0.393701</f>
        <v>#REF!</v>
      </c>
      <c r="O260" s="50" t="e">
        <f t="shared" ref="O260:O323" si="59">I260*2.20462</f>
        <v>#REF!</v>
      </c>
      <c r="P260" s="53" t="e">
        <f t="shared" ref="P260:P323" si="60">Q260&amp;"*"&amp;R260&amp;"*"&amp;S260</f>
        <v>#REF!</v>
      </c>
      <c r="Q260" s="54" t="e">
        <f>'Product info'!#REF!</f>
        <v>#REF!</v>
      </c>
      <c r="R260" s="54" t="e">
        <f>'Product info'!#REF!</f>
        <v>#REF!</v>
      </c>
      <c r="S260" s="54" t="e">
        <f>'Product info'!#REF!</f>
        <v>#REF!</v>
      </c>
      <c r="T260" s="50" t="e">
        <f>'Product info'!#REF!</f>
        <v>#REF!</v>
      </c>
      <c r="U260" s="52" t="e">
        <f t="shared" ref="U260:U323" si="61">Q260*R260*S260/(100*100*100)</f>
        <v>#REF!</v>
      </c>
      <c r="V260" s="50" t="e">
        <f t="shared" ref="V260:V323" si="62">Q260*0.393701</f>
        <v>#REF!</v>
      </c>
      <c r="W260" s="50" t="e">
        <f t="shared" ref="W260:W323" si="63">R260*0.393701</f>
        <v>#REF!</v>
      </c>
      <c r="X260" s="50" t="e">
        <f t="shared" ref="X260:X323" si="64">S260*0.393701</f>
        <v>#REF!</v>
      </c>
      <c r="Y260" s="50" t="e">
        <f t="shared" ref="Y260:Y323" si="65">T260*2.20462</f>
        <v>#REF!</v>
      </c>
      <c r="Z260" t="e">
        <f t="shared" ref="Z260:Z323" si="66">K260/J260</f>
        <v>#REF!</v>
      </c>
    </row>
    <row r="261" spans="1:26" x14ac:dyDescent="0.4">
      <c r="A261" t="e">
        <f>'Product info'!#REF!</f>
        <v>#REF!</v>
      </c>
      <c r="B261" t="e">
        <f>'Product info'!#REF!</f>
        <v>#REF!</v>
      </c>
      <c r="C261" t="e">
        <f>'Product info'!#REF!</f>
        <v>#REF!</v>
      </c>
      <c r="D261" s="6" t="e">
        <f>'Product info'!#REF!</f>
        <v>#REF!</v>
      </c>
      <c r="E261" t="e">
        <f t="shared" si="54"/>
        <v>#REF!</v>
      </c>
      <c r="F261" s="50" t="e">
        <f>'Product info'!#REF!</f>
        <v>#REF!</v>
      </c>
      <c r="G261" s="50" t="e">
        <f>'Product info'!#REF!</f>
        <v>#REF!</v>
      </c>
      <c r="H261" s="50" t="e">
        <f>'Product info'!#REF!</f>
        <v>#REF!</v>
      </c>
      <c r="I261" s="50" t="e">
        <f>'Product info'!#REF!</f>
        <v>#REF!</v>
      </c>
      <c r="J261" s="51" t="e">
        <f>'Product info'!#REF!</f>
        <v>#REF!</v>
      </c>
      <c r="K261" s="52" t="e">
        <f t="shared" si="55"/>
        <v>#REF!</v>
      </c>
      <c r="L261" s="50" t="e">
        <f t="shared" si="56"/>
        <v>#REF!</v>
      </c>
      <c r="M261" s="50" t="e">
        <f t="shared" si="57"/>
        <v>#REF!</v>
      </c>
      <c r="N261" s="50" t="e">
        <f t="shared" si="58"/>
        <v>#REF!</v>
      </c>
      <c r="O261" s="50" t="e">
        <f t="shared" si="59"/>
        <v>#REF!</v>
      </c>
      <c r="P261" s="53" t="e">
        <f t="shared" si="60"/>
        <v>#REF!</v>
      </c>
      <c r="Q261" s="54" t="e">
        <f>'Product info'!#REF!</f>
        <v>#REF!</v>
      </c>
      <c r="R261" s="54" t="e">
        <f>'Product info'!#REF!</f>
        <v>#REF!</v>
      </c>
      <c r="S261" s="54" t="e">
        <f>'Product info'!#REF!</f>
        <v>#REF!</v>
      </c>
      <c r="T261" s="50" t="e">
        <f>'Product info'!#REF!</f>
        <v>#REF!</v>
      </c>
      <c r="U261" s="52" t="e">
        <f t="shared" si="61"/>
        <v>#REF!</v>
      </c>
      <c r="V261" s="50" t="e">
        <f t="shared" si="62"/>
        <v>#REF!</v>
      </c>
      <c r="W261" s="50" t="e">
        <f t="shared" si="63"/>
        <v>#REF!</v>
      </c>
      <c r="X261" s="50" t="e">
        <f t="shared" si="64"/>
        <v>#REF!</v>
      </c>
      <c r="Y261" s="50" t="e">
        <f t="shared" si="65"/>
        <v>#REF!</v>
      </c>
      <c r="Z261" t="e">
        <f t="shared" si="66"/>
        <v>#REF!</v>
      </c>
    </row>
    <row r="262" spans="1:26" x14ac:dyDescent="0.4">
      <c r="A262" t="e">
        <f>'Product info'!#REF!</f>
        <v>#REF!</v>
      </c>
      <c r="B262" t="e">
        <f>'Product info'!#REF!</f>
        <v>#REF!</v>
      </c>
      <c r="C262" t="e">
        <f>'Product info'!#REF!</f>
        <v>#REF!</v>
      </c>
      <c r="D262" s="6" t="e">
        <f>'Product info'!#REF!</f>
        <v>#REF!</v>
      </c>
      <c r="E262" t="e">
        <f t="shared" si="54"/>
        <v>#REF!</v>
      </c>
      <c r="F262" s="50" t="e">
        <f>'Product info'!#REF!</f>
        <v>#REF!</v>
      </c>
      <c r="G262" s="50" t="e">
        <f>'Product info'!#REF!</f>
        <v>#REF!</v>
      </c>
      <c r="H262" s="50" t="e">
        <f>'Product info'!#REF!</f>
        <v>#REF!</v>
      </c>
      <c r="I262" s="50" t="e">
        <f>'Product info'!#REF!</f>
        <v>#REF!</v>
      </c>
      <c r="J262" s="51" t="e">
        <f>'Product info'!#REF!</f>
        <v>#REF!</v>
      </c>
      <c r="K262" s="52" t="e">
        <f t="shared" si="55"/>
        <v>#REF!</v>
      </c>
      <c r="L262" s="50" t="e">
        <f t="shared" si="56"/>
        <v>#REF!</v>
      </c>
      <c r="M262" s="50" t="e">
        <f t="shared" si="57"/>
        <v>#REF!</v>
      </c>
      <c r="N262" s="50" t="e">
        <f t="shared" si="58"/>
        <v>#REF!</v>
      </c>
      <c r="O262" s="50" t="e">
        <f t="shared" si="59"/>
        <v>#REF!</v>
      </c>
      <c r="P262" s="53" t="e">
        <f t="shared" si="60"/>
        <v>#REF!</v>
      </c>
      <c r="Q262" s="54" t="e">
        <f>'Product info'!#REF!</f>
        <v>#REF!</v>
      </c>
      <c r="R262" s="54" t="e">
        <f>'Product info'!#REF!</f>
        <v>#REF!</v>
      </c>
      <c r="S262" s="54" t="e">
        <f>'Product info'!#REF!</f>
        <v>#REF!</v>
      </c>
      <c r="T262" s="50" t="e">
        <f>'Product info'!#REF!</f>
        <v>#REF!</v>
      </c>
      <c r="U262" s="52" t="e">
        <f t="shared" si="61"/>
        <v>#REF!</v>
      </c>
      <c r="V262" s="50" t="e">
        <f t="shared" si="62"/>
        <v>#REF!</v>
      </c>
      <c r="W262" s="50" t="e">
        <f t="shared" si="63"/>
        <v>#REF!</v>
      </c>
      <c r="X262" s="50" t="e">
        <f t="shared" si="64"/>
        <v>#REF!</v>
      </c>
      <c r="Y262" s="50" t="e">
        <f t="shared" si="65"/>
        <v>#REF!</v>
      </c>
      <c r="Z262" t="e">
        <f t="shared" si="66"/>
        <v>#REF!</v>
      </c>
    </row>
    <row r="263" spans="1:26" x14ac:dyDescent="0.4">
      <c r="A263" t="e">
        <f>'Product info'!#REF!</f>
        <v>#REF!</v>
      </c>
      <c r="B263" t="e">
        <f>'Product info'!#REF!</f>
        <v>#REF!</v>
      </c>
      <c r="C263" t="e">
        <f>'Product info'!#REF!</f>
        <v>#REF!</v>
      </c>
      <c r="D263" s="6" t="e">
        <f>'Product info'!#REF!</f>
        <v>#REF!</v>
      </c>
      <c r="E263" t="e">
        <f t="shared" si="54"/>
        <v>#REF!</v>
      </c>
      <c r="F263" s="50" t="e">
        <f>'Product info'!#REF!</f>
        <v>#REF!</v>
      </c>
      <c r="G263" s="50" t="e">
        <f>'Product info'!#REF!</f>
        <v>#REF!</v>
      </c>
      <c r="H263" s="50" t="e">
        <f>'Product info'!#REF!</f>
        <v>#REF!</v>
      </c>
      <c r="I263" s="50" t="e">
        <f>'Product info'!#REF!</f>
        <v>#REF!</v>
      </c>
      <c r="J263" s="51" t="e">
        <f>'Product info'!#REF!</f>
        <v>#REF!</v>
      </c>
      <c r="K263" s="52" t="e">
        <f t="shared" si="55"/>
        <v>#REF!</v>
      </c>
      <c r="L263" s="50" t="e">
        <f t="shared" si="56"/>
        <v>#REF!</v>
      </c>
      <c r="M263" s="50" t="e">
        <f t="shared" si="57"/>
        <v>#REF!</v>
      </c>
      <c r="N263" s="50" t="e">
        <f t="shared" si="58"/>
        <v>#REF!</v>
      </c>
      <c r="O263" s="50" t="e">
        <f t="shared" si="59"/>
        <v>#REF!</v>
      </c>
      <c r="P263" s="53" t="e">
        <f t="shared" si="60"/>
        <v>#REF!</v>
      </c>
      <c r="Q263" s="54" t="e">
        <f>'Product info'!#REF!</f>
        <v>#REF!</v>
      </c>
      <c r="R263" s="54" t="e">
        <f>'Product info'!#REF!</f>
        <v>#REF!</v>
      </c>
      <c r="S263" s="54" t="e">
        <f>'Product info'!#REF!</f>
        <v>#REF!</v>
      </c>
      <c r="T263" s="50" t="e">
        <f>'Product info'!#REF!</f>
        <v>#REF!</v>
      </c>
      <c r="U263" s="52" t="e">
        <f t="shared" si="61"/>
        <v>#REF!</v>
      </c>
      <c r="V263" s="50" t="e">
        <f t="shared" si="62"/>
        <v>#REF!</v>
      </c>
      <c r="W263" s="50" t="e">
        <f t="shared" si="63"/>
        <v>#REF!</v>
      </c>
      <c r="X263" s="50" t="e">
        <f t="shared" si="64"/>
        <v>#REF!</v>
      </c>
      <c r="Y263" s="50" t="e">
        <f t="shared" si="65"/>
        <v>#REF!</v>
      </c>
      <c r="Z263" t="e">
        <f t="shared" si="66"/>
        <v>#REF!</v>
      </c>
    </row>
    <row r="264" spans="1:26" x14ac:dyDescent="0.4">
      <c r="A264" t="e">
        <f>'Product info'!#REF!</f>
        <v>#REF!</v>
      </c>
      <c r="B264" t="e">
        <f>'Product info'!#REF!</f>
        <v>#REF!</v>
      </c>
      <c r="C264" t="e">
        <f>'Product info'!#REF!</f>
        <v>#REF!</v>
      </c>
      <c r="D264" s="6" t="e">
        <f>'Product info'!#REF!</f>
        <v>#REF!</v>
      </c>
      <c r="E264" t="e">
        <f t="shared" si="54"/>
        <v>#REF!</v>
      </c>
      <c r="F264" s="50" t="e">
        <f>'Product info'!#REF!</f>
        <v>#REF!</v>
      </c>
      <c r="G264" s="50" t="e">
        <f>'Product info'!#REF!</f>
        <v>#REF!</v>
      </c>
      <c r="H264" s="50" t="e">
        <f>'Product info'!#REF!</f>
        <v>#REF!</v>
      </c>
      <c r="I264" s="50" t="e">
        <f>'Product info'!#REF!</f>
        <v>#REF!</v>
      </c>
      <c r="J264" s="51" t="e">
        <f>'Product info'!#REF!</f>
        <v>#REF!</v>
      </c>
      <c r="K264" s="52" t="e">
        <f t="shared" si="55"/>
        <v>#REF!</v>
      </c>
      <c r="L264" s="50" t="e">
        <f t="shared" si="56"/>
        <v>#REF!</v>
      </c>
      <c r="M264" s="50" t="e">
        <f t="shared" si="57"/>
        <v>#REF!</v>
      </c>
      <c r="N264" s="50" t="e">
        <f t="shared" si="58"/>
        <v>#REF!</v>
      </c>
      <c r="O264" s="50" t="e">
        <f t="shared" si="59"/>
        <v>#REF!</v>
      </c>
      <c r="P264" s="53" t="e">
        <f t="shared" si="60"/>
        <v>#REF!</v>
      </c>
      <c r="Q264" s="54" t="e">
        <f>'Product info'!#REF!</f>
        <v>#REF!</v>
      </c>
      <c r="R264" s="54" t="e">
        <f>'Product info'!#REF!</f>
        <v>#REF!</v>
      </c>
      <c r="S264" s="54" t="e">
        <f>'Product info'!#REF!</f>
        <v>#REF!</v>
      </c>
      <c r="T264" s="50" t="e">
        <f>'Product info'!#REF!</f>
        <v>#REF!</v>
      </c>
      <c r="U264" s="52" t="e">
        <f t="shared" si="61"/>
        <v>#REF!</v>
      </c>
      <c r="V264" s="50" t="e">
        <f t="shared" si="62"/>
        <v>#REF!</v>
      </c>
      <c r="W264" s="50" t="e">
        <f t="shared" si="63"/>
        <v>#REF!</v>
      </c>
      <c r="X264" s="50" t="e">
        <f t="shared" si="64"/>
        <v>#REF!</v>
      </c>
      <c r="Y264" s="50" t="e">
        <f t="shared" si="65"/>
        <v>#REF!</v>
      </c>
      <c r="Z264" t="e">
        <f t="shared" si="66"/>
        <v>#REF!</v>
      </c>
    </row>
    <row r="265" spans="1:26" x14ac:dyDescent="0.4">
      <c r="A265" t="e">
        <f>'Product info'!#REF!</f>
        <v>#REF!</v>
      </c>
      <c r="B265" t="e">
        <f>'Product info'!#REF!</f>
        <v>#REF!</v>
      </c>
      <c r="C265" t="e">
        <f>'Product info'!#REF!</f>
        <v>#REF!</v>
      </c>
      <c r="D265" s="6" t="e">
        <f>'Product info'!#REF!</f>
        <v>#REF!</v>
      </c>
      <c r="E265" t="e">
        <f t="shared" si="54"/>
        <v>#REF!</v>
      </c>
      <c r="F265" s="50" t="e">
        <f>'Product info'!#REF!</f>
        <v>#REF!</v>
      </c>
      <c r="G265" s="50" t="e">
        <f>'Product info'!#REF!</f>
        <v>#REF!</v>
      </c>
      <c r="H265" s="50" t="e">
        <f>'Product info'!#REF!</f>
        <v>#REF!</v>
      </c>
      <c r="I265" s="50" t="e">
        <f>'Product info'!#REF!</f>
        <v>#REF!</v>
      </c>
      <c r="J265" s="51" t="e">
        <f>'Product info'!#REF!</f>
        <v>#REF!</v>
      </c>
      <c r="K265" s="52" t="e">
        <f t="shared" si="55"/>
        <v>#REF!</v>
      </c>
      <c r="L265" s="50" t="e">
        <f t="shared" si="56"/>
        <v>#REF!</v>
      </c>
      <c r="M265" s="50" t="e">
        <f t="shared" si="57"/>
        <v>#REF!</v>
      </c>
      <c r="N265" s="50" t="e">
        <f t="shared" si="58"/>
        <v>#REF!</v>
      </c>
      <c r="O265" s="50" t="e">
        <f t="shared" si="59"/>
        <v>#REF!</v>
      </c>
      <c r="P265" s="53" t="e">
        <f t="shared" si="60"/>
        <v>#REF!</v>
      </c>
      <c r="Q265" s="54" t="e">
        <f>'Product info'!#REF!</f>
        <v>#REF!</v>
      </c>
      <c r="R265" s="54" t="e">
        <f>'Product info'!#REF!</f>
        <v>#REF!</v>
      </c>
      <c r="S265" s="54" t="e">
        <f>'Product info'!#REF!</f>
        <v>#REF!</v>
      </c>
      <c r="T265" s="50" t="e">
        <f>'Product info'!#REF!</f>
        <v>#REF!</v>
      </c>
      <c r="U265" s="52" t="e">
        <f t="shared" si="61"/>
        <v>#REF!</v>
      </c>
      <c r="V265" s="50" t="e">
        <f t="shared" si="62"/>
        <v>#REF!</v>
      </c>
      <c r="W265" s="50" t="e">
        <f t="shared" si="63"/>
        <v>#REF!</v>
      </c>
      <c r="X265" s="50" t="e">
        <f t="shared" si="64"/>
        <v>#REF!</v>
      </c>
      <c r="Y265" s="50" t="e">
        <f t="shared" si="65"/>
        <v>#REF!</v>
      </c>
      <c r="Z265" t="e">
        <f t="shared" si="66"/>
        <v>#REF!</v>
      </c>
    </row>
    <row r="266" spans="1:26" x14ac:dyDescent="0.4">
      <c r="A266" t="e">
        <f>'Product info'!#REF!</f>
        <v>#REF!</v>
      </c>
      <c r="B266" t="e">
        <f>'Product info'!#REF!</f>
        <v>#REF!</v>
      </c>
      <c r="C266" t="e">
        <f>'Product info'!#REF!</f>
        <v>#REF!</v>
      </c>
      <c r="D266" s="6" t="e">
        <f>'Product info'!#REF!</f>
        <v>#REF!</v>
      </c>
      <c r="E266" t="e">
        <f t="shared" si="54"/>
        <v>#REF!</v>
      </c>
      <c r="F266" s="50" t="e">
        <f>'Product info'!#REF!</f>
        <v>#REF!</v>
      </c>
      <c r="G266" s="50" t="e">
        <f>'Product info'!#REF!</f>
        <v>#REF!</v>
      </c>
      <c r="H266" s="50" t="e">
        <f>'Product info'!#REF!</f>
        <v>#REF!</v>
      </c>
      <c r="I266" s="50" t="e">
        <f>'Product info'!#REF!</f>
        <v>#REF!</v>
      </c>
      <c r="J266" s="51" t="e">
        <f>'Product info'!#REF!</f>
        <v>#REF!</v>
      </c>
      <c r="K266" s="52" t="e">
        <f t="shared" si="55"/>
        <v>#REF!</v>
      </c>
      <c r="L266" s="50" t="e">
        <f t="shared" si="56"/>
        <v>#REF!</v>
      </c>
      <c r="M266" s="50" t="e">
        <f t="shared" si="57"/>
        <v>#REF!</v>
      </c>
      <c r="N266" s="50" t="e">
        <f t="shared" si="58"/>
        <v>#REF!</v>
      </c>
      <c r="O266" s="50" t="e">
        <f t="shared" si="59"/>
        <v>#REF!</v>
      </c>
      <c r="P266" s="53" t="e">
        <f t="shared" si="60"/>
        <v>#REF!</v>
      </c>
      <c r="Q266" s="54" t="e">
        <f>'Product info'!#REF!</f>
        <v>#REF!</v>
      </c>
      <c r="R266" s="54" t="e">
        <f>'Product info'!#REF!</f>
        <v>#REF!</v>
      </c>
      <c r="S266" s="54" t="e">
        <f>'Product info'!#REF!</f>
        <v>#REF!</v>
      </c>
      <c r="T266" s="50" t="e">
        <f>'Product info'!#REF!</f>
        <v>#REF!</v>
      </c>
      <c r="U266" s="52" t="e">
        <f t="shared" si="61"/>
        <v>#REF!</v>
      </c>
      <c r="V266" s="50" t="e">
        <f t="shared" si="62"/>
        <v>#REF!</v>
      </c>
      <c r="W266" s="50" t="e">
        <f t="shared" si="63"/>
        <v>#REF!</v>
      </c>
      <c r="X266" s="50" t="e">
        <f t="shared" si="64"/>
        <v>#REF!</v>
      </c>
      <c r="Y266" s="50" t="e">
        <f t="shared" si="65"/>
        <v>#REF!</v>
      </c>
      <c r="Z266" t="e">
        <f t="shared" si="66"/>
        <v>#REF!</v>
      </c>
    </row>
    <row r="267" spans="1:26" x14ac:dyDescent="0.4">
      <c r="A267" t="e">
        <f>'Product info'!#REF!</f>
        <v>#REF!</v>
      </c>
      <c r="B267" t="e">
        <f>'Product info'!#REF!</f>
        <v>#REF!</v>
      </c>
      <c r="C267" t="e">
        <f>'Product info'!#REF!</f>
        <v>#REF!</v>
      </c>
      <c r="D267" s="6" t="e">
        <f>'Product info'!#REF!</f>
        <v>#REF!</v>
      </c>
      <c r="E267" t="e">
        <f t="shared" si="54"/>
        <v>#REF!</v>
      </c>
      <c r="F267" s="50" t="e">
        <f>'Product info'!#REF!</f>
        <v>#REF!</v>
      </c>
      <c r="G267" s="50" t="e">
        <f>'Product info'!#REF!</f>
        <v>#REF!</v>
      </c>
      <c r="H267" s="50" t="e">
        <f>'Product info'!#REF!</f>
        <v>#REF!</v>
      </c>
      <c r="I267" s="50" t="e">
        <f>'Product info'!#REF!</f>
        <v>#REF!</v>
      </c>
      <c r="J267" s="51" t="e">
        <f>'Product info'!#REF!</f>
        <v>#REF!</v>
      </c>
      <c r="K267" s="52" t="e">
        <f t="shared" si="55"/>
        <v>#REF!</v>
      </c>
      <c r="L267" s="50" t="e">
        <f t="shared" si="56"/>
        <v>#REF!</v>
      </c>
      <c r="M267" s="50" t="e">
        <f t="shared" si="57"/>
        <v>#REF!</v>
      </c>
      <c r="N267" s="50" t="e">
        <f t="shared" si="58"/>
        <v>#REF!</v>
      </c>
      <c r="O267" s="50" t="e">
        <f t="shared" si="59"/>
        <v>#REF!</v>
      </c>
      <c r="P267" s="53" t="e">
        <f t="shared" si="60"/>
        <v>#REF!</v>
      </c>
      <c r="Q267" s="54" t="e">
        <f>'Product info'!#REF!</f>
        <v>#REF!</v>
      </c>
      <c r="R267" s="54" t="e">
        <f>'Product info'!#REF!</f>
        <v>#REF!</v>
      </c>
      <c r="S267" s="54" t="e">
        <f>'Product info'!#REF!</f>
        <v>#REF!</v>
      </c>
      <c r="T267" s="50" t="e">
        <f>'Product info'!#REF!</f>
        <v>#REF!</v>
      </c>
      <c r="U267" s="52" t="e">
        <f t="shared" si="61"/>
        <v>#REF!</v>
      </c>
      <c r="V267" s="50" t="e">
        <f t="shared" si="62"/>
        <v>#REF!</v>
      </c>
      <c r="W267" s="50" t="e">
        <f t="shared" si="63"/>
        <v>#REF!</v>
      </c>
      <c r="X267" s="50" t="e">
        <f t="shared" si="64"/>
        <v>#REF!</v>
      </c>
      <c r="Y267" s="50" t="e">
        <f t="shared" si="65"/>
        <v>#REF!</v>
      </c>
      <c r="Z267" t="e">
        <f t="shared" si="66"/>
        <v>#REF!</v>
      </c>
    </row>
    <row r="268" spans="1:26" x14ac:dyDescent="0.4">
      <c r="A268" t="e">
        <f>'Product info'!#REF!</f>
        <v>#REF!</v>
      </c>
      <c r="B268" t="e">
        <f>'Product info'!#REF!</f>
        <v>#REF!</v>
      </c>
      <c r="C268" t="e">
        <f>'Product info'!#REF!</f>
        <v>#REF!</v>
      </c>
      <c r="D268" s="6" t="e">
        <f>'Product info'!#REF!</f>
        <v>#REF!</v>
      </c>
      <c r="E268" t="e">
        <f t="shared" si="54"/>
        <v>#REF!</v>
      </c>
      <c r="F268" s="50" t="e">
        <f>'Product info'!#REF!</f>
        <v>#REF!</v>
      </c>
      <c r="G268" s="50" t="e">
        <f>'Product info'!#REF!</f>
        <v>#REF!</v>
      </c>
      <c r="H268" s="50" t="e">
        <f>'Product info'!#REF!</f>
        <v>#REF!</v>
      </c>
      <c r="I268" s="50" t="e">
        <f>'Product info'!#REF!</f>
        <v>#REF!</v>
      </c>
      <c r="J268" s="51" t="e">
        <f>'Product info'!#REF!</f>
        <v>#REF!</v>
      </c>
      <c r="K268" s="52" t="e">
        <f t="shared" si="55"/>
        <v>#REF!</v>
      </c>
      <c r="L268" s="50" t="e">
        <f t="shared" si="56"/>
        <v>#REF!</v>
      </c>
      <c r="M268" s="50" t="e">
        <f t="shared" si="57"/>
        <v>#REF!</v>
      </c>
      <c r="N268" s="50" t="e">
        <f t="shared" si="58"/>
        <v>#REF!</v>
      </c>
      <c r="O268" s="50" t="e">
        <f t="shared" si="59"/>
        <v>#REF!</v>
      </c>
      <c r="P268" s="53" t="e">
        <f t="shared" si="60"/>
        <v>#REF!</v>
      </c>
      <c r="Q268" s="54" t="e">
        <f>'Product info'!#REF!</f>
        <v>#REF!</v>
      </c>
      <c r="R268" s="54" t="e">
        <f>'Product info'!#REF!</f>
        <v>#REF!</v>
      </c>
      <c r="S268" s="54" t="e">
        <f>'Product info'!#REF!</f>
        <v>#REF!</v>
      </c>
      <c r="T268" s="50" t="e">
        <f>'Product info'!#REF!</f>
        <v>#REF!</v>
      </c>
      <c r="U268" s="52" t="e">
        <f t="shared" si="61"/>
        <v>#REF!</v>
      </c>
      <c r="V268" s="50" t="e">
        <f t="shared" si="62"/>
        <v>#REF!</v>
      </c>
      <c r="W268" s="50" t="e">
        <f t="shared" si="63"/>
        <v>#REF!</v>
      </c>
      <c r="X268" s="50" t="e">
        <f t="shared" si="64"/>
        <v>#REF!</v>
      </c>
      <c r="Y268" s="50" t="e">
        <f t="shared" si="65"/>
        <v>#REF!</v>
      </c>
      <c r="Z268" t="e">
        <f t="shared" si="66"/>
        <v>#REF!</v>
      </c>
    </row>
    <row r="269" spans="1:26" x14ac:dyDescent="0.4">
      <c r="A269" t="e">
        <f>'Product info'!#REF!</f>
        <v>#REF!</v>
      </c>
      <c r="B269" t="e">
        <f>'Product info'!#REF!</f>
        <v>#REF!</v>
      </c>
      <c r="C269" t="e">
        <f>'Product info'!#REF!</f>
        <v>#REF!</v>
      </c>
      <c r="D269" s="6" t="e">
        <f>'Product info'!#REF!</f>
        <v>#REF!</v>
      </c>
      <c r="E269" t="e">
        <f t="shared" si="54"/>
        <v>#REF!</v>
      </c>
      <c r="F269" s="50" t="e">
        <f>'Product info'!#REF!</f>
        <v>#REF!</v>
      </c>
      <c r="G269" s="50" t="e">
        <f>'Product info'!#REF!</f>
        <v>#REF!</v>
      </c>
      <c r="H269" s="50" t="e">
        <f>'Product info'!#REF!</f>
        <v>#REF!</v>
      </c>
      <c r="I269" s="50" t="e">
        <f>'Product info'!#REF!</f>
        <v>#REF!</v>
      </c>
      <c r="J269" s="51" t="e">
        <f>'Product info'!#REF!</f>
        <v>#REF!</v>
      </c>
      <c r="K269" s="52" t="e">
        <f t="shared" si="55"/>
        <v>#REF!</v>
      </c>
      <c r="L269" s="50" t="e">
        <f t="shared" si="56"/>
        <v>#REF!</v>
      </c>
      <c r="M269" s="50" t="e">
        <f t="shared" si="57"/>
        <v>#REF!</v>
      </c>
      <c r="N269" s="50" t="e">
        <f t="shared" si="58"/>
        <v>#REF!</v>
      </c>
      <c r="O269" s="50" t="e">
        <f t="shared" si="59"/>
        <v>#REF!</v>
      </c>
      <c r="P269" s="53" t="e">
        <f t="shared" si="60"/>
        <v>#REF!</v>
      </c>
      <c r="Q269" s="54" t="e">
        <f>'Product info'!#REF!</f>
        <v>#REF!</v>
      </c>
      <c r="R269" s="54" t="e">
        <f>'Product info'!#REF!</f>
        <v>#REF!</v>
      </c>
      <c r="S269" s="54" t="e">
        <f>'Product info'!#REF!</f>
        <v>#REF!</v>
      </c>
      <c r="T269" s="50" t="e">
        <f>'Product info'!#REF!</f>
        <v>#REF!</v>
      </c>
      <c r="U269" s="52" t="e">
        <f t="shared" si="61"/>
        <v>#REF!</v>
      </c>
      <c r="V269" s="50" t="e">
        <f t="shared" si="62"/>
        <v>#REF!</v>
      </c>
      <c r="W269" s="50" t="e">
        <f t="shared" si="63"/>
        <v>#REF!</v>
      </c>
      <c r="X269" s="50" t="e">
        <f t="shared" si="64"/>
        <v>#REF!</v>
      </c>
      <c r="Y269" s="50" t="e">
        <f t="shared" si="65"/>
        <v>#REF!</v>
      </c>
      <c r="Z269" t="e">
        <f t="shared" si="66"/>
        <v>#REF!</v>
      </c>
    </row>
    <row r="270" spans="1:26" x14ac:dyDescent="0.4">
      <c r="A270" t="e">
        <f>'Product info'!#REF!</f>
        <v>#REF!</v>
      </c>
      <c r="B270" t="e">
        <f>'Product info'!#REF!</f>
        <v>#REF!</v>
      </c>
      <c r="C270" t="e">
        <f>'Product info'!#REF!</f>
        <v>#REF!</v>
      </c>
      <c r="D270" s="6" t="e">
        <f>'Product info'!#REF!</f>
        <v>#REF!</v>
      </c>
      <c r="E270" t="e">
        <f t="shared" si="54"/>
        <v>#REF!</v>
      </c>
      <c r="F270" s="50" t="e">
        <f>'Product info'!#REF!</f>
        <v>#REF!</v>
      </c>
      <c r="G270" s="50" t="e">
        <f>'Product info'!#REF!</f>
        <v>#REF!</v>
      </c>
      <c r="H270" s="50" t="e">
        <f>'Product info'!#REF!</f>
        <v>#REF!</v>
      </c>
      <c r="I270" s="50" t="e">
        <f>'Product info'!#REF!</f>
        <v>#REF!</v>
      </c>
      <c r="J270" s="51" t="e">
        <f>'Product info'!#REF!</f>
        <v>#REF!</v>
      </c>
      <c r="K270" s="52" t="e">
        <f t="shared" si="55"/>
        <v>#REF!</v>
      </c>
      <c r="L270" s="50" t="e">
        <f t="shared" si="56"/>
        <v>#REF!</v>
      </c>
      <c r="M270" s="50" t="e">
        <f t="shared" si="57"/>
        <v>#REF!</v>
      </c>
      <c r="N270" s="50" t="e">
        <f t="shared" si="58"/>
        <v>#REF!</v>
      </c>
      <c r="O270" s="50" t="e">
        <f t="shared" si="59"/>
        <v>#REF!</v>
      </c>
      <c r="P270" s="53" t="e">
        <f t="shared" si="60"/>
        <v>#REF!</v>
      </c>
      <c r="Q270" s="54" t="e">
        <f>'Product info'!#REF!</f>
        <v>#REF!</v>
      </c>
      <c r="R270" s="54" t="e">
        <f>'Product info'!#REF!</f>
        <v>#REF!</v>
      </c>
      <c r="S270" s="54" t="e">
        <f>'Product info'!#REF!</f>
        <v>#REF!</v>
      </c>
      <c r="T270" s="50" t="e">
        <f>'Product info'!#REF!</f>
        <v>#REF!</v>
      </c>
      <c r="U270" s="52" t="e">
        <f t="shared" si="61"/>
        <v>#REF!</v>
      </c>
      <c r="V270" s="50" t="e">
        <f t="shared" si="62"/>
        <v>#REF!</v>
      </c>
      <c r="W270" s="50" t="e">
        <f t="shared" si="63"/>
        <v>#REF!</v>
      </c>
      <c r="X270" s="50" t="e">
        <f t="shared" si="64"/>
        <v>#REF!</v>
      </c>
      <c r="Y270" s="50" t="e">
        <f t="shared" si="65"/>
        <v>#REF!</v>
      </c>
      <c r="Z270" t="e">
        <f t="shared" si="66"/>
        <v>#REF!</v>
      </c>
    </row>
    <row r="271" spans="1:26" x14ac:dyDescent="0.4">
      <c r="A271" t="e">
        <f>'Product info'!#REF!</f>
        <v>#REF!</v>
      </c>
      <c r="B271" t="e">
        <f>'Product info'!#REF!</f>
        <v>#REF!</v>
      </c>
      <c r="C271" t="e">
        <f>'Product info'!#REF!</f>
        <v>#REF!</v>
      </c>
      <c r="D271" s="6" t="e">
        <f>'Product info'!#REF!</f>
        <v>#REF!</v>
      </c>
      <c r="E271" t="e">
        <f t="shared" si="54"/>
        <v>#REF!</v>
      </c>
      <c r="F271" s="50" t="e">
        <f>'Product info'!#REF!</f>
        <v>#REF!</v>
      </c>
      <c r="G271" s="50" t="e">
        <f>'Product info'!#REF!</f>
        <v>#REF!</v>
      </c>
      <c r="H271" s="50" t="e">
        <f>'Product info'!#REF!</f>
        <v>#REF!</v>
      </c>
      <c r="I271" s="50" t="e">
        <f>'Product info'!#REF!</f>
        <v>#REF!</v>
      </c>
      <c r="J271" s="51" t="e">
        <f>'Product info'!#REF!</f>
        <v>#REF!</v>
      </c>
      <c r="K271" s="52" t="e">
        <f t="shared" si="55"/>
        <v>#REF!</v>
      </c>
      <c r="L271" s="50" t="e">
        <f t="shared" si="56"/>
        <v>#REF!</v>
      </c>
      <c r="M271" s="50" t="e">
        <f t="shared" si="57"/>
        <v>#REF!</v>
      </c>
      <c r="N271" s="50" t="e">
        <f t="shared" si="58"/>
        <v>#REF!</v>
      </c>
      <c r="O271" s="50" t="e">
        <f t="shared" si="59"/>
        <v>#REF!</v>
      </c>
      <c r="P271" s="53" t="e">
        <f t="shared" si="60"/>
        <v>#REF!</v>
      </c>
      <c r="Q271" s="54" t="e">
        <f>'Product info'!#REF!</f>
        <v>#REF!</v>
      </c>
      <c r="R271" s="54" t="e">
        <f>'Product info'!#REF!</f>
        <v>#REF!</v>
      </c>
      <c r="S271" s="54" t="e">
        <f>'Product info'!#REF!</f>
        <v>#REF!</v>
      </c>
      <c r="T271" s="50" t="e">
        <f>'Product info'!#REF!</f>
        <v>#REF!</v>
      </c>
      <c r="U271" s="52" t="e">
        <f t="shared" si="61"/>
        <v>#REF!</v>
      </c>
      <c r="V271" s="50" t="e">
        <f t="shared" si="62"/>
        <v>#REF!</v>
      </c>
      <c r="W271" s="50" t="e">
        <f t="shared" si="63"/>
        <v>#REF!</v>
      </c>
      <c r="X271" s="50" t="e">
        <f t="shared" si="64"/>
        <v>#REF!</v>
      </c>
      <c r="Y271" s="50" t="e">
        <f t="shared" si="65"/>
        <v>#REF!</v>
      </c>
      <c r="Z271" t="e">
        <f t="shared" si="66"/>
        <v>#REF!</v>
      </c>
    </row>
    <row r="272" spans="1:26" x14ac:dyDescent="0.4">
      <c r="A272" t="e">
        <f>'Product info'!#REF!</f>
        <v>#REF!</v>
      </c>
      <c r="B272" t="e">
        <f>'Product info'!#REF!</f>
        <v>#REF!</v>
      </c>
      <c r="C272" t="e">
        <f>'Product info'!#REF!</f>
        <v>#REF!</v>
      </c>
      <c r="D272" s="6" t="e">
        <f>'Product info'!#REF!</f>
        <v>#REF!</v>
      </c>
      <c r="E272" t="e">
        <f t="shared" si="54"/>
        <v>#REF!</v>
      </c>
      <c r="F272" s="50" t="e">
        <f>'Product info'!#REF!</f>
        <v>#REF!</v>
      </c>
      <c r="G272" s="50" t="e">
        <f>'Product info'!#REF!</f>
        <v>#REF!</v>
      </c>
      <c r="H272" s="50" t="e">
        <f>'Product info'!#REF!</f>
        <v>#REF!</v>
      </c>
      <c r="I272" s="50" t="e">
        <f>'Product info'!#REF!</f>
        <v>#REF!</v>
      </c>
      <c r="J272" s="51" t="e">
        <f>'Product info'!#REF!</f>
        <v>#REF!</v>
      </c>
      <c r="K272" s="52" t="e">
        <f t="shared" si="55"/>
        <v>#REF!</v>
      </c>
      <c r="L272" s="50" t="e">
        <f t="shared" si="56"/>
        <v>#REF!</v>
      </c>
      <c r="M272" s="50" t="e">
        <f t="shared" si="57"/>
        <v>#REF!</v>
      </c>
      <c r="N272" s="50" t="e">
        <f t="shared" si="58"/>
        <v>#REF!</v>
      </c>
      <c r="O272" s="50" t="e">
        <f t="shared" si="59"/>
        <v>#REF!</v>
      </c>
      <c r="P272" s="53" t="e">
        <f t="shared" si="60"/>
        <v>#REF!</v>
      </c>
      <c r="Q272" s="54" t="e">
        <f>'Product info'!#REF!</f>
        <v>#REF!</v>
      </c>
      <c r="R272" s="54" t="e">
        <f>'Product info'!#REF!</f>
        <v>#REF!</v>
      </c>
      <c r="S272" s="54" t="e">
        <f>'Product info'!#REF!</f>
        <v>#REF!</v>
      </c>
      <c r="T272" s="50" t="e">
        <f>'Product info'!#REF!</f>
        <v>#REF!</v>
      </c>
      <c r="U272" s="52" t="e">
        <f t="shared" si="61"/>
        <v>#REF!</v>
      </c>
      <c r="V272" s="50" t="e">
        <f t="shared" si="62"/>
        <v>#REF!</v>
      </c>
      <c r="W272" s="50" t="e">
        <f t="shared" si="63"/>
        <v>#REF!</v>
      </c>
      <c r="X272" s="50" t="e">
        <f t="shared" si="64"/>
        <v>#REF!</v>
      </c>
      <c r="Y272" s="50" t="e">
        <f t="shared" si="65"/>
        <v>#REF!</v>
      </c>
      <c r="Z272" t="e">
        <f t="shared" si="66"/>
        <v>#REF!</v>
      </c>
    </row>
    <row r="273" spans="1:26" x14ac:dyDescent="0.4">
      <c r="A273" t="e">
        <f>'Product info'!#REF!</f>
        <v>#REF!</v>
      </c>
      <c r="B273" t="e">
        <f>'Product info'!#REF!</f>
        <v>#REF!</v>
      </c>
      <c r="C273" t="e">
        <f>'Product info'!#REF!</f>
        <v>#REF!</v>
      </c>
      <c r="D273" s="6" t="e">
        <f>'Product info'!#REF!</f>
        <v>#REF!</v>
      </c>
      <c r="E273" t="e">
        <f t="shared" si="54"/>
        <v>#REF!</v>
      </c>
      <c r="F273" s="50" t="e">
        <f>'Product info'!#REF!</f>
        <v>#REF!</v>
      </c>
      <c r="G273" s="50" t="e">
        <f>'Product info'!#REF!</f>
        <v>#REF!</v>
      </c>
      <c r="H273" s="50" t="e">
        <f>'Product info'!#REF!</f>
        <v>#REF!</v>
      </c>
      <c r="I273" s="50" t="e">
        <f>'Product info'!#REF!</f>
        <v>#REF!</v>
      </c>
      <c r="J273" s="51" t="e">
        <f>'Product info'!#REF!</f>
        <v>#REF!</v>
      </c>
      <c r="K273" s="52" t="e">
        <f t="shared" si="55"/>
        <v>#REF!</v>
      </c>
      <c r="L273" s="50" t="e">
        <f t="shared" si="56"/>
        <v>#REF!</v>
      </c>
      <c r="M273" s="50" t="e">
        <f t="shared" si="57"/>
        <v>#REF!</v>
      </c>
      <c r="N273" s="50" t="e">
        <f t="shared" si="58"/>
        <v>#REF!</v>
      </c>
      <c r="O273" s="50" t="e">
        <f t="shared" si="59"/>
        <v>#REF!</v>
      </c>
      <c r="P273" s="53" t="e">
        <f t="shared" si="60"/>
        <v>#REF!</v>
      </c>
      <c r="Q273" s="54" t="e">
        <f>'Product info'!#REF!</f>
        <v>#REF!</v>
      </c>
      <c r="R273" s="54" t="e">
        <f>'Product info'!#REF!</f>
        <v>#REF!</v>
      </c>
      <c r="S273" s="54" t="e">
        <f>'Product info'!#REF!</f>
        <v>#REF!</v>
      </c>
      <c r="T273" s="50" t="e">
        <f>'Product info'!#REF!</f>
        <v>#REF!</v>
      </c>
      <c r="U273" s="52" t="e">
        <f t="shared" si="61"/>
        <v>#REF!</v>
      </c>
      <c r="V273" s="50" t="e">
        <f t="shared" si="62"/>
        <v>#REF!</v>
      </c>
      <c r="W273" s="50" t="e">
        <f t="shared" si="63"/>
        <v>#REF!</v>
      </c>
      <c r="X273" s="50" t="e">
        <f t="shared" si="64"/>
        <v>#REF!</v>
      </c>
      <c r="Y273" s="50" t="e">
        <f t="shared" si="65"/>
        <v>#REF!</v>
      </c>
      <c r="Z273" t="e">
        <f t="shared" si="66"/>
        <v>#REF!</v>
      </c>
    </row>
    <row r="274" spans="1:26" x14ac:dyDescent="0.4">
      <c r="A274" t="e">
        <f>'Product info'!#REF!</f>
        <v>#REF!</v>
      </c>
      <c r="B274" t="e">
        <f>'Product info'!#REF!</f>
        <v>#REF!</v>
      </c>
      <c r="C274" t="e">
        <f>'Product info'!#REF!</f>
        <v>#REF!</v>
      </c>
      <c r="D274" s="6" t="e">
        <f>'Product info'!#REF!</f>
        <v>#REF!</v>
      </c>
      <c r="E274" t="e">
        <f t="shared" si="54"/>
        <v>#REF!</v>
      </c>
      <c r="F274" s="50" t="e">
        <f>'Product info'!#REF!</f>
        <v>#REF!</v>
      </c>
      <c r="G274" s="50" t="e">
        <f>'Product info'!#REF!</f>
        <v>#REF!</v>
      </c>
      <c r="H274" s="50" t="e">
        <f>'Product info'!#REF!</f>
        <v>#REF!</v>
      </c>
      <c r="I274" s="50" t="e">
        <f>'Product info'!#REF!</f>
        <v>#REF!</v>
      </c>
      <c r="J274" s="51" t="e">
        <f>'Product info'!#REF!</f>
        <v>#REF!</v>
      </c>
      <c r="K274" s="52" t="e">
        <f t="shared" si="55"/>
        <v>#REF!</v>
      </c>
      <c r="L274" s="50" t="e">
        <f t="shared" si="56"/>
        <v>#REF!</v>
      </c>
      <c r="M274" s="50" t="e">
        <f t="shared" si="57"/>
        <v>#REF!</v>
      </c>
      <c r="N274" s="50" t="e">
        <f t="shared" si="58"/>
        <v>#REF!</v>
      </c>
      <c r="O274" s="50" t="e">
        <f t="shared" si="59"/>
        <v>#REF!</v>
      </c>
      <c r="P274" s="53" t="e">
        <f t="shared" si="60"/>
        <v>#REF!</v>
      </c>
      <c r="Q274" s="54" t="e">
        <f>'Product info'!#REF!</f>
        <v>#REF!</v>
      </c>
      <c r="R274" s="54" t="e">
        <f>'Product info'!#REF!</f>
        <v>#REF!</v>
      </c>
      <c r="S274" s="54" t="e">
        <f>'Product info'!#REF!</f>
        <v>#REF!</v>
      </c>
      <c r="T274" s="50" t="e">
        <f>'Product info'!#REF!</f>
        <v>#REF!</v>
      </c>
      <c r="U274" s="52" t="e">
        <f t="shared" si="61"/>
        <v>#REF!</v>
      </c>
      <c r="V274" s="50" t="e">
        <f t="shared" si="62"/>
        <v>#REF!</v>
      </c>
      <c r="W274" s="50" t="e">
        <f t="shared" si="63"/>
        <v>#REF!</v>
      </c>
      <c r="X274" s="50" t="e">
        <f t="shared" si="64"/>
        <v>#REF!</v>
      </c>
      <c r="Y274" s="50" t="e">
        <f t="shared" si="65"/>
        <v>#REF!</v>
      </c>
      <c r="Z274" t="e">
        <f t="shared" si="66"/>
        <v>#REF!</v>
      </c>
    </row>
    <row r="275" spans="1:26" x14ac:dyDescent="0.4">
      <c r="A275" t="e">
        <f>'Product info'!#REF!</f>
        <v>#REF!</v>
      </c>
      <c r="B275" t="e">
        <f>'Product info'!#REF!</f>
        <v>#REF!</v>
      </c>
      <c r="C275" t="e">
        <f>'Product info'!#REF!</f>
        <v>#REF!</v>
      </c>
      <c r="D275" s="6" t="e">
        <f>'Product info'!#REF!</f>
        <v>#REF!</v>
      </c>
      <c r="E275" t="e">
        <f t="shared" si="54"/>
        <v>#REF!</v>
      </c>
      <c r="F275" s="50" t="e">
        <f>'Product info'!#REF!</f>
        <v>#REF!</v>
      </c>
      <c r="G275" s="50" t="e">
        <f>'Product info'!#REF!</f>
        <v>#REF!</v>
      </c>
      <c r="H275" s="50" t="e">
        <f>'Product info'!#REF!</f>
        <v>#REF!</v>
      </c>
      <c r="I275" s="50" t="e">
        <f>'Product info'!#REF!</f>
        <v>#REF!</v>
      </c>
      <c r="J275" s="51" t="e">
        <f>'Product info'!#REF!</f>
        <v>#REF!</v>
      </c>
      <c r="K275" s="52" t="e">
        <f t="shared" si="55"/>
        <v>#REF!</v>
      </c>
      <c r="L275" s="50" t="e">
        <f t="shared" si="56"/>
        <v>#REF!</v>
      </c>
      <c r="M275" s="50" t="e">
        <f t="shared" si="57"/>
        <v>#REF!</v>
      </c>
      <c r="N275" s="50" t="e">
        <f t="shared" si="58"/>
        <v>#REF!</v>
      </c>
      <c r="O275" s="50" t="e">
        <f t="shared" si="59"/>
        <v>#REF!</v>
      </c>
      <c r="P275" s="53" t="e">
        <f t="shared" si="60"/>
        <v>#REF!</v>
      </c>
      <c r="Q275" s="54" t="e">
        <f>'Product info'!#REF!</f>
        <v>#REF!</v>
      </c>
      <c r="R275" s="54" t="e">
        <f>'Product info'!#REF!</f>
        <v>#REF!</v>
      </c>
      <c r="S275" s="54" t="e">
        <f>'Product info'!#REF!</f>
        <v>#REF!</v>
      </c>
      <c r="T275" s="50" t="e">
        <f>'Product info'!#REF!</f>
        <v>#REF!</v>
      </c>
      <c r="U275" s="52" t="e">
        <f t="shared" si="61"/>
        <v>#REF!</v>
      </c>
      <c r="V275" s="50" t="e">
        <f t="shared" si="62"/>
        <v>#REF!</v>
      </c>
      <c r="W275" s="50" t="e">
        <f t="shared" si="63"/>
        <v>#REF!</v>
      </c>
      <c r="X275" s="50" t="e">
        <f t="shared" si="64"/>
        <v>#REF!</v>
      </c>
      <c r="Y275" s="50" t="e">
        <f t="shared" si="65"/>
        <v>#REF!</v>
      </c>
      <c r="Z275" t="e">
        <f t="shared" si="66"/>
        <v>#REF!</v>
      </c>
    </row>
    <row r="276" spans="1:26" x14ac:dyDescent="0.4">
      <c r="A276" t="e">
        <f>'Product info'!#REF!</f>
        <v>#REF!</v>
      </c>
      <c r="B276" t="e">
        <f>'Product info'!#REF!</f>
        <v>#REF!</v>
      </c>
      <c r="C276" t="e">
        <f>'Product info'!#REF!</f>
        <v>#REF!</v>
      </c>
      <c r="D276" s="6" t="e">
        <f>'Product info'!#REF!</f>
        <v>#REF!</v>
      </c>
      <c r="E276" t="e">
        <f t="shared" si="54"/>
        <v>#REF!</v>
      </c>
      <c r="F276" s="50" t="e">
        <f>'Product info'!#REF!</f>
        <v>#REF!</v>
      </c>
      <c r="G276" s="50" t="e">
        <f>'Product info'!#REF!</f>
        <v>#REF!</v>
      </c>
      <c r="H276" s="50" t="e">
        <f>'Product info'!#REF!</f>
        <v>#REF!</v>
      </c>
      <c r="I276" s="50" t="e">
        <f>'Product info'!#REF!</f>
        <v>#REF!</v>
      </c>
      <c r="J276" s="51" t="e">
        <f>'Product info'!#REF!</f>
        <v>#REF!</v>
      </c>
      <c r="K276" s="52" t="e">
        <f t="shared" si="55"/>
        <v>#REF!</v>
      </c>
      <c r="L276" s="50" t="e">
        <f t="shared" si="56"/>
        <v>#REF!</v>
      </c>
      <c r="M276" s="50" t="e">
        <f t="shared" si="57"/>
        <v>#REF!</v>
      </c>
      <c r="N276" s="50" t="e">
        <f t="shared" si="58"/>
        <v>#REF!</v>
      </c>
      <c r="O276" s="50" t="e">
        <f t="shared" si="59"/>
        <v>#REF!</v>
      </c>
      <c r="P276" s="53" t="e">
        <f t="shared" si="60"/>
        <v>#REF!</v>
      </c>
      <c r="Q276" s="54" t="e">
        <f>'Product info'!#REF!</f>
        <v>#REF!</v>
      </c>
      <c r="R276" s="54" t="e">
        <f>'Product info'!#REF!</f>
        <v>#REF!</v>
      </c>
      <c r="S276" s="54" t="e">
        <f>'Product info'!#REF!</f>
        <v>#REF!</v>
      </c>
      <c r="T276" s="50" t="e">
        <f>'Product info'!#REF!</f>
        <v>#REF!</v>
      </c>
      <c r="U276" s="52" t="e">
        <f t="shared" si="61"/>
        <v>#REF!</v>
      </c>
      <c r="V276" s="50" t="e">
        <f t="shared" si="62"/>
        <v>#REF!</v>
      </c>
      <c r="W276" s="50" t="e">
        <f t="shared" si="63"/>
        <v>#REF!</v>
      </c>
      <c r="X276" s="50" t="e">
        <f t="shared" si="64"/>
        <v>#REF!</v>
      </c>
      <c r="Y276" s="50" t="e">
        <f t="shared" si="65"/>
        <v>#REF!</v>
      </c>
      <c r="Z276" t="e">
        <f t="shared" si="66"/>
        <v>#REF!</v>
      </c>
    </row>
    <row r="277" spans="1:26" x14ac:dyDescent="0.4">
      <c r="A277" t="e">
        <f>'Product info'!#REF!</f>
        <v>#REF!</v>
      </c>
      <c r="B277" t="e">
        <f>'Product info'!#REF!</f>
        <v>#REF!</v>
      </c>
      <c r="C277" t="e">
        <f>'Product info'!#REF!</f>
        <v>#REF!</v>
      </c>
      <c r="D277" s="6" t="e">
        <f>'Product info'!#REF!</f>
        <v>#REF!</v>
      </c>
      <c r="E277" t="e">
        <f t="shared" si="54"/>
        <v>#REF!</v>
      </c>
      <c r="F277" s="50" t="e">
        <f>'Product info'!#REF!</f>
        <v>#REF!</v>
      </c>
      <c r="G277" s="50" t="e">
        <f>'Product info'!#REF!</f>
        <v>#REF!</v>
      </c>
      <c r="H277" s="50" t="e">
        <f>'Product info'!#REF!</f>
        <v>#REF!</v>
      </c>
      <c r="I277" s="50" t="e">
        <f>'Product info'!#REF!</f>
        <v>#REF!</v>
      </c>
      <c r="J277" s="51" t="e">
        <f>'Product info'!#REF!</f>
        <v>#REF!</v>
      </c>
      <c r="K277" s="52" t="e">
        <f t="shared" si="55"/>
        <v>#REF!</v>
      </c>
      <c r="L277" s="50" t="e">
        <f t="shared" si="56"/>
        <v>#REF!</v>
      </c>
      <c r="M277" s="50" t="e">
        <f t="shared" si="57"/>
        <v>#REF!</v>
      </c>
      <c r="N277" s="50" t="e">
        <f t="shared" si="58"/>
        <v>#REF!</v>
      </c>
      <c r="O277" s="50" t="e">
        <f t="shared" si="59"/>
        <v>#REF!</v>
      </c>
      <c r="P277" s="53" t="e">
        <f t="shared" si="60"/>
        <v>#REF!</v>
      </c>
      <c r="Q277" s="54" t="e">
        <f>'Product info'!#REF!</f>
        <v>#REF!</v>
      </c>
      <c r="R277" s="54" t="e">
        <f>'Product info'!#REF!</f>
        <v>#REF!</v>
      </c>
      <c r="S277" s="54" t="e">
        <f>'Product info'!#REF!</f>
        <v>#REF!</v>
      </c>
      <c r="T277" s="50" t="e">
        <f>'Product info'!#REF!</f>
        <v>#REF!</v>
      </c>
      <c r="U277" s="52" t="e">
        <f t="shared" si="61"/>
        <v>#REF!</v>
      </c>
      <c r="V277" s="50" t="e">
        <f t="shared" si="62"/>
        <v>#REF!</v>
      </c>
      <c r="W277" s="50" t="e">
        <f t="shared" si="63"/>
        <v>#REF!</v>
      </c>
      <c r="X277" s="50" t="e">
        <f t="shared" si="64"/>
        <v>#REF!</v>
      </c>
      <c r="Y277" s="50" t="e">
        <f t="shared" si="65"/>
        <v>#REF!</v>
      </c>
      <c r="Z277" t="e">
        <f t="shared" si="66"/>
        <v>#REF!</v>
      </c>
    </row>
    <row r="278" spans="1:26" x14ac:dyDescent="0.4">
      <c r="A278" t="e">
        <f>'Product info'!#REF!</f>
        <v>#REF!</v>
      </c>
      <c r="B278" t="e">
        <f>'Product info'!#REF!</f>
        <v>#REF!</v>
      </c>
      <c r="C278" t="e">
        <f>'Product info'!#REF!</f>
        <v>#REF!</v>
      </c>
      <c r="D278" s="6" t="e">
        <f>'Product info'!#REF!</f>
        <v>#REF!</v>
      </c>
      <c r="E278" t="e">
        <f t="shared" si="54"/>
        <v>#REF!</v>
      </c>
      <c r="F278" s="50" t="e">
        <f>'Product info'!#REF!</f>
        <v>#REF!</v>
      </c>
      <c r="G278" s="50" t="e">
        <f>'Product info'!#REF!</f>
        <v>#REF!</v>
      </c>
      <c r="H278" s="50" t="e">
        <f>'Product info'!#REF!</f>
        <v>#REF!</v>
      </c>
      <c r="I278" s="50" t="e">
        <f>'Product info'!#REF!</f>
        <v>#REF!</v>
      </c>
      <c r="J278" s="51" t="e">
        <f>'Product info'!#REF!</f>
        <v>#REF!</v>
      </c>
      <c r="K278" s="52" t="e">
        <f t="shared" si="55"/>
        <v>#REF!</v>
      </c>
      <c r="L278" s="50" t="e">
        <f t="shared" si="56"/>
        <v>#REF!</v>
      </c>
      <c r="M278" s="50" t="e">
        <f t="shared" si="57"/>
        <v>#REF!</v>
      </c>
      <c r="N278" s="50" t="e">
        <f t="shared" si="58"/>
        <v>#REF!</v>
      </c>
      <c r="O278" s="50" t="e">
        <f t="shared" si="59"/>
        <v>#REF!</v>
      </c>
      <c r="P278" s="53" t="e">
        <f t="shared" si="60"/>
        <v>#REF!</v>
      </c>
      <c r="Q278" s="54" t="e">
        <f>'Product info'!#REF!</f>
        <v>#REF!</v>
      </c>
      <c r="R278" s="54" t="e">
        <f>'Product info'!#REF!</f>
        <v>#REF!</v>
      </c>
      <c r="S278" s="54" t="e">
        <f>'Product info'!#REF!</f>
        <v>#REF!</v>
      </c>
      <c r="T278" s="50" t="e">
        <f>'Product info'!#REF!</f>
        <v>#REF!</v>
      </c>
      <c r="U278" s="52" t="e">
        <f t="shared" si="61"/>
        <v>#REF!</v>
      </c>
      <c r="V278" s="50" t="e">
        <f t="shared" si="62"/>
        <v>#REF!</v>
      </c>
      <c r="W278" s="50" t="e">
        <f t="shared" si="63"/>
        <v>#REF!</v>
      </c>
      <c r="X278" s="50" t="e">
        <f t="shared" si="64"/>
        <v>#REF!</v>
      </c>
      <c r="Y278" s="50" t="e">
        <f t="shared" si="65"/>
        <v>#REF!</v>
      </c>
      <c r="Z278" t="e">
        <f t="shared" si="66"/>
        <v>#REF!</v>
      </c>
    </row>
    <row r="279" spans="1:26" x14ac:dyDescent="0.4">
      <c r="A279" t="e">
        <f>'Product info'!#REF!</f>
        <v>#REF!</v>
      </c>
      <c r="B279" t="e">
        <f>'Product info'!#REF!</f>
        <v>#REF!</v>
      </c>
      <c r="C279" t="e">
        <f>'Product info'!#REF!</f>
        <v>#REF!</v>
      </c>
      <c r="D279" s="6" t="e">
        <f>'Product info'!#REF!</f>
        <v>#REF!</v>
      </c>
      <c r="E279" t="e">
        <f t="shared" si="54"/>
        <v>#REF!</v>
      </c>
      <c r="F279" s="50" t="e">
        <f>'Product info'!#REF!</f>
        <v>#REF!</v>
      </c>
      <c r="G279" s="50" t="e">
        <f>'Product info'!#REF!</f>
        <v>#REF!</v>
      </c>
      <c r="H279" s="50" t="e">
        <f>'Product info'!#REF!</f>
        <v>#REF!</v>
      </c>
      <c r="I279" s="50" t="e">
        <f>'Product info'!#REF!</f>
        <v>#REF!</v>
      </c>
      <c r="J279" s="51" t="e">
        <f>'Product info'!#REF!</f>
        <v>#REF!</v>
      </c>
      <c r="K279" s="52" t="e">
        <f t="shared" si="55"/>
        <v>#REF!</v>
      </c>
      <c r="L279" s="50" t="e">
        <f t="shared" si="56"/>
        <v>#REF!</v>
      </c>
      <c r="M279" s="50" t="e">
        <f t="shared" si="57"/>
        <v>#REF!</v>
      </c>
      <c r="N279" s="50" t="e">
        <f t="shared" si="58"/>
        <v>#REF!</v>
      </c>
      <c r="O279" s="50" t="e">
        <f t="shared" si="59"/>
        <v>#REF!</v>
      </c>
      <c r="P279" s="53" t="e">
        <f t="shared" si="60"/>
        <v>#REF!</v>
      </c>
      <c r="Q279" s="54" t="e">
        <f>'Product info'!#REF!</f>
        <v>#REF!</v>
      </c>
      <c r="R279" s="54" t="e">
        <f>'Product info'!#REF!</f>
        <v>#REF!</v>
      </c>
      <c r="S279" s="54" t="e">
        <f>'Product info'!#REF!</f>
        <v>#REF!</v>
      </c>
      <c r="T279" s="50" t="e">
        <f>'Product info'!#REF!</f>
        <v>#REF!</v>
      </c>
      <c r="U279" s="52" t="e">
        <f t="shared" si="61"/>
        <v>#REF!</v>
      </c>
      <c r="V279" s="50" t="e">
        <f t="shared" si="62"/>
        <v>#REF!</v>
      </c>
      <c r="W279" s="50" t="e">
        <f t="shared" si="63"/>
        <v>#REF!</v>
      </c>
      <c r="X279" s="50" t="e">
        <f t="shared" si="64"/>
        <v>#REF!</v>
      </c>
      <c r="Y279" s="50" t="e">
        <f t="shared" si="65"/>
        <v>#REF!</v>
      </c>
      <c r="Z279" t="e">
        <f t="shared" si="66"/>
        <v>#REF!</v>
      </c>
    </row>
    <row r="280" spans="1:26" x14ac:dyDescent="0.4">
      <c r="A280" t="e">
        <f>'Product info'!#REF!</f>
        <v>#REF!</v>
      </c>
      <c r="B280" t="e">
        <f>'Product info'!#REF!</f>
        <v>#REF!</v>
      </c>
      <c r="C280" t="e">
        <f>'Product info'!#REF!</f>
        <v>#REF!</v>
      </c>
      <c r="D280" s="6" t="e">
        <f>'Product info'!#REF!</f>
        <v>#REF!</v>
      </c>
      <c r="E280" t="e">
        <f t="shared" si="54"/>
        <v>#REF!</v>
      </c>
      <c r="F280" s="50" t="e">
        <f>'Product info'!#REF!</f>
        <v>#REF!</v>
      </c>
      <c r="G280" s="50" t="e">
        <f>'Product info'!#REF!</f>
        <v>#REF!</v>
      </c>
      <c r="H280" s="50" t="e">
        <f>'Product info'!#REF!</f>
        <v>#REF!</v>
      </c>
      <c r="I280" s="50" t="e">
        <f>'Product info'!#REF!</f>
        <v>#REF!</v>
      </c>
      <c r="J280" s="51" t="e">
        <f>'Product info'!#REF!</f>
        <v>#REF!</v>
      </c>
      <c r="K280" s="52" t="e">
        <f t="shared" si="55"/>
        <v>#REF!</v>
      </c>
      <c r="L280" s="50" t="e">
        <f t="shared" si="56"/>
        <v>#REF!</v>
      </c>
      <c r="M280" s="50" t="e">
        <f t="shared" si="57"/>
        <v>#REF!</v>
      </c>
      <c r="N280" s="50" t="e">
        <f t="shared" si="58"/>
        <v>#REF!</v>
      </c>
      <c r="O280" s="50" t="e">
        <f t="shared" si="59"/>
        <v>#REF!</v>
      </c>
      <c r="P280" s="53" t="e">
        <f t="shared" si="60"/>
        <v>#REF!</v>
      </c>
      <c r="Q280" s="54" t="e">
        <f>'Product info'!#REF!</f>
        <v>#REF!</v>
      </c>
      <c r="R280" s="54" t="e">
        <f>'Product info'!#REF!</f>
        <v>#REF!</v>
      </c>
      <c r="S280" s="54" t="e">
        <f>'Product info'!#REF!</f>
        <v>#REF!</v>
      </c>
      <c r="T280" s="50" t="e">
        <f>'Product info'!#REF!</f>
        <v>#REF!</v>
      </c>
      <c r="U280" s="52" t="e">
        <f t="shared" si="61"/>
        <v>#REF!</v>
      </c>
      <c r="V280" s="50" t="e">
        <f t="shared" si="62"/>
        <v>#REF!</v>
      </c>
      <c r="W280" s="50" t="e">
        <f t="shared" si="63"/>
        <v>#REF!</v>
      </c>
      <c r="X280" s="50" t="e">
        <f t="shared" si="64"/>
        <v>#REF!</v>
      </c>
      <c r="Y280" s="50" t="e">
        <f t="shared" si="65"/>
        <v>#REF!</v>
      </c>
      <c r="Z280" t="e">
        <f t="shared" si="66"/>
        <v>#REF!</v>
      </c>
    </row>
    <row r="281" spans="1:26" x14ac:dyDescent="0.4">
      <c r="A281" t="e">
        <f>'Product info'!#REF!</f>
        <v>#REF!</v>
      </c>
      <c r="B281" t="e">
        <f>'Product info'!#REF!</f>
        <v>#REF!</v>
      </c>
      <c r="C281" t="e">
        <f>'Product info'!#REF!</f>
        <v>#REF!</v>
      </c>
      <c r="D281" s="6" t="e">
        <f>'Product info'!#REF!</f>
        <v>#REF!</v>
      </c>
      <c r="E281" t="e">
        <f t="shared" si="54"/>
        <v>#REF!</v>
      </c>
      <c r="F281" s="50" t="e">
        <f>'Product info'!#REF!</f>
        <v>#REF!</v>
      </c>
      <c r="G281" s="50" t="e">
        <f>'Product info'!#REF!</f>
        <v>#REF!</v>
      </c>
      <c r="H281" s="50" t="e">
        <f>'Product info'!#REF!</f>
        <v>#REF!</v>
      </c>
      <c r="I281" s="50" t="e">
        <f>'Product info'!#REF!</f>
        <v>#REF!</v>
      </c>
      <c r="J281" s="51" t="e">
        <f>'Product info'!#REF!</f>
        <v>#REF!</v>
      </c>
      <c r="K281" s="52" t="e">
        <f t="shared" si="55"/>
        <v>#REF!</v>
      </c>
      <c r="L281" s="50" t="e">
        <f t="shared" si="56"/>
        <v>#REF!</v>
      </c>
      <c r="M281" s="50" t="e">
        <f t="shared" si="57"/>
        <v>#REF!</v>
      </c>
      <c r="N281" s="50" t="e">
        <f t="shared" si="58"/>
        <v>#REF!</v>
      </c>
      <c r="O281" s="50" t="e">
        <f t="shared" si="59"/>
        <v>#REF!</v>
      </c>
      <c r="P281" s="53" t="e">
        <f t="shared" si="60"/>
        <v>#REF!</v>
      </c>
      <c r="Q281" s="54" t="e">
        <f>'Product info'!#REF!</f>
        <v>#REF!</v>
      </c>
      <c r="R281" s="54" t="e">
        <f>'Product info'!#REF!</f>
        <v>#REF!</v>
      </c>
      <c r="S281" s="54" t="e">
        <f>'Product info'!#REF!</f>
        <v>#REF!</v>
      </c>
      <c r="T281" s="50" t="e">
        <f>'Product info'!#REF!</f>
        <v>#REF!</v>
      </c>
      <c r="U281" s="52" t="e">
        <f t="shared" si="61"/>
        <v>#REF!</v>
      </c>
      <c r="V281" s="50" t="e">
        <f t="shared" si="62"/>
        <v>#REF!</v>
      </c>
      <c r="W281" s="50" t="e">
        <f t="shared" si="63"/>
        <v>#REF!</v>
      </c>
      <c r="X281" s="50" t="e">
        <f t="shared" si="64"/>
        <v>#REF!</v>
      </c>
      <c r="Y281" s="50" t="e">
        <f t="shared" si="65"/>
        <v>#REF!</v>
      </c>
      <c r="Z281" t="e">
        <f t="shared" si="66"/>
        <v>#REF!</v>
      </c>
    </row>
    <row r="282" spans="1:26" x14ac:dyDescent="0.4">
      <c r="A282" t="e">
        <f>'Product info'!#REF!</f>
        <v>#REF!</v>
      </c>
      <c r="B282" t="e">
        <f>'Product info'!#REF!</f>
        <v>#REF!</v>
      </c>
      <c r="C282" t="e">
        <f>'Product info'!#REF!</f>
        <v>#REF!</v>
      </c>
      <c r="D282" s="6" t="e">
        <f>'Product info'!#REF!</f>
        <v>#REF!</v>
      </c>
      <c r="E282" t="e">
        <f t="shared" si="54"/>
        <v>#REF!</v>
      </c>
      <c r="F282" s="50" t="e">
        <f>'Product info'!#REF!</f>
        <v>#REF!</v>
      </c>
      <c r="G282" s="50" t="e">
        <f>'Product info'!#REF!</f>
        <v>#REF!</v>
      </c>
      <c r="H282" s="50" t="e">
        <f>'Product info'!#REF!</f>
        <v>#REF!</v>
      </c>
      <c r="I282" s="50" t="e">
        <f>'Product info'!#REF!</f>
        <v>#REF!</v>
      </c>
      <c r="J282" s="51" t="e">
        <f>'Product info'!#REF!</f>
        <v>#REF!</v>
      </c>
      <c r="K282" s="52" t="e">
        <f t="shared" si="55"/>
        <v>#REF!</v>
      </c>
      <c r="L282" s="50" t="e">
        <f t="shared" si="56"/>
        <v>#REF!</v>
      </c>
      <c r="M282" s="50" t="e">
        <f t="shared" si="57"/>
        <v>#REF!</v>
      </c>
      <c r="N282" s="50" t="e">
        <f t="shared" si="58"/>
        <v>#REF!</v>
      </c>
      <c r="O282" s="50" t="e">
        <f t="shared" si="59"/>
        <v>#REF!</v>
      </c>
      <c r="P282" s="53" t="e">
        <f t="shared" si="60"/>
        <v>#REF!</v>
      </c>
      <c r="Q282" s="54" t="e">
        <f>'Product info'!#REF!</f>
        <v>#REF!</v>
      </c>
      <c r="R282" s="54" t="e">
        <f>'Product info'!#REF!</f>
        <v>#REF!</v>
      </c>
      <c r="S282" s="54" t="e">
        <f>'Product info'!#REF!</f>
        <v>#REF!</v>
      </c>
      <c r="T282" s="50" t="e">
        <f>'Product info'!#REF!</f>
        <v>#REF!</v>
      </c>
      <c r="U282" s="52" t="e">
        <f t="shared" si="61"/>
        <v>#REF!</v>
      </c>
      <c r="V282" s="50" t="e">
        <f t="shared" si="62"/>
        <v>#REF!</v>
      </c>
      <c r="W282" s="50" t="e">
        <f t="shared" si="63"/>
        <v>#REF!</v>
      </c>
      <c r="X282" s="50" t="e">
        <f t="shared" si="64"/>
        <v>#REF!</v>
      </c>
      <c r="Y282" s="50" t="e">
        <f t="shared" si="65"/>
        <v>#REF!</v>
      </c>
      <c r="Z282" t="e">
        <f t="shared" si="66"/>
        <v>#REF!</v>
      </c>
    </row>
    <row r="283" spans="1:26" x14ac:dyDescent="0.4">
      <c r="A283" t="e">
        <f>'Product info'!#REF!</f>
        <v>#REF!</v>
      </c>
      <c r="B283" t="e">
        <f>'Product info'!#REF!</f>
        <v>#REF!</v>
      </c>
      <c r="C283" t="e">
        <f>'Product info'!#REF!</f>
        <v>#REF!</v>
      </c>
      <c r="D283" s="6" t="e">
        <f>'Product info'!#REF!</f>
        <v>#REF!</v>
      </c>
      <c r="E283" t="e">
        <f t="shared" si="54"/>
        <v>#REF!</v>
      </c>
      <c r="F283" s="50" t="e">
        <f>'Product info'!#REF!</f>
        <v>#REF!</v>
      </c>
      <c r="G283" s="50" t="e">
        <f>'Product info'!#REF!</f>
        <v>#REF!</v>
      </c>
      <c r="H283" s="50" t="e">
        <f>'Product info'!#REF!</f>
        <v>#REF!</v>
      </c>
      <c r="I283" s="50" t="e">
        <f>'Product info'!#REF!</f>
        <v>#REF!</v>
      </c>
      <c r="J283" s="51" t="e">
        <f>'Product info'!#REF!</f>
        <v>#REF!</v>
      </c>
      <c r="K283" s="52" t="e">
        <f t="shared" si="55"/>
        <v>#REF!</v>
      </c>
      <c r="L283" s="50" t="e">
        <f t="shared" si="56"/>
        <v>#REF!</v>
      </c>
      <c r="M283" s="50" t="e">
        <f t="shared" si="57"/>
        <v>#REF!</v>
      </c>
      <c r="N283" s="50" t="e">
        <f t="shared" si="58"/>
        <v>#REF!</v>
      </c>
      <c r="O283" s="50" t="e">
        <f t="shared" si="59"/>
        <v>#REF!</v>
      </c>
      <c r="P283" s="53" t="e">
        <f t="shared" si="60"/>
        <v>#REF!</v>
      </c>
      <c r="Q283" s="54" t="e">
        <f>'Product info'!#REF!</f>
        <v>#REF!</v>
      </c>
      <c r="R283" s="54" t="e">
        <f>'Product info'!#REF!</f>
        <v>#REF!</v>
      </c>
      <c r="S283" s="54" t="e">
        <f>'Product info'!#REF!</f>
        <v>#REF!</v>
      </c>
      <c r="T283" s="50" t="e">
        <f>'Product info'!#REF!</f>
        <v>#REF!</v>
      </c>
      <c r="U283" s="52" t="e">
        <f t="shared" si="61"/>
        <v>#REF!</v>
      </c>
      <c r="V283" s="50" t="e">
        <f t="shared" si="62"/>
        <v>#REF!</v>
      </c>
      <c r="W283" s="50" t="e">
        <f t="shared" si="63"/>
        <v>#REF!</v>
      </c>
      <c r="X283" s="50" t="e">
        <f t="shared" si="64"/>
        <v>#REF!</v>
      </c>
      <c r="Y283" s="50" t="e">
        <f t="shared" si="65"/>
        <v>#REF!</v>
      </c>
      <c r="Z283" t="e">
        <f t="shared" si="66"/>
        <v>#REF!</v>
      </c>
    </row>
    <row r="284" spans="1:26" x14ac:dyDescent="0.4">
      <c r="A284" t="e">
        <f>'Product info'!#REF!</f>
        <v>#REF!</v>
      </c>
      <c r="B284" t="e">
        <f>'Product info'!#REF!</f>
        <v>#REF!</v>
      </c>
      <c r="C284" t="e">
        <f>'Product info'!#REF!</f>
        <v>#REF!</v>
      </c>
      <c r="D284" s="6" t="e">
        <f>'Product info'!#REF!</f>
        <v>#REF!</v>
      </c>
      <c r="E284" t="e">
        <f t="shared" si="54"/>
        <v>#REF!</v>
      </c>
      <c r="F284" s="50" t="e">
        <f>'Product info'!#REF!</f>
        <v>#REF!</v>
      </c>
      <c r="G284" s="50" t="e">
        <f>'Product info'!#REF!</f>
        <v>#REF!</v>
      </c>
      <c r="H284" s="50" t="e">
        <f>'Product info'!#REF!</f>
        <v>#REF!</v>
      </c>
      <c r="I284" s="50" t="e">
        <f>'Product info'!#REF!</f>
        <v>#REF!</v>
      </c>
      <c r="J284" s="51" t="e">
        <f>'Product info'!#REF!</f>
        <v>#REF!</v>
      </c>
      <c r="K284" s="52" t="e">
        <f t="shared" si="55"/>
        <v>#REF!</v>
      </c>
      <c r="L284" s="50" t="e">
        <f t="shared" si="56"/>
        <v>#REF!</v>
      </c>
      <c r="M284" s="50" t="e">
        <f t="shared" si="57"/>
        <v>#REF!</v>
      </c>
      <c r="N284" s="50" t="e">
        <f t="shared" si="58"/>
        <v>#REF!</v>
      </c>
      <c r="O284" s="50" t="e">
        <f t="shared" si="59"/>
        <v>#REF!</v>
      </c>
      <c r="P284" s="53" t="e">
        <f t="shared" si="60"/>
        <v>#REF!</v>
      </c>
      <c r="Q284" s="54" t="e">
        <f>'Product info'!#REF!</f>
        <v>#REF!</v>
      </c>
      <c r="R284" s="54" t="e">
        <f>'Product info'!#REF!</f>
        <v>#REF!</v>
      </c>
      <c r="S284" s="54" t="e">
        <f>'Product info'!#REF!</f>
        <v>#REF!</v>
      </c>
      <c r="T284" s="50" t="e">
        <f>'Product info'!#REF!</f>
        <v>#REF!</v>
      </c>
      <c r="U284" s="52" t="e">
        <f t="shared" si="61"/>
        <v>#REF!</v>
      </c>
      <c r="V284" s="50" t="e">
        <f t="shared" si="62"/>
        <v>#REF!</v>
      </c>
      <c r="W284" s="50" t="e">
        <f t="shared" si="63"/>
        <v>#REF!</v>
      </c>
      <c r="X284" s="50" t="e">
        <f t="shared" si="64"/>
        <v>#REF!</v>
      </c>
      <c r="Y284" s="50" t="e">
        <f t="shared" si="65"/>
        <v>#REF!</v>
      </c>
      <c r="Z284" t="e">
        <f t="shared" si="66"/>
        <v>#REF!</v>
      </c>
    </row>
    <row r="285" spans="1:26" x14ac:dyDescent="0.4">
      <c r="A285" t="e">
        <f>'Product info'!#REF!</f>
        <v>#REF!</v>
      </c>
      <c r="B285" t="e">
        <f>'Product info'!#REF!</f>
        <v>#REF!</v>
      </c>
      <c r="C285" t="e">
        <f>'Product info'!#REF!</f>
        <v>#REF!</v>
      </c>
      <c r="D285" s="6" t="e">
        <f>'Product info'!#REF!</f>
        <v>#REF!</v>
      </c>
      <c r="E285" t="e">
        <f t="shared" si="54"/>
        <v>#REF!</v>
      </c>
      <c r="F285" s="50" t="e">
        <f>'Product info'!#REF!</f>
        <v>#REF!</v>
      </c>
      <c r="G285" s="50" t="e">
        <f>'Product info'!#REF!</f>
        <v>#REF!</v>
      </c>
      <c r="H285" s="50" t="e">
        <f>'Product info'!#REF!</f>
        <v>#REF!</v>
      </c>
      <c r="I285" s="50" t="e">
        <f>'Product info'!#REF!</f>
        <v>#REF!</v>
      </c>
      <c r="J285" s="51" t="e">
        <f>'Product info'!#REF!</f>
        <v>#REF!</v>
      </c>
      <c r="K285" s="52" t="e">
        <f t="shared" si="55"/>
        <v>#REF!</v>
      </c>
      <c r="L285" s="50" t="e">
        <f t="shared" si="56"/>
        <v>#REF!</v>
      </c>
      <c r="M285" s="50" t="e">
        <f t="shared" si="57"/>
        <v>#REF!</v>
      </c>
      <c r="N285" s="50" t="e">
        <f t="shared" si="58"/>
        <v>#REF!</v>
      </c>
      <c r="O285" s="50" t="e">
        <f t="shared" si="59"/>
        <v>#REF!</v>
      </c>
      <c r="P285" s="53" t="e">
        <f t="shared" si="60"/>
        <v>#REF!</v>
      </c>
      <c r="Q285" s="54" t="e">
        <f>'Product info'!#REF!</f>
        <v>#REF!</v>
      </c>
      <c r="R285" s="54" t="e">
        <f>'Product info'!#REF!</f>
        <v>#REF!</v>
      </c>
      <c r="S285" s="54" t="e">
        <f>'Product info'!#REF!</f>
        <v>#REF!</v>
      </c>
      <c r="T285" s="50" t="e">
        <f>'Product info'!#REF!</f>
        <v>#REF!</v>
      </c>
      <c r="U285" s="52" t="e">
        <f t="shared" si="61"/>
        <v>#REF!</v>
      </c>
      <c r="V285" s="50" t="e">
        <f t="shared" si="62"/>
        <v>#REF!</v>
      </c>
      <c r="W285" s="50" t="e">
        <f t="shared" si="63"/>
        <v>#REF!</v>
      </c>
      <c r="X285" s="50" t="e">
        <f t="shared" si="64"/>
        <v>#REF!</v>
      </c>
      <c r="Y285" s="50" t="e">
        <f t="shared" si="65"/>
        <v>#REF!</v>
      </c>
      <c r="Z285" t="e">
        <f t="shared" si="66"/>
        <v>#REF!</v>
      </c>
    </row>
    <row r="286" spans="1:26" x14ac:dyDescent="0.4">
      <c r="A286" t="e">
        <f>'Product info'!#REF!</f>
        <v>#REF!</v>
      </c>
      <c r="B286" t="e">
        <f>'Product info'!#REF!</f>
        <v>#REF!</v>
      </c>
      <c r="C286" t="e">
        <f>'Product info'!#REF!</f>
        <v>#REF!</v>
      </c>
      <c r="D286" s="6" t="e">
        <f>'Product info'!#REF!</f>
        <v>#REF!</v>
      </c>
      <c r="E286" t="e">
        <f t="shared" si="54"/>
        <v>#REF!</v>
      </c>
      <c r="F286" s="50" t="e">
        <f>'Product info'!#REF!</f>
        <v>#REF!</v>
      </c>
      <c r="G286" s="50" t="e">
        <f>'Product info'!#REF!</f>
        <v>#REF!</v>
      </c>
      <c r="H286" s="50" t="e">
        <f>'Product info'!#REF!</f>
        <v>#REF!</v>
      </c>
      <c r="I286" s="50" t="e">
        <f>'Product info'!#REF!</f>
        <v>#REF!</v>
      </c>
      <c r="J286" s="51" t="e">
        <f>'Product info'!#REF!</f>
        <v>#REF!</v>
      </c>
      <c r="K286" s="52" t="e">
        <f t="shared" si="55"/>
        <v>#REF!</v>
      </c>
      <c r="L286" s="50" t="e">
        <f t="shared" si="56"/>
        <v>#REF!</v>
      </c>
      <c r="M286" s="50" t="e">
        <f t="shared" si="57"/>
        <v>#REF!</v>
      </c>
      <c r="N286" s="50" t="e">
        <f t="shared" si="58"/>
        <v>#REF!</v>
      </c>
      <c r="O286" s="50" t="e">
        <f t="shared" si="59"/>
        <v>#REF!</v>
      </c>
      <c r="P286" s="53" t="e">
        <f t="shared" si="60"/>
        <v>#REF!</v>
      </c>
      <c r="Q286" s="54" t="e">
        <f>'Product info'!#REF!</f>
        <v>#REF!</v>
      </c>
      <c r="R286" s="54" t="e">
        <f>'Product info'!#REF!</f>
        <v>#REF!</v>
      </c>
      <c r="S286" s="54" t="e">
        <f>'Product info'!#REF!</f>
        <v>#REF!</v>
      </c>
      <c r="T286" s="50" t="e">
        <f>'Product info'!#REF!</f>
        <v>#REF!</v>
      </c>
      <c r="U286" s="52" t="e">
        <f t="shared" si="61"/>
        <v>#REF!</v>
      </c>
      <c r="V286" s="50" t="e">
        <f t="shared" si="62"/>
        <v>#REF!</v>
      </c>
      <c r="W286" s="50" t="e">
        <f t="shared" si="63"/>
        <v>#REF!</v>
      </c>
      <c r="X286" s="50" t="e">
        <f t="shared" si="64"/>
        <v>#REF!</v>
      </c>
      <c r="Y286" s="50" t="e">
        <f t="shared" si="65"/>
        <v>#REF!</v>
      </c>
      <c r="Z286" t="e">
        <f t="shared" si="66"/>
        <v>#REF!</v>
      </c>
    </row>
    <row r="287" spans="1:26" x14ac:dyDescent="0.4">
      <c r="A287" t="e">
        <f>'Product info'!#REF!</f>
        <v>#REF!</v>
      </c>
      <c r="B287" t="e">
        <f>'Product info'!#REF!</f>
        <v>#REF!</v>
      </c>
      <c r="C287" t="e">
        <f>'Product info'!#REF!</f>
        <v>#REF!</v>
      </c>
      <c r="D287" s="6" t="e">
        <f>'Product info'!#REF!</f>
        <v>#REF!</v>
      </c>
      <c r="E287" t="e">
        <f t="shared" si="54"/>
        <v>#REF!</v>
      </c>
      <c r="F287" s="50" t="e">
        <f>'Product info'!#REF!</f>
        <v>#REF!</v>
      </c>
      <c r="G287" s="50" t="e">
        <f>'Product info'!#REF!</f>
        <v>#REF!</v>
      </c>
      <c r="H287" s="50" t="e">
        <f>'Product info'!#REF!</f>
        <v>#REF!</v>
      </c>
      <c r="I287" s="50" t="e">
        <f>'Product info'!#REF!</f>
        <v>#REF!</v>
      </c>
      <c r="J287" s="51" t="e">
        <f>'Product info'!#REF!</f>
        <v>#REF!</v>
      </c>
      <c r="K287" s="52" t="e">
        <f t="shared" si="55"/>
        <v>#REF!</v>
      </c>
      <c r="L287" s="50" t="e">
        <f t="shared" si="56"/>
        <v>#REF!</v>
      </c>
      <c r="M287" s="50" t="e">
        <f t="shared" si="57"/>
        <v>#REF!</v>
      </c>
      <c r="N287" s="50" t="e">
        <f t="shared" si="58"/>
        <v>#REF!</v>
      </c>
      <c r="O287" s="50" t="e">
        <f t="shared" si="59"/>
        <v>#REF!</v>
      </c>
      <c r="P287" s="53" t="e">
        <f t="shared" si="60"/>
        <v>#REF!</v>
      </c>
      <c r="Q287" s="54" t="e">
        <f>'Product info'!#REF!</f>
        <v>#REF!</v>
      </c>
      <c r="R287" s="54" t="e">
        <f>'Product info'!#REF!</f>
        <v>#REF!</v>
      </c>
      <c r="S287" s="54" t="e">
        <f>'Product info'!#REF!</f>
        <v>#REF!</v>
      </c>
      <c r="T287" s="50" t="e">
        <f>'Product info'!#REF!</f>
        <v>#REF!</v>
      </c>
      <c r="U287" s="52" t="e">
        <f t="shared" si="61"/>
        <v>#REF!</v>
      </c>
      <c r="V287" s="50" t="e">
        <f t="shared" si="62"/>
        <v>#REF!</v>
      </c>
      <c r="W287" s="50" t="e">
        <f t="shared" si="63"/>
        <v>#REF!</v>
      </c>
      <c r="X287" s="50" t="e">
        <f t="shared" si="64"/>
        <v>#REF!</v>
      </c>
      <c r="Y287" s="50" t="e">
        <f t="shared" si="65"/>
        <v>#REF!</v>
      </c>
      <c r="Z287" t="e">
        <f t="shared" si="66"/>
        <v>#REF!</v>
      </c>
    </row>
    <row r="288" spans="1:26" x14ac:dyDescent="0.4">
      <c r="A288" t="e">
        <f>'Product info'!#REF!</f>
        <v>#REF!</v>
      </c>
      <c r="B288" t="e">
        <f>'Product info'!#REF!</f>
        <v>#REF!</v>
      </c>
      <c r="C288" t="e">
        <f>'Product info'!#REF!</f>
        <v>#REF!</v>
      </c>
      <c r="D288" s="6" t="e">
        <f>'Product info'!#REF!</f>
        <v>#REF!</v>
      </c>
      <c r="E288" t="e">
        <f t="shared" si="54"/>
        <v>#REF!</v>
      </c>
      <c r="F288" s="50" t="e">
        <f>'Product info'!#REF!</f>
        <v>#REF!</v>
      </c>
      <c r="G288" s="50" t="e">
        <f>'Product info'!#REF!</f>
        <v>#REF!</v>
      </c>
      <c r="H288" s="50" t="e">
        <f>'Product info'!#REF!</f>
        <v>#REF!</v>
      </c>
      <c r="I288" s="50" t="e">
        <f>'Product info'!#REF!</f>
        <v>#REF!</v>
      </c>
      <c r="J288" s="51" t="e">
        <f>'Product info'!#REF!</f>
        <v>#REF!</v>
      </c>
      <c r="K288" s="52" t="e">
        <f t="shared" si="55"/>
        <v>#REF!</v>
      </c>
      <c r="L288" s="50" t="e">
        <f t="shared" si="56"/>
        <v>#REF!</v>
      </c>
      <c r="M288" s="50" t="e">
        <f t="shared" si="57"/>
        <v>#REF!</v>
      </c>
      <c r="N288" s="50" t="e">
        <f t="shared" si="58"/>
        <v>#REF!</v>
      </c>
      <c r="O288" s="50" t="e">
        <f t="shared" si="59"/>
        <v>#REF!</v>
      </c>
      <c r="P288" s="53" t="e">
        <f t="shared" si="60"/>
        <v>#REF!</v>
      </c>
      <c r="Q288" s="54" t="e">
        <f>'Product info'!#REF!</f>
        <v>#REF!</v>
      </c>
      <c r="R288" s="54" t="e">
        <f>'Product info'!#REF!</f>
        <v>#REF!</v>
      </c>
      <c r="S288" s="54" t="e">
        <f>'Product info'!#REF!</f>
        <v>#REF!</v>
      </c>
      <c r="T288" s="50" t="e">
        <f>'Product info'!#REF!</f>
        <v>#REF!</v>
      </c>
      <c r="U288" s="52" t="e">
        <f t="shared" si="61"/>
        <v>#REF!</v>
      </c>
      <c r="V288" s="50" t="e">
        <f t="shared" si="62"/>
        <v>#REF!</v>
      </c>
      <c r="W288" s="50" t="e">
        <f t="shared" si="63"/>
        <v>#REF!</v>
      </c>
      <c r="X288" s="50" t="e">
        <f t="shared" si="64"/>
        <v>#REF!</v>
      </c>
      <c r="Y288" s="50" t="e">
        <f t="shared" si="65"/>
        <v>#REF!</v>
      </c>
      <c r="Z288" t="e">
        <f t="shared" si="66"/>
        <v>#REF!</v>
      </c>
    </row>
    <row r="289" spans="1:26" x14ac:dyDescent="0.4">
      <c r="A289" t="e">
        <f>'Product info'!#REF!</f>
        <v>#REF!</v>
      </c>
      <c r="B289" t="e">
        <f>'Product info'!#REF!</f>
        <v>#REF!</v>
      </c>
      <c r="C289" t="e">
        <f>'Product info'!#REF!</f>
        <v>#REF!</v>
      </c>
      <c r="D289" s="6" t="e">
        <f>'Product info'!#REF!</f>
        <v>#REF!</v>
      </c>
      <c r="E289" t="e">
        <f t="shared" si="54"/>
        <v>#REF!</v>
      </c>
      <c r="F289" s="50" t="e">
        <f>'Product info'!#REF!</f>
        <v>#REF!</v>
      </c>
      <c r="G289" s="50" t="e">
        <f>'Product info'!#REF!</f>
        <v>#REF!</v>
      </c>
      <c r="H289" s="50" t="e">
        <f>'Product info'!#REF!</f>
        <v>#REF!</v>
      </c>
      <c r="I289" s="50" t="e">
        <f>'Product info'!#REF!</f>
        <v>#REF!</v>
      </c>
      <c r="J289" s="51" t="e">
        <f>'Product info'!#REF!</f>
        <v>#REF!</v>
      </c>
      <c r="K289" s="52" t="e">
        <f t="shared" si="55"/>
        <v>#REF!</v>
      </c>
      <c r="L289" s="50" t="e">
        <f t="shared" si="56"/>
        <v>#REF!</v>
      </c>
      <c r="M289" s="50" t="e">
        <f t="shared" si="57"/>
        <v>#REF!</v>
      </c>
      <c r="N289" s="50" t="e">
        <f t="shared" si="58"/>
        <v>#REF!</v>
      </c>
      <c r="O289" s="50" t="e">
        <f t="shared" si="59"/>
        <v>#REF!</v>
      </c>
      <c r="P289" s="53" t="e">
        <f t="shared" si="60"/>
        <v>#REF!</v>
      </c>
      <c r="Q289" s="54" t="e">
        <f>'Product info'!#REF!</f>
        <v>#REF!</v>
      </c>
      <c r="R289" s="54" t="e">
        <f>'Product info'!#REF!</f>
        <v>#REF!</v>
      </c>
      <c r="S289" s="54" t="e">
        <f>'Product info'!#REF!</f>
        <v>#REF!</v>
      </c>
      <c r="T289" s="50" t="e">
        <f>'Product info'!#REF!</f>
        <v>#REF!</v>
      </c>
      <c r="U289" s="52" t="e">
        <f t="shared" si="61"/>
        <v>#REF!</v>
      </c>
      <c r="V289" s="50" t="e">
        <f t="shared" si="62"/>
        <v>#REF!</v>
      </c>
      <c r="W289" s="50" t="e">
        <f t="shared" si="63"/>
        <v>#REF!</v>
      </c>
      <c r="X289" s="50" t="e">
        <f t="shared" si="64"/>
        <v>#REF!</v>
      </c>
      <c r="Y289" s="50" t="e">
        <f t="shared" si="65"/>
        <v>#REF!</v>
      </c>
      <c r="Z289" t="e">
        <f t="shared" si="66"/>
        <v>#REF!</v>
      </c>
    </row>
    <row r="290" spans="1:26" x14ac:dyDescent="0.4">
      <c r="A290" t="e">
        <f>'Product info'!#REF!</f>
        <v>#REF!</v>
      </c>
      <c r="B290" t="e">
        <f>'Product info'!#REF!</f>
        <v>#REF!</v>
      </c>
      <c r="C290" t="e">
        <f>'Product info'!#REF!</f>
        <v>#REF!</v>
      </c>
      <c r="D290" s="6" t="e">
        <f>'Product info'!#REF!</f>
        <v>#REF!</v>
      </c>
      <c r="E290" t="e">
        <f t="shared" si="54"/>
        <v>#REF!</v>
      </c>
      <c r="F290" s="50" t="e">
        <f>'Product info'!#REF!</f>
        <v>#REF!</v>
      </c>
      <c r="G290" s="50" t="e">
        <f>'Product info'!#REF!</f>
        <v>#REF!</v>
      </c>
      <c r="H290" s="50" t="e">
        <f>'Product info'!#REF!</f>
        <v>#REF!</v>
      </c>
      <c r="I290" s="50" t="e">
        <f>'Product info'!#REF!</f>
        <v>#REF!</v>
      </c>
      <c r="J290" s="51" t="e">
        <f>'Product info'!#REF!</f>
        <v>#REF!</v>
      </c>
      <c r="K290" s="52" t="e">
        <f t="shared" si="55"/>
        <v>#REF!</v>
      </c>
      <c r="L290" s="50" t="e">
        <f t="shared" si="56"/>
        <v>#REF!</v>
      </c>
      <c r="M290" s="50" t="e">
        <f t="shared" si="57"/>
        <v>#REF!</v>
      </c>
      <c r="N290" s="50" t="e">
        <f t="shared" si="58"/>
        <v>#REF!</v>
      </c>
      <c r="O290" s="50" t="e">
        <f t="shared" si="59"/>
        <v>#REF!</v>
      </c>
      <c r="P290" s="53" t="e">
        <f t="shared" si="60"/>
        <v>#REF!</v>
      </c>
      <c r="Q290" s="54" t="e">
        <f>'Product info'!#REF!</f>
        <v>#REF!</v>
      </c>
      <c r="R290" s="54" t="e">
        <f>'Product info'!#REF!</f>
        <v>#REF!</v>
      </c>
      <c r="S290" s="54" t="e">
        <f>'Product info'!#REF!</f>
        <v>#REF!</v>
      </c>
      <c r="T290" s="50" t="e">
        <f>'Product info'!#REF!</f>
        <v>#REF!</v>
      </c>
      <c r="U290" s="52" t="e">
        <f t="shared" si="61"/>
        <v>#REF!</v>
      </c>
      <c r="V290" s="50" t="e">
        <f t="shared" si="62"/>
        <v>#REF!</v>
      </c>
      <c r="W290" s="50" t="e">
        <f t="shared" si="63"/>
        <v>#REF!</v>
      </c>
      <c r="X290" s="50" t="e">
        <f t="shared" si="64"/>
        <v>#REF!</v>
      </c>
      <c r="Y290" s="50" t="e">
        <f t="shared" si="65"/>
        <v>#REF!</v>
      </c>
      <c r="Z290" t="e">
        <f t="shared" si="66"/>
        <v>#REF!</v>
      </c>
    </row>
    <row r="291" spans="1:26" x14ac:dyDescent="0.4">
      <c r="A291" t="e">
        <f>'Product info'!#REF!</f>
        <v>#REF!</v>
      </c>
      <c r="B291" t="e">
        <f>'Product info'!#REF!</f>
        <v>#REF!</v>
      </c>
      <c r="C291" t="e">
        <f>'Product info'!#REF!</f>
        <v>#REF!</v>
      </c>
      <c r="D291" s="6" t="e">
        <f>'Product info'!#REF!</f>
        <v>#REF!</v>
      </c>
      <c r="E291" t="e">
        <f t="shared" si="54"/>
        <v>#REF!</v>
      </c>
      <c r="F291" s="50" t="e">
        <f>'Product info'!#REF!</f>
        <v>#REF!</v>
      </c>
      <c r="G291" s="50" t="e">
        <f>'Product info'!#REF!</f>
        <v>#REF!</v>
      </c>
      <c r="H291" s="50" t="e">
        <f>'Product info'!#REF!</f>
        <v>#REF!</v>
      </c>
      <c r="I291" s="50" t="e">
        <f>'Product info'!#REF!</f>
        <v>#REF!</v>
      </c>
      <c r="J291" s="51" t="e">
        <f>'Product info'!#REF!</f>
        <v>#REF!</v>
      </c>
      <c r="K291" s="52" t="e">
        <f t="shared" si="55"/>
        <v>#REF!</v>
      </c>
      <c r="L291" s="50" t="e">
        <f t="shared" si="56"/>
        <v>#REF!</v>
      </c>
      <c r="M291" s="50" t="e">
        <f t="shared" si="57"/>
        <v>#REF!</v>
      </c>
      <c r="N291" s="50" t="e">
        <f t="shared" si="58"/>
        <v>#REF!</v>
      </c>
      <c r="O291" s="50" t="e">
        <f t="shared" si="59"/>
        <v>#REF!</v>
      </c>
      <c r="P291" s="53" t="e">
        <f t="shared" si="60"/>
        <v>#REF!</v>
      </c>
      <c r="Q291" s="54" t="e">
        <f>'Product info'!#REF!</f>
        <v>#REF!</v>
      </c>
      <c r="R291" s="54" t="e">
        <f>'Product info'!#REF!</f>
        <v>#REF!</v>
      </c>
      <c r="S291" s="54" t="e">
        <f>'Product info'!#REF!</f>
        <v>#REF!</v>
      </c>
      <c r="T291" s="50" t="e">
        <f>'Product info'!#REF!</f>
        <v>#REF!</v>
      </c>
      <c r="U291" s="52" t="e">
        <f t="shared" si="61"/>
        <v>#REF!</v>
      </c>
      <c r="V291" s="50" t="e">
        <f t="shared" si="62"/>
        <v>#REF!</v>
      </c>
      <c r="W291" s="50" t="e">
        <f t="shared" si="63"/>
        <v>#REF!</v>
      </c>
      <c r="X291" s="50" t="e">
        <f t="shared" si="64"/>
        <v>#REF!</v>
      </c>
      <c r="Y291" s="50" t="e">
        <f t="shared" si="65"/>
        <v>#REF!</v>
      </c>
      <c r="Z291" t="e">
        <f t="shared" si="66"/>
        <v>#REF!</v>
      </c>
    </row>
    <row r="292" spans="1:26" x14ac:dyDescent="0.4">
      <c r="A292" t="e">
        <f>'Product info'!#REF!</f>
        <v>#REF!</v>
      </c>
      <c r="B292" t="e">
        <f>'Product info'!#REF!</f>
        <v>#REF!</v>
      </c>
      <c r="C292" t="e">
        <f>'Product info'!#REF!</f>
        <v>#REF!</v>
      </c>
      <c r="D292" s="6" t="e">
        <f>'Product info'!#REF!</f>
        <v>#REF!</v>
      </c>
      <c r="E292" t="e">
        <f t="shared" si="54"/>
        <v>#REF!</v>
      </c>
      <c r="F292" s="50" t="e">
        <f>'Product info'!#REF!</f>
        <v>#REF!</v>
      </c>
      <c r="G292" s="50" t="e">
        <f>'Product info'!#REF!</f>
        <v>#REF!</v>
      </c>
      <c r="H292" s="50" t="e">
        <f>'Product info'!#REF!</f>
        <v>#REF!</v>
      </c>
      <c r="I292" s="50" t="e">
        <f>'Product info'!#REF!</f>
        <v>#REF!</v>
      </c>
      <c r="J292" s="51" t="e">
        <f>'Product info'!#REF!</f>
        <v>#REF!</v>
      </c>
      <c r="K292" s="52" t="e">
        <f t="shared" si="55"/>
        <v>#REF!</v>
      </c>
      <c r="L292" s="50" t="e">
        <f t="shared" si="56"/>
        <v>#REF!</v>
      </c>
      <c r="M292" s="50" t="e">
        <f t="shared" si="57"/>
        <v>#REF!</v>
      </c>
      <c r="N292" s="50" t="e">
        <f t="shared" si="58"/>
        <v>#REF!</v>
      </c>
      <c r="O292" s="50" t="e">
        <f t="shared" si="59"/>
        <v>#REF!</v>
      </c>
      <c r="P292" s="53" t="e">
        <f t="shared" si="60"/>
        <v>#REF!</v>
      </c>
      <c r="Q292" s="54" t="e">
        <f>'Product info'!#REF!</f>
        <v>#REF!</v>
      </c>
      <c r="R292" s="54" t="e">
        <f>'Product info'!#REF!</f>
        <v>#REF!</v>
      </c>
      <c r="S292" s="54" t="e">
        <f>'Product info'!#REF!</f>
        <v>#REF!</v>
      </c>
      <c r="T292" s="50" t="e">
        <f>'Product info'!#REF!</f>
        <v>#REF!</v>
      </c>
      <c r="U292" s="52" t="e">
        <f t="shared" si="61"/>
        <v>#REF!</v>
      </c>
      <c r="V292" s="50" t="e">
        <f t="shared" si="62"/>
        <v>#REF!</v>
      </c>
      <c r="W292" s="50" t="e">
        <f t="shared" si="63"/>
        <v>#REF!</v>
      </c>
      <c r="X292" s="50" t="e">
        <f t="shared" si="64"/>
        <v>#REF!</v>
      </c>
      <c r="Y292" s="50" t="e">
        <f t="shared" si="65"/>
        <v>#REF!</v>
      </c>
      <c r="Z292" t="e">
        <f t="shared" si="66"/>
        <v>#REF!</v>
      </c>
    </row>
    <row r="293" spans="1:26" x14ac:dyDescent="0.4">
      <c r="A293" t="e">
        <f>'Product info'!#REF!</f>
        <v>#REF!</v>
      </c>
      <c r="B293" t="e">
        <f>'Product info'!#REF!</f>
        <v>#REF!</v>
      </c>
      <c r="C293" t="e">
        <f>'Product info'!#REF!</f>
        <v>#REF!</v>
      </c>
      <c r="D293" s="6" t="e">
        <f>'Product info'!#REF!</f>
        <v>#REF!</v>
      </c>
      <c r="E293" t="e">
        <f t="shared" si="54"/>
        <v>#REF!</v>
      </c>
      <c r="F293" s="50" t="e">
        <f>'Product info'!#REF!</f>
        <v>#REF!</v>
      </c>
      <c r="G293" s="50" t="e">
        <f>'Product info'!#REF!</f>
        <v>#REF!</v>
      </c>
      <c r="H293" s="50" t="e">
        <f>'Product info'!#REF!</f>
        <v>#REF!</v>
      </c>
      <c r="I293" s="50" t="e">
        <f>'Product info'!#REF!</f>
        <v>#REF!</v>
      </c>
      <c r="J293" s="51" t="e">
        <f>'Product info'!#REF!</f>
        <v>#REF!</v>
      </c>
      <c r="K293" s="52" t="e">
        <f t="shared" si="55"/>
        <v>#REF!</v>
      </c>
      <c r="L293" s="50" t="e">
        <f t="shared" si="56"/>
        <v>#REF!</v>
      </c>
      <c r="M293" s="50" t="e">
        <f t="shared" si="57"/>
        <v>#REF!</v>
      </c>
      <c r="N293" s="50" t="e">
        <f t="shared" si="58"/>
        <v>#REF!</v>
      </c>
      <c r="O293" s="50" t="e">
        <f t="shared" si="59"/>
        <v>#REF!</v>
      </c>
      <c r="P293" s="53" t="e">
        <f t="shared" si="60"/>
        <v>#REF!</v>
      </c>
      <c r="Q293" s="54" t="e">
        <f>'Product info'!#REF!</f>
        <v>#REF!</v>
      </c>
      <c r="R293" s="54" t="e">
        <f>'Product info'!#REF!</f>
        <v>#REF!</v>
      </c>
      <c r="S293" s="54" t="e">
        <f>'Product info'!#REF!</f>
        <v>#REF!</v>
      </c>
      <c r="T293" s="50" t="e">
        <f>'Product info'!#REF!</f>
        <v>#REF!</v>
      </c>
      <c r="U293" s="52" t="e">
        <f t="shared" si="61"/>
        <v>#REF!</v>
      </c>
      <c r="V293" s="50" t="e">
        <f t="shared" si="62"/>
        <v>#REF!</v>
      </c>
      <c r="W293" s="50" t="e">
        <f t="shared" si="63"/>
        <v>#REF!</v>
      </c>
      <c r="X293" s="50" t="e">
        <f t="shared" si="64"/>
        <v>#REF!</v>
      </c>
      <c r="Y293" s="50" t="e">
        <f t="shared" si="65"/>
        <v>#REF!</v>
      </c>
      <c r="Z293" t="e">
        <f t="shared" si="66"/>
        <v>#REF!</v>
      </c>
    </row>
    <row r="294" spans="1:26" x14ac:dyDescent="0.4">
      <c r="A294" t="e">
        <f>'Product info'!#REF!</f>
        <v>#REF!</v>
      </c>
      <c r="B294" t="e">
        <f>'Product info'!#REF!</f>
        <v>#REF!</v>
      </c>
      <c r="C294" t="e">
        <f>'Product info'!#REF!</f>
        <v>#REF!</v>
      </c>
      <c r="D294" s="6" t="e">
        <f>'Product info'!#REF!</f>
        <v>#REF!</v>
      </c>
      <c r="E294" t="e">
        <f t="shared" si="54"/>
        <v>#REF!</v>
      </c>
      <c r="F294" s="50" t="e">
        <f>'Product info'!#REF!</f>
        <v>#REF!</v>
      </c>
      <c r="G294" s="50" t="e">
        <f>'Product info'!#REF!</f>
        <v>#REF!</v>
      </c>
      <c r="H294" s="50" t="e">
        <f>'Product info'!#REF!</f>
        <v>#REF!</v>
      </c>
      <c r="I294" s="50" t="e">
        <f>'Product info'!#REF!</f>
        <v>#REF!</v>
      </c>
      <c r="J294" s="51" t="e">
        <f>'Product info'!#REF!</f>
        <v>#REF!</v>
      </c>
      <c r="K294" s="52" t="e">
        <f t="shared" si="55"/>
        <v>#REF!</v>
      </c>
      <c r="L294" s="50" t="e">
        <f t="shared" si="56"/>
        <v>#REF!</v>
      </c>
      <c r="M294" s="50" t="e">
        <f t="shared" si="57"/>
        <v>#REF!</v>
      </c>
      <c r="N294" s="50" t="e">
        <f t="shared" si="58"/>
        <v>#REF!</v>
      </c>
      <c r="O294" s="50" t="e">
        <f t="shared" si="59"/>
        <v>#REF!</v>
      </c>
      <c r="P294" s="53" t="e">
        <f t="shared" si="60"/>
        <v>#REF!</v>
      </c>
      <c r="Q294" s="54" t="e">
        <f>'Product info'!#REF!</f>
        <v>#REF!</v>
      </c>
      <c r="R294" s="54" t="e">
        <f>'Product info'!#REF!</f>
        <v>#REF!</v>
      </c>
      <c r="S294" s="54" t="e">
        <f>'Product info'!#REF!</f>
        <v>#REF!</v>
      </c>
      <c r="T294" s="50" t="e">
        <f>'Product info'!#REF!</f>
        <v>#REF!</v>
      </c>
      <c r="U294" s="52" t="e">
        <f t="shared" si="61"/>
        <v>#REF!</v>
      </c>
      <c r="V294" s="50" t="e">
        <f t="shared" si="62"/>
        <v>#REF!</v>
      </c>
      <c r="W294" s="50" t="e">
        <f t="shared" si="63"/>
        <v>#REF!</v>
      </c>
      <c r="X294" s="50" t="e">
        <f t="shared" si="64"/>
        <v>#REF!</v>
      </c>
      <c r="Y294" s="50" t="e">
        <f t="shared" si="65"/>
        <v>#REF!</v>
      </c>
      <c r="Z294" t="e">
        <f t="shared" si="66"/>
        <v>#REF!</v>
      </c>
    </row>
    <row r="295" spans="1:26" x14ac:dyDescent="0.4">
      <c r="A295" t="e">
        <f>'Product info'!#REF!</f>
        <v>#REF!</v>
      </c>
      <c r="B295" t="e">
        <f>'Product info'!#REF!</f>
        <v>#REF!</v>
      </c>
      <c r="C295" t="e">
        <f>'Product info'!#REF!</f>
        <v>#REF!</v>
      </c>
      <c r="D295" s="6" t="e">
        <f>'Product info'!#REF!</f>
        <v>#REF!</v>
      </c>
      <c r="E295" t="e">
        <f t="shared" si="54"/>
        <v>#REF!</v>
      </c>
      <c r="F295" s="50" t="e">
        <f>'Product info'!#REF!</f>
        <v>#REF!</v>
      </c>
      <c r="G295" s="50" t="e">
        <f>'Product info'!#REF!</f>
        <v>#REF!</v>
      </c>
      <c r="H295" s="50" t="e">
        <f>'Product info'!#REF!</f>
        <v>#REF!</v>
      </c>
      <c r="I295" s="50" t="e">
        <f>'Product info'!#REF!</f>
        <v>#REF!</v>
      </c>
      <c r="J295" s="51" t="e">
        <f>'Product info'!#REF!</f>
        <v>#REF!</v>
      </c>
      <c r="K295" s="52" t="e">
        <f t="shared" si="55"/>
        <v>#REF!</v>
      </c>
      <c r="L295" s="50" t="e">
        <f t="shared" si="56"/>
        <v>#REF!</v>
      </c>
      <c r="M295" s="50" t="e">
        <f t="shared" si="57"/>
        <v>#REF!</v>
      </c>
      <c r="N295" s="50" t="e">
        <f t="shared" si="58"/>
        <v>#REF!</v>
      </c>
      <c r="O295" s="50" t="e">
        <f t="shared" si="59"/>
        <v>#REF!</v>
      </c>
      <c r="P295" s="53" t="e">
        <f t="shared" si="60"/>
        <v>#REF!</v>
      </c>
      <c r="Q295" s="54" t="e">
        <f>'Product info'!#REF!</f>
        <v>#REF!</v>
      </c>
      <c r="R295" s="54" t="e">
        <f>'Product info'!#REF!</f>
        <v>#REF!</v>
      </c>
      <c r="S295" s="54" t="e">
        <f>'Product info'!#REF!</f>
        <v>#REF!</v>
      </c>
      <c r="T295" s="50" t="e">
        <f>'Product info'!#REF!</f>
        <v>#REF!</v>
      </c>
      <c r="U295" s="52" t="e">
        <f t="shared" si="61"/>
        <v>#REF!</v>
      </c>
      <c r="V295" s="50" t="e">
        <f t="shared" si="62"/>
        <v>#REF!</v>
      </c>
      <c r="W295" s="50" t="e">
        <f t="shared" si="63"/>
        <v>#REF!</v>
      </c>
      <c r="X295" s="50" t="e">
        <f t="shared" si="64"/>
        <v>#REF!</v>
      </c>
      <c r="Y295" s="50" t="e">
        <f t="shared" si="65"/>
        <v>#REF!</v>
      </c>
      <c r="Z295" t="e">
        <f t="shared" si="66"/>
        <v>#REF!</v>
      </c>
    </row>
    <row r="296" spans="1:26" x14ac:dyDescent="0.4">
      <c r="A296" t="e">
        <f>'Product info'!#REF!</f>
        <v>#REF!</v>
      </c>
      <c r="B296" t="e">
        <f>'Product info'!#REF!</f>
        <v>#REF!</v>
      </c>
      <c r="C296" t="e">
        <f>'Product info'!#REF!</f>
        <v>#REF!</v>
      </c>
      <c r="D296" s="6" t="e">
        <f>'Product info'!#REF!</f>
        <v>#REF!</v>
      </c>
      <c r="E296" t="e">
        <f t="shared" si="54"/>
        <v>#REF!</v>
      </c>
      <c r="F296" s="50" t="e">
        <f>'Product info'!#REF!</f>
        <v>#REF!</v>
      </c>
      <c r="G296" s="50" t="e">
        <f>'Product info'!#REF!</f>
        <v>#REF!</v>
      </c>
      <c r="H296" s="50" t="e">
        <f>'Product info'!#REF!</f>
        <v>#REF!</v>
      </c>
      <c r="I296" s="50" t="e">
        <f>'Product info'!#REF!</f>
        <v>#REF!</v>
      </c>
      <c r="J296" s="51" t="e">
        <f>'Product info'!#REF!</f>
        <v>#REF!</v>
      </c>
      <c r="K296" s="52" t="e">
        <f t="shared" si="55"/>
        <v>#REF!</v>
      </c>
      <c r="L296" s="50" t="e">
        <f t="shared" si="56"/>
        <v>#REF!</v>
      </c>
      <c r="M296" s="50" t="e">
        <f t="shared" si="57"/>
        <v>#REF!</v>
      </c>
      <c r="N296" s="50" t="e">
        <f t="shared" si="58"/>
        <v>#REF!</v>
      </c>
      <c r="O296" s="50" t="e">
        <f t="shared" si="59"/>
        <v>#REF!</v>
      </c>
      <c r="P296" s="53" t="e">
        <f t="shared" si="60"/>
        <v>#REF!</v>
      </c>
      <c r="Q296" s="54" t="e">
        <f>'Product info'!#REF!</f>
        <v>#REF!</v>
      </c>
      <c r="R296" s="54" t="e">
        <f>'Product info'!#REF!</f>
        <v>#REF!</v>
      </c>
      <c r="S296" s="54" t="e">
        <f>'Product info'!#REF!</f>
        <v>#REF!</v>
      </c>
      <c r="T296" s="50" t="e">
        <f>'Product info'!#REF!</f>
        <v>#REF!</v>
      </c>
      <c r="U296" s="52" t="e">
        <f t="shared" si="61"/>
        <v>#REF!</v>
      </c>
      <c r="V296" s="50" t="e">
        <f t="shared" si="62"/>
        <v>#REF!</v>
      </c>
      <c r="W296" s="50" t="e">
        <f t="shared" si="63"/>
        <v>#REF!</v>
      </c>
      <c r="X296" s="50" t="e">
        <f t="shared" si="64"/>
        <v>#REF!</v>
      </c>
      <c r="Y296" s="50" t="e">
        <f t="shared" si="65"/>
        <v>#REF!</v>
      </c>
      <c r="Z296" t="e">
        <f t="shared" si="66"/>
        <v>#REF!</v>
      </c>
    </row>
    <row r="297" spans="1:26" x14ac:dyDescent="0.4">
      <c r="A297" t="e">
        <f>'Product info'!#REF!</f>
        <v>#REF!</v>
      </c>
      <c r="B297" t="e">
        <f>'Product info'!#REF!</f>
        <v>#REF!</v>
      </c>
      <c r="C297" t="e">
        <f>'Product info'!#REF!</f>
        <v>#REF!</v>
      </c>
      <c r="D297" s="6" t="e">
        <f>'Product info'!#REF!</f>
        <v>#REF!</v>
      </c>
      <c r="E297" t="e">
        <f t="shared" si="54"/>
        <v>#REF!</v>
      </c>
      <c r="F297" s="50" t="e">
        <f>'Product info'!#REF!</f>
        <v>#REF!</v>
      </c>
      <c r="G297" s="50" t="e">
        <f>'Product info'!#REF!</f>
        <v>#REF!</v>
      </c>
      <c r="H297" s="50" t="e">
        <f>'Product info'!#REF!</f>
        <v>#REF!</v>
      </c>
      <c r="I297" s="50" t="e">
        <f>'Product info'!#REF!</f>
        <v>#REF!</v>
      </c>
      <c r="J297" s="51" t="e">
        <f>'Product info'!#REF!</f>
        <v>#REF!</v>
      </c>
      <c r="K297" s="52" t="e">
        <f t="shared" si="55"/>
        <v>#REF!</v>
      </c>
      <c r="L297" s="50" t="e">
        <f t="shared" si="56"/>
        <v>#REF!</v>
      </c>
      <c r="M297" s="50" t="e">
        <f t="shared" si="57"/>
        <v>#REF!</v>
      </c>
      <c r="N297" s="50" t="e">
        <f t="shared" si="58"/>
        <v>#REF!</v>
      </c>
      <c r="O297" s="50" t="e">
        <f t="shared" si="59"/>
        <v>#REF!</v>
      </c>
      <c r="P297" s="53" t="e">
        <f t="shared" si="60"/>
        <v>#REF!</v>
      </c>
      <c r="Q297" s="54" t="e">
        <f>'Product info'!#REF!</f>
        <v>#REF!</v>
      </c>
      <c r="R297" s="54" t="e">
        <f>'Product info'!#REF!</f>
        <v>#REF!</v>
      </c>
      <c r="S297" s="54" t="e">
        <f>'Product info'!#REF!</f>
        <v>#REF!</v>
      </c>
      <c r="T297" s="50" t="e">
        <f>'Product info'!#REF!</f>
        <v>#REF!</v>
      </c>
      <c r="U297" s="52" t="e">
        <f t="shared" si="61"/>
        <v>#REF!</v>
      </c>
      <c r="V297" s="50" t="e">
        <f t="shared" si="62"/>
        <v>#REF!</v>
      </c>
      <c r="W297" s="50" t="e">
        <f t="shared" si="63"/>
        <v>#REF!</v>
      </c>
      <c r="X297" s="50" t="e">
        <f t="shared" si="64"/>
        <v>#REF!</v>
      </c>
      <c r="Y297" s="50" t="e">
        <f t="shared" si="65"/>
        <v>#REF!</v>
      </c>
      <c r="Z297" t="e">
        <f t="shared" si="66"/>
        <v>#REF!</v>
      </c>
    </row>
    <row r="298" spans="1:26" x14ac:dyDescent="0.4">
      <c r="A298" t="e">
        <f>'Product info'!#REF!</f>
        <v>#REF!</v>
      </c>
      <c r="B298" t="e">
        <f>'Product info'!#REF!</f>
        <v>#REF!</v>
      </c>
      <c r="C298" t="e">
        <f>'Product info'!#REF!</f>
        <v>#REF!</v>
      </c>
      <c r="D298" s="6" t="e">
        <f>'Product info'!#REF!</f>
        <v>#REF!</v>
      </c>
      <c r="E298" t="e">
        <f t="shared" si="54"/>
        <v>#REF!</v>
      </c>
      <c r="F298" s="50" t="e">
        <f>'Product info'!#REF!</f>
        <v>#REF!</v>
      </c>
      <c r="G298" s="50" t="e">
        <f>'Product info'!#REF!</f>
        <v>#REF!</v>
      </c>
      <c r="H298" s="50" t="e">
        <f>'Product info'!#REF!</f>
        <v>#REF!</v>
      </c>
      <c r="I298" s="50" t="e">
        <f>'Product info'!#REF!</f>
        <v>#REF!</v>
      </c>
      <c r="J298" s="51" t="e">
        <f>'Product info'!#REF!</f>
        <v>#REF!</v>
      </c>
      <c r="K298" s="52" t="e">
        <f t="shared" si="55"/>
        <v>#REF!</v>
      </c>
      <c r="L298" s="50" t="e">
        <f t="shared" si="56"/>
        <v>#REF!</v>
      </c>
      <c r="M298" s="50" t="e">
        <f t="shared" si="57"/>
        <v>#REF!</v>
      </c>
      <c r="N298" s="50" t="e">
        <f t="shared" si="58"/>
        <v>#REF!</v>
      </c>
      <c r="O298" s="50" t="e">
        <f t="shared" si="59"/>
        <v>#REF!</v>
      </c>
      <c r="P298" s="53" t="e">
        <f t="shared" si="60"/>
        <v>#REF!</v>
      </c>
      <c r="Q298" s="54" t="e">
        <f>'Product info'!#REF!</f>
        <v>#REF!</v>
      </c>
      <c r="R298" s="54" t="e">
        <f>'Product info'!#REF!</f>
        <v>#REF!</v>
      </c>
      <c r="S298" s="54" t="e">
        <f>'Product info'!#REF!</f>
        <v>#REF!</v>
      </c>
      <c r="T298" s="50" t="e">
        <f>'Product info'!#REF!</f>
        <v>#REF!</v>
      </c>
      <c r="U298" s="52" t="e">
        <f t="shared" si="61"/>
        <v>#REF!</v>
      </c>
      <c r="V298" s="50" t="e">
        <f t="shared" si="62"/>
        <v>#REF!</v>
      </c>
      <c r="W298" s="50" t="e">
        <f t="shared" si="63"/>
        <v>#REF!</v>
      </c>
      <c r="X298" s="50" t="e">
        <f t="shared" si="64"/>
        <v>#REF!</v>
      </c>
      <c r="Y298" s="50" t="e">
        <f t="shared" si="65"/>
        <v>#REF!</v>
      </c>
      <c r="Z298" t="e">
        <f t="shared" si="66"/>
        <v>#REF!</v>
      </c>
    </row>
    <row r="299" spans="1:26" x14ac:dyDescent="0.4">
      <c r="A299" t="e">
        <f>'Product info'!#REF!</f>
        <v>#REF!</v>
      </c>
      <c r="B299" t="e">
        <f>'Product info'!#REF!</f>
        <v>#REF!</v>
      </c>
      <c r="C299" t="e">
        <f>'Product info'!#REF!</f>
        <v>#REF!</v>
      </c>
      <c r="D299" s="6" t="e">
        <f>'Product info'!#REF!</f>
        <v>#REF!</v>
      </c>
      <c r="E299" t="e">
        <f t="shared" si="54"/>
        <v>#REF!</v>
      </c>
      <c r="F299" s="50" t="e">
        <f>'Product info'!#REF!</f>
        <v>#REF!</v>
      </c>
      <c r="G299" s="50" t="e">
        <f>'Product info'!#REF!</f>
        <v>#REF!</v>
      </c>
      <c r="H299" s="50" t="e">
        <f>'Product info'!#REF!</f>
        <v>#REF!</v>
      </c>
      <c r="I299" s="50" t="e">
        <f>'Product info'!#REF!</f>
        <v>#REF!</v>
      </c>
      <c r="J299" s="51" t="e">
        <f>'Product info'!#REF!</f>
        <v>#REF!</v>
      </c>
      <c r="K299" s="52" t="e">
        <f t="shared" si="55"/>
        <v>#REF!</v>
      </c>
      <c r="L299" s="50" t="e">
        <f t="shared" si="56"/>
        <v>#REF!</v>
      </c>
      <c r="M299" s="50" t="e">
        <f t="shared" si="57"/>
        <v>#REF!</v>
      </c>
      <c r="N299" s="50" t="e">
        <f t="shared" si="58"/>
        <v>#REF!</v>
      </c>
      <c r="O299" s="50" t="e">
        <f t="shared" si="59"/>
        <v>#REF!</v>
      </c>
      <c r="P299" s="53" t="e">
        <f t="shared" si="60"/>
        <v>#REF!</v>
      </c>
      <c r="Q299" s="54" t="e">
        <f>'Product info'!#REF!</f>
        <v>#REF!</v>
      </c>
      <c r="R299" s="54" t="e">
        <f>'Product info'!#REF!</f>
        <v>#REF!</v>
      </c>
      <c r="S299" s="54" t="e">
        <f>'Product info'!#REF!</f>
        <v>#REF!</v>
      </c>
      <c r="T299" s="50" t="e">
        <f>'Product info'!#REF!</f>
        <v>#REF!</v>
      </c>
      <c r="U299" s="52" t="e">
        <f t="shared" si="61"/>
        <v>#REF!</v>
      </c>
      <c r="V299" s="50" t="e">
        <f t="shared" si="62"/>
        <v>#REF!</v>
      </c>
      <c r="W299" s="50" t="e">
        <f t="shared" si="63"/>
        <v>#REF!</v>
      </c>
      <c r="X299" s="50" t="e">
        <f t="shared" si="64"/>
        <v>#REF!</v>
      </c>
      <c r="Y299" s="50" t="e">
        <f t="shared" si="65"/>
        <v>#REF!</v>
      </c>
      <c r="Z299" t="e">
        <f t="shared" si="66"/>
        <v>#REF!</v>
      </c>
    </row>
    <row r="300" spans="1:26" x14ac:dyDescent="0.4">
      <c r="A300" t="e">
        <f>'Product info'!#REF!</f>
        <v>#REF!</v>
      </c>
      <c r="B300" t="e">
        <f>'Product info'!#REF!</f>
        <v>#REF!</v>
      </c>
      <c r="C300" t="e">
        <f>'Product info'!#REF!</f>
        <v>#REF!</v>
      </c>
      <c r="D300" s="6" t="e">
        <f>'Product info'!#REF!</f>
        <v>#REF!</v>
      </c>
      <c r="E300" t="e">
        <f t="shared" si="54"/>
        <v>#REF!</v>
      </c>
      <c r="F300" s="50" t="e">
        <f>'Product info'!#REF!</f>
        <v>#REF!</v>
      </c>
      <c r="G300" s="50" t="e">
        <f>'Product info'!#REF!</f>
        <v>#REF!</v>
      </c>
      <c r="H300" s="50" t="e">
        <f>'Product info'!#REF!</f>
        <v>#REF!</v>
      </c>
      <c r="I300" s="50" t="e">
        <f>'Product info'!#REF!</f>
        <v>#REF!</v>
      </c>
      <c r="J300" s="51" t="e">
        <f>'Product info'!#REF!</f>
        <v>#REF!</v>
      </c>
      <c r="K300" s="52" t="e">
        <f t="shared" si="55"/>
        <v>#REF!</v>
      </c>
      <c r="L300" s="50" t="e">
        <f t="shared" si="56"/>
        <v>#REF!</v>
      </c>
      <c r="M300" s="50" t="e">
        <f t="shared" si="57"/>
        <v>#REF!</v>
      </c>
      <c r="N300" s="50" t="e">
        <f t="shared" si="58"/>
        <v>#REF!</v>
      </c>
      <c r="O300" s="50" t="e">
        <f t="shared" si="59"/>
        <v>#REF!</v>
      </c>
      <c r="P300" s="53" t="e">
        <f t="shared" si="60"/>
        <v>#REF!</v>
      </c>
      <c r="Q300" s="54" t="e">
        <f>'Product info'!#REF!</f>
        <v>#REF!</v>
      </c>
      <c r="R300" s="54" t="e">
        <f>'Product info'!#REF!</f>
        <v>#REF!</v>
      </c>
      <c r="S300" s="54" t="e">
        <f>'Product info'!#REF!</f>
        <v>#REF!</v>
      </c>
      <c r="T300" s="50" t="e">
        <f>'Product info'!#REF!</f>
        <v>#REF!</v>
      </c>
      <c r="U300" s="52" t="e">
        <f t="shared" si="61"/>
        <v>#REF!</v>
      </c>
      <c r="V300" s="50" t="e">
        <f t="shared" si="62"/>
        <v>#REF!</v>
      </c>
      <c r="W300" s="50" t="e">
        <f t="shared" si="63"/>
        <v>#REF!</v>
      </c>
      <c r="X300" s="50" t="e">
        <f t="shared" si="64"/>
        <v>#REF!</v>
      </c>
      <c r="Y300" s="50" t="e">
        <f t="shared" si="65"/>
        <v>#REF!</v>
      </c>
      <c r="Z300" t="e">
        <f t="shared" si="66"/>
        <v>#REF!</v>
      </c>
    </row>
    <row r="301" spans="1:26" x14ac:dyDescent="0.4">
      <c r="A301" t="e">
        <f>'Product info'!#REF!</f>
        <v>#REF!</v>
      </c>
      <c r="B301" t="e">
        <f>'Product info'!#REF!</f>
        <v>#REF!</v>
      </c>
      <c r="C301" t="e">
        <f>'Product info'!#REF!</f>
        <v>#REF!</v>
      </c>
      <c r="D301" s="6" t="e">
        <f>'Product info'!#REF!</f>
        <v>#REF!</v>
      </c>
      <c r="E301" t="e">
        <f t="shared" si="54"/>
        <v>#REF!</v>
      </c>
      <c r="F301" s="50" t="e">
        <f>'Product info'!#REF!</f>
        <v>#REF!</v>
      </c>
      <c r="G301" s="50" t="e">
        <f>'Product info'!#REF!</f>
        <v>#REF!</v>
      </c>
      <c r="H301" s="50" t="e">
        <f>'Product info'!#REF!</f>
        <v>#REF!</v>
      </c>
      <c r="I301" s="50" t="e">
        <f>'Product info'!#REF!</f>
        <v>#REF!</v>
      </c>
      <c r="J301" s="51" t="e">
        <f>'Product info'!#REF!</f>
        <v>#REF!</v>
      </c>
      <c r="K301" s="52" t="e">
        <f t="shared" si="55"/>
        <v>#REF!</v>
      </c>
      <c r="L301" s="50" t="e">
        <f t="shared" si="56"/>
        <v>#REF!</v>
      </c>
      <c r="M301" s="50" t="e">
        <f t="shared" si="57"/>
        <v>#REF!</v>
      </c>
      <c r="N301" s="50" t="e">
        <f t="shared" si="58"/>
        <v>#REF!</v>
      </c>
      <c r="O301" s="50" t="e">
        <f t="shared" si="59"/>
        <v>#REF!</v>
      </c>
      <c r="P301" s="53" t="e">
        <f t="shared" si="60"/>
        <v>#REF!</v>
      </c>
      <c r="Q301" s="54" t="e">
        <f>'Product info'!#REF!</f>
        <v>#REF!</v>
      </c>
      <c r="R301" s="54" t="e">
        <f>'Product info'!#REF!</f>
        <v>#REF!</v>
      </c>
      <c r="S301" s="54" t="e">
        <f>'Product info'!#REF!</f>
        <v>#REF!</v>
      </c>
      <c r="T301" s="50" t="e">
        <f>'Product info'!#REF!</f>
        <v>#REF!</v>
      </c>
      <c r="U301" s="52" t="e">
        <f t="shared" si="61"/>
        <v>#REF!</v>
      </c>
      <c r="V301" s="50" t="e">
        <f t="shared" si="62"/>
        <v>#REF!</v>
      </c>
      <c r="W301" s="50" t="e">
        <f t="shared" si="63"/>
        <v>#REF!</v>
      </c>
      <c r="X301" s="50" t="e">
        <f t="shared" si="64"/>
        <v>#REF!</v>
      </c>
      <c r="Y301" s="50" t="e">
        <f t="shared" si="65"/>
        <v>#REF!</v>
      </c>
      <c r="Z301" t="e">
        <f t="shared" si="66"/>
        <v>#REF!</v>
      </c>
    </row>
    <row r="302" spans="1:26" x14ac:dyDescent="0.4">
      <c r="A302" t="e">
        <f>'Product info'!#REF!</f>
        <v>#REF!</v>
      </c>
      <c r="B302" t="e">
        <f>'Product info'!#REF!</f>
        <v>#REF!</v>
      </c>
      <c r="C302" t="e">
        <f>'Product info'!#REF!</f>
        <v>#REF!</v>
      </c>
      <c r="D302" s="6" t="e">
        <f>'Product info'!#REF!</f>
        <v>#REF!</v>
      </c>
      <c r="E302" t="e">
        <f t="shared" si="54"/>
        <v>#REF!</v>
      </c>
      <c r="F302" s="50" t="e">
        <f>'Product info'!#REF!</f>
        <v>#REF!</v>
      </c>
      <c r="G302" s="50" t="e">
        <f>'Product info'!#REF!</f>
        <v>#REF!</v>
      </c>
      <c r="H302" s="50" t="e">
        <f>'Product info'!#REF!</f>
        <v>#REF!</v>
      </c>
      <c r="I302" s="50" t="e">
        <f>'Product info'!#REF!</f>
        <v>#REF!</v>
      </c>
      <c r="J302" s="51" t="e">
        <f>'Product info'!#REF!</f>
        <v>#REF!</v>
      </c>
      <c r="K302" s="52" t="e">
        <f t="shared" si="55"/>
        <v>#REF!</v>
      </c>
      <c r="L302" s="50" t="e">
        <f t="shared" si="56"/>
        <v>#REF!</v>
      </c>
      <c r="M302" s="50" t="e">
        <f t="shared" si="57"/>
        <v>#REF!</v>
      </c>
      <c r="N302" s="50" t="e">
        <f t="shared" si="58"/>
        <v>#REF!</v>
      </c>
      <c r="O302" s="50" t="e">
        <f t="shared" si="59"/>
        <v>#REF!</v>
      </c>
      <c r="P302" s="53" t="e">
        <f t="shared" si="60"/>
        <v>#REF!</v>
      </c>
      <c r="Q302" s="54" t="e">
        <f>'Product info'!#REF!</f>
        <v>#REF!</v>
      </c>
      <c r="R302" s="54" t="e">
        <f>'Product info'!#REF!</f>
        <v>#REF!</v>
      </c>
      <c r="S302" s="54" t="e">
        <f>'Product info'!#REF!</f>
        <v>#REF!</v>
      </c>
      <c r="T302" s="50" t="e">
        <f>'Product info'!#REF!</f>
        <v>#REF!</v>
      </c>
      <c r="U302" s="52" t="e">
        <f t="shared" si="61"/>
        <v>#REF!</v>
      </c>
      <c r="V302" s="50" t="e">
        <f t="shared" si="62"/>
        <v>#REF!</v>
      </c>
      <c r="W302" s="50" t="e">
        <f t="shared" si="63"/>
        <v>#REF!</v>
      </c>
      <c r="X302" s="50" t="e">
        <f t="shared" si="64"/>
        <v>#REF!</v>
      </c>
      <c r="Y302" s="50" t="e">
        <f t="shared" si="65"/>
        <v>#REF!</v>
      </c>
      <c r="Z302" t="e">
        <f t="shared" si="66"/>
        <v>#REF!</v>
      </c>
    </row>
    <row r="303" spans="1:26" x14ac:dyDescent="0.4">
      <c r="A303" t="e">
        <f>'Product info'!#REF!</f>
        <v>#REF!</v>
      </c>
      <c r="B303" t="e">
        <f>'Product info'!#REF!</f>
        <v>#REF!</v>
      </c>
      <c r="C303" t="e">
        <f>'Product info'!#REF!</f>
        <v>#REF!</v>
      </c>
      <c r="D303" s="6" t="e">
        <f>'Product info'!#REF!</f>
        <v>#REF!</v>
      </c>
      <c r="E303" t="e">
        <f t="shared" si="54"/>
        <v>#REF!</v>
      </c>
      <c r="F303" s="50" t="e">
        <f>'Product info'!#REF!</f>
        <v>#REF!</v>
      </c>
      <c r="G303" s="50" t="e">
        <f>'Product info'!#REF!</f>
        <v>#REF!</v>
      </c>
      <c r="H303" s="50" t="e">
        <f>'Product info'!#REF!</f>
        <v>#REF!</v>
      </c>
      <c r="I303" s="50" t="e">
        <f>'Product info'!#REF!</f>
        <v>#REF!</v>
      </c>
      <c r="J303" s="51" t="e">
        <f>'Product info'!#REF!</f>
        <v>#REF!</v>
      </c>
      <c r="K303" s="52" t="e">
        <f t="shared" si="55"/>
        <v>#REF!</v>
      </c>
      <c r="L303" s="50" t="e">
        <f t="shared" si="56"/>
        <v>#REF!</v>
      </c>
      <c r="M303" s="50" t="e">
        <f t="shared" si="57"/>
        <v>#REF!</v>
      </c>
      <c r="N303" s="50" t="e">
        <f t="shared" si="58"/>
        <v>#REF!</v>
      </c>
      <c r="O303" s="50" t="e">
        <f t="shared" si="59"/>
        <v>#REF!</v>
      </c>
      <c r="P303" s="53" t="e">
        <f t="shared" si="60"/>
        <v>#REF!</v>
      </c>
      <c r="Q303" s="54" t="e">
        <f>'Product info'!#REF!</f>
        <v>#REF!</v>
      </c>
      <c r="R303" s="54" t="e">
        <f>'Product info'!#REF!</f>
        <v>#REF!</v>
      </c>
      <c r="S303" s="54" t="e">
        <f>'Product info'!#REF!</f>
        <v>#REF!</v>
      </c>
      <c r="T303" s="50" t="e">
        <f>'Product info'!#REF!</f>
        <v>#REF!</v>
      </c>
      <c r="U303" s="52" t="e">
        <f t="shared" si="61"/>
        <v>#REF!</v>
      </c>
      <c r="V303" s="50" t="e">
        <f t="shared" si="62"/>
        <v>#REF!</v>
      </c>
      <c r="W303" s="50" t="e">
        <f t="shared" si="63"/>
        <v>#REF!</v>
      </c>
      <c r="X303" s="50" t="e">
        <f t="shared" si="64"/>
        <v>#REF!</v>
      </c>
      <c r="Y303" s="50" t="e">
        <f t="shared" si="65"/>
        <v>#REF!</v>
      </c>
      <c r="Z303" t="e">
        <f t="shared" si="66"/>
        <v>#REF!</v>
      </c>
    </row>
    <row r="304" spans="1:26" x14ac:dyDescent="0.4">
      <c r="A304" t="e">
        <f>'Product info'!#REF!</f>
        <v>#REF!</v>
      </c>
      <c r="B304" t="e">
        <f>'Product info'!#REF!</f>
        <v>#REF!</v>
      </c>
      <c r="C304" t="e">
        <f>'Product info'!#REF!</f>
        <v>#REF!</v>
      </c>
      <c r="D304" s="6" t="e">
        <f>'Product info'!#REF!</f>
        <v>#REF!</v>
      </c>
      <c r="E304" t="e">
        <f t="shared" si="54"/>
        <v>#REF!</v>
      </c>
      <c r="F304" s="50" t="e">
        <f>'Product info'!#REF!</f>
        <v>#REF!</v>
      </c>
      <c r="G304" s="50" t="e">
        <f>'Product info'!#REF!</f>
        <v>#REF!</v>
      </c>
      <c r="H304" s="50" t="e">
        <f>'Product info'!#REF!</f>
        <v>#REF!</v>
      </c>
      <c r="I304" s="50" t="e">
        <f>'Product info'!#REF!</f>
        <v>#REF!</v>
      </c>
      <c r="J304" s="51" t="e">
        <f>'Product info'!#REF!</f>
        <v>#REF!</v>
      </c>
      <c r="K304" s="52" t="e">
        <f t="shared" si="55"/>
        <v>#REF!</v>
      </c>
      <c r="L304" s="50" t="e">
        <f t="shared" si="56"/>
        <v>#REF!</v>
      </c>
      <c r="M304" s="50" t="e">
        <f t="shared" si="57"/>
        <v>#REF!</v>
      </c>
      <c r="N304" s="50" t="e">
        <f t="shared" si="58"/>
        <v>#REF!</v>
      </c>
      <c r="O304" s="50" t="e">
        <f t="shared" si="59"/>
        <v>#REF!</v>
      </c>
      <c r="P304" s="53" t="e">
        <f t="shared" si="60"/>
        <v>#REF!</v>
      </c>
      <c r="Q304" s="54" t="e">
        <f>'Product info'!#REF!</f>
        <v>#REF!</v>
      </c>
      <c r="R304" s="54" t="e">
        <f>'Product info'!#REF!</f>
        <v>#REF!</v>
      </c>
      <c r="S304" s="54" t="e">
        <f>'Product info'!#REF!</f>
        <v>#REF!</v>
      </c>
      <c r="T304" s="50" t="e">
        <f>'Product info'!#REF!</f>
        <v>#REF!</v>
      </c>
      <c r="U304" s="52" t="e">
        <f t="shared" si="61"/>
        <v>#REF!</v>
      </c>
      <c r="V304" s="50" t="e">
        <f t="shared" si="62"/>
        <v>#REF!</v>
      </c>
      <c r="W304" s="50" t="e">
        <f t="shared" si="63"/>
        <v>#REF!</v>
      </c>
      <c r="X304" s="50" t="e">
        <f t="shared" si="64"/>
        <v>#REF!</v>
      </c>
      <c r="Y304" s="50" t="e">
        <f t="shared" si="65"/>
        <v>#REF!</v>
      </c>
      <c r="Z304" t="e">
        <f t="shared" si="66"/>
        <v>#REF!</v>
      </c>
    </row>
    <row r="305" spans="1:26" x14ac:dyDescent="0.4">
      <c r="A305" t="e">
        <f>'Product info'!#REF!</f>
        <v>#REF!</v>
      </c>
      <c r="B305" t="e">
        <f>'Product info'!#REF!</f>
        <v>#REF!</v>
      </c>
      <c r="C305" t="e">
        <f>'Product info'!#REF!</f>
        <v>#REF!</v>
      </c>
      <c r="D305" s="6" t="e">
        <f>'Product info'!#REF!</f>
        <v>#REF!</v>
      </c>
      <c r="E305" t="e">
        <f t="shared" si="54"/>
        <v>#REF!</v>
      </c>
      <c r="F305" s="50" t="e">
        <f>'Product info'!#REF!</f>
        <v>#REF!</v>
      </c>
      <c r="G305" s="50" t="e">
        <f>'Product info'!#REF!</f>
        <v>#REF!</v>
      </c>
      <c r="H305" s="50" t="e">
        <f>'Product info'!#REF!</f>
        <v>#REF!</v>
      </c>
      <c r="I305" s="50" t="e">
        <f>'Product info'!#REF!</f>
        <v>#REF!</v>
      </c>
      <c r="J305" s="51" t="e">
        <f>'Product info'!#REF!</f>
        <v>#REF!</v>
      </c>
      <c r="K305" s="52" t="e">
        <f t="shared" si="55"/>
        <v>#REF!</v>
      </c>
      <c r="L305" s="50" t="e">
        <f t="shared" si="56"/>
        <v>#REF!</v>
      </c>
      <c r="M305" s="50" t="e">
        <f t="shared" si="57"/>
        <v>#REF!</v>
      </c>
      <c r="N305" s="50" t="e">
        <f t="shared" si="58"/>
        <v>#REF!</v>
      </c>
      <c r="O305" s="50" t="e">
        <f t="shared" si="59"/>
        <v>#REF!</v>
      </c>
      <c r="P305" s="53" t="e">
        <f t="shared" si="60"/>
        <v>#REF!</v>
      </c>
      <c r="Q305" s="54" t="e">
        <f>'Product info'!#REF!</f>
        <v>#REF!</v>
      </c>
      <c r="R305" s="54" t="e">
        <f>'Product info'!#REF!</f>
        <v>#REF!</v>
      </c>
      <c r="S305" s="54" t="e">
        <f>'Product info'!#REF!</f>
        <v>#REF!</v>
      </c>
      <c r="T305" s="50" t="e">
        <f>'Product info'!#REF!</f>
        <v>#REF!</v>
      </c>
      <c r="U305" s="52" t="e">
        <f t="shared" si="61"/>
        <v>#REF!</v>
      </c>
      <c r="V305" s="50" t="e">
        <f t="shared" si="62"/>
        <v>#REF!</v>
      </c>
      <c r="W305" s="50" t="e">
        <f t="shared" si="63"/>
        <v>#REF!</v>
      </c>
      <c r="X305" s="50" t="e">
        <f t="shared" si="64"/>
        <v>#REF!</v>
      </c>
      <c r="Y305" s="50" t="e">
        <f t="shared" si="65"/>
        <v>#REF!</v>
      </c>
      <c r="Z305" t="e">
        <f t="shared" si="66"/>
        <v>#REF!</v>
      </c>
    </row>
    <row r="306" spans="1:26" x14ac:dyDescent="0.4">
      <c r="A306" t="e">
        <f>'Product info'!#REF!</f>
        <v>#REF!</v>
      </c>
      <c r="B306" t="e">
        <f>'Product info'!#REF!</f>
        <v>#REF!</v>
      </c>
      <c r="C306" t="e">
        <f>'Product info'!#REF!</f>
        <v>#REF!</v>
      </c>
      <c r="D306" s="6" t="e">
        <f>'Product info'!#REF!</f>
        <v>#REF!</v>
      </c>
      <c r="E306" t="e">
        <f t="shared" si="54"/>
        <v>#REF!</v>
      </c>
      <c r="F306" s="50" t="e">
        <f>'Product info'!#REF!</f>
        <v>#REF!</v>
      </c>
      <c r="G306" s="50" t="e">
        <f>'Product info'!#REF!</f>
        <v>#REF!</v>
      </c>
      <c r="H306" s="50" t="e">
        <f>'Product info'!#REF!</f>
        <v>#REF!</v>
      </c>
      <c r="I306" s="50" t="e">
        <f>'Product info'!#REF!</f>
        <v>#REF!</v>
      </c>
      <c r="J306" s="51" t="e">
        <f>'Product info'!#REF!</f>
        <v>#REF!</v>
      </c>
      <c r="K306" s="52" t="e">
        <f t="shared" si="55"/>
        <v>#REF!</v>
      </c>
      <c r="L306" s="50" t="e">
        <f t="shared" si="56"/>
        <v>#REF!</v>
      </c>
      <c r="M306" s="50" t="e">
        <f t="shared" si="57"/>
        <v>#REF!</v>
      </c>
      <c r="N306" s="50" t="e">
        <f t="shared" si="58"/>
        <v>#REF!</v>
      </c>
      <c r="O306" s="50" t="e">
        <f t="shared" si="59"/>
        <v>#REF!</v>
      </c>
      <c r="P306" s="53" t="e">
        <f t="shared" si="60"/>
        <v>#REF!</v>
      </c>
      <c r="Q306" s="54" t="e">
        <f>'Product info'!#REF!</f>
        <v>#REF!</v>
      </c>
      <c r="R306" s="54" t="e">
        <f>'Product info'!#REF!</f>
        <v>#REF!</v>
      </c>
      <c r="S306" s="54" t="e">
        <f>'Product info'!#REF!</f>
        <v>#REF!</v>
      </c>
      <c r="T306" s="50" t="e">
        <f>'Product info'!#REF!</f>
        <v>#REF!</v>
      </c>
      <c r="U306" s="52" t="e">
        <f t="shared" si="61"/>
        <v>#REF!</v>
      </c>
      <c r="V306" s="50" t="e">
        <f t="shared" si="62"/>
        <v>#REF!</v>
      </c>
      <c r="W306" s="50" t="e">
        <f t="shared" si="63"/>
        <v>#REF!</v>
      </c>
      <c r="X306" s="50" t="e">
        <f t="shared" si="64"/>
        <v>#REF!</v>
      </c>
      <c r="Y306" s="50" t="e">
        <f t="shared" si="65"/>
        <v>#REF!</v>
      </c>
      <c r="Z306" t="e">
        <f t="shared" si="66"/>
        <v>#REF!</v>
      </c>
    </row>
    <row r="307" spans="1:26" x14ac:dyDescent="0.4">
      <c r="A307" t="e">
        <f>'Product info'!#REF!</f>
        <v>#REF!</v>
      </c>
      <c r="B307" t="e">
        <f>'Product info'!#REF!</f>
        <v>#REF!</v>
      </c>
      <c r="C307" t="e">
        <f>'Product info'!#REF!</f>
        <v>#REF!</v>
      </c>
      <c r="D307" s="6" t="e">
        <f>'Product info'!#REF!</f>
        <v>#REF!</v>
      </c>
      <c r="E307" t="e">
        <f t="shared" si="54"/>
        <v>#REF!</v>
      </c>
      <c r="F307" s="50" t="e">
        <f>'Product info'!#REF!</f>
        <v>#REF!</v>
      </c>
      <c r="G307" s="50" t="e">
        <f>'Product info'!#REF!</f>
        <v>#REF!</v>
      </c>
      <c r="H307" s="50" t="e">
        <f>'Product info'!#REF!</f>
        <v>#REF!</v>
      </c>
      <c r="I307" s="50" t="e">
        <f>'Product info'!#REF!</f>
        <v>#REF!</v>
      </c>
      <c r="J307" s="51" t="e">
        <f>'Product info'!#REF!</f>
        <v>#REF!</v>
      </c>
      <c r="K307" s="52" t="e">
        <f t="shared" si="55"/>
        <v>#REF!</v>
      </c>
      <c r="L307" s="50" t="e">
        <f t="shared" si="56"/>
        <v>#REF!</v>
      </c>
      <c r="M307" s="50" t="e">
        <f t="shared" si="57"/>
        <v>#REF!</v>
      </c>
      <c r="N307" s="50" t="e">
        <f t="shared" si="58"/>
        <v>#REF!</v>
      </c>
      <c r="O307" s="50" t="e">
        <f t="shared" si="59"/>
        <v>#REF!</v>
      </c>
      <c r="P307" s="53" t="e">
        <f t="shared" si="60"/>
        <v>#REF!</v>
      </c>
      <c r="Q307" s="54" t="e">
        <f>'Product info'!#REF!</f>
        <v>#REF!</v>
      </c>
      <c r="R307" s="54" t="e">
        <f>'Product info'!#REF!</f>
        <v>#REF!</v>
      </c>
      <c r="S307" s="54" t="e">
        <f>'Product info'!#REF!</f>
        <v>#REF!</v>
      </c>
      <c r="T307" s="50" t="e">
        <f>'Product info'!#REF!</f>
        <v>#REF!</v>
      </c>
      <c r="U307" s="52" t="e">
        <f t="shared" si="61"/>
        <v>#REF!</v>
      </c>
      <c r="V307" s="50" t="e">
        <f t="shared" si="62"/>
        <v>#REF!</v>
      </c>
      <c r="W307" s="50" t="e">
        <f t="shared" si="63"/>
        <v>#REF!</v>
      </c>
      <c r="X307" s="50" t="e">
        <f t="shared" si="64"/>
        <v>#REF!</v>
      </c>
      <c r="Y307" s="50" t="e">
        <f t="shared" si="65"/>
        <v>#REF!</v>
      </c>
      <c r="Z307" t="e">
        <f t="shared" si="66"/>
        <v>#REF!</v>
      </c>
    </row>
    <row r="308" spans="1:26" x14ac:dyDescent="0.4">
      <c r="A308" t="e">
        <f>'Product info'!#REF!</f>
        <v>#REF!</v>
      </c>
      <c r="B308" t="e">
        <f>'Product info'!#REF!</f>
        <v>#REF!</v>
      </c>
      <c r="C308" t="e">
        <f>'Product info'!#REF!</f>
        <v>#REF!</v>
      </c>
      <c r="D308" s="6" t="e">
        <f>'Product info'!#REF!</f>
        <v>#REF!</v>
      </c>
      <c r="E308" t="e">
        <f t="shared" si="54"/>
        <v>#REF!</v>
      </c>
      <c r="F308" s="50" t="e">
        <f>'Product info'!#REF!</f>
        <v>#REF!</v>
      </c>
      <c r="G308" s="50" t="e">
        <f>'Product info'!#REF!</f>
        <v>#REF!</v>
      </c>
      <c r="H308" s="50" t="e">
        <f>'Product info'!#REF!</f>
        <v>#REF!</v>
      </c>
      <c r="I308" s="50" t="e">
        <f>'Product info'!#REF!</f>
        <v>#REF!</v>
      </c>
      <c r="J308" s="51" t="e">
        <f>'Product info'!#REF!</f>
        <v>#REF!</v>
      </c>
      <c r="K308" s="52" t="e">
        <f t="shared" si="55"/>
        <v>#REF!</v>
      </c>
      <c r="L308" s="50" t="e">
        <f t="shared" si="56"/>
        <v>#REF!</v>
      </c>
      <c r="M308" s="50" t="e">
        <f t="shared" si="57"/>
        <v>#REF!</v>
      </c>
      <c r="N308" s="50" t="e">
        <f t="shared" si="58"/>
        <v>#REF!</v>
      </c>
      <c r="O308" s="50" t="e">
        <f t="shared" si="59"/>
        <v>#REF!</v>
      </c>
      <c r="P308" s="53" t="e">
        <f t="shared" si="60"/>
        <v>#REF!</v>
      </c>
      <c r="Q308" s="54" t="e">
        <f>'Product info'!#REF!</f>
        <v>#REF!</v>
      </c>
      <c r="R308" s="54" t="e">
        <f>'Product info'!#REF!</f>
        <v>#REF!</v>
      </c>
      <c r="S308" s="54" t="e">
        <f>'Product info'!#REF!</f>
        <v>#REF!</v>
      </c>
      <c r="T308" s="50" t="e">
        <f>'Product info'!#REF!</f>
        <v>#REF!</v>
      </c>
      <c r="U308" s="52" t="e">
        <f t="shared" si="61"/>
        <v>#REF!</v>
      </c>
      <c r="V308" s="50" t="e">
        <f t="shared" si="62"/>
        <v>#REF!</v>
      </c>
      <c r="W308" s="50" t="e">
        <f t="shared" si="63"/>
        <v>#REF!</v>
      </c>
      <c r="X308" s="50" t="e">
        <f t="shared" si="64"/>
        <v>#REF!</v>
      </c>
      <c r="Y308" s="50" t="e">
        <f t="shared" si="65"/>
        <v>#REF!</v>
      </c>
      <c r="Z308" t="e">
        <f t="shared" si="66"/>
        <v>#REF!</v>
      </c>
    </row>
    <row r="309" spans="1:26" x14ac:dyDescent="0.4">
      <c r="A309" t="e">
        <f>'Product info'!#REF!</f>
        <v>#REF!</v>
      </c>
      <c r="B309" t="e">
        <f>'Product info'!#REF!</f>
        <v>#REF!</v>
      </c>
      <c r="C309" t="e">
        <f>'Product info'!#REF!</f>
        <v>#REF!</v>
      </c>
      <c r="D309" s="6" t="e">
        <f>'Product info'!#REF!</f>
        <v>#REF!</v>
      </c>
      <c r="E309" t="e">
        <f t="shared" si="54"/>
        <v>#REF!</v>
      </c>
      <c r="F309" s="50" t="e">
        <f>'Product info'!#REF!</f>
        <v>#REF!</v>
      </c>
      <c r="G309" s="50" t="e">
        <f>'Product info'!#REF!</f>
        <v>#REF!</v>
      </c>
      <c r="H309" s="50" t="e">
        <f>'Product info'!#REF!</f>
        <v>#REF!</v>
      </c>
      <c r="I309" s="50" t="e">
        <f>'Product info'!#REF!</f>
        <v>#REF!</v>
      </c>
      <c r="J309" s="51" t="e">
        <f>'Product info'!#REF!</f>
        <v>#REF!</v>
      </c>
      <c r="K309" s="52" t="e">
        <f t="shared" si="55"/>
        <v>#REF!</v>
      </c>
      <c r="L309" s="50" t="e">
        <f t="shared" si="56"/>
        <v>#REF!</v>
      </c>
      <c r="M309" s="50" t="e">
        <f t="shared" si="57"/>
        <v>#REF!</v>
      </c>
      <c r="N309" s="50" t="e">
        <f t="shared" si="58"/>
        <v>#REF!</v>
      </c>
      <c r="O309" s="50" t="e">
        <f t="shared" si="59"/>
        <v>#REF!</v>
      </c>
      <c r="P309" s="53" t="e">
        <f t="shared" si="60"/>
        <v>#REF!</v>
      </c>
      <c r="Q309" s="54" t="e">
        <f>'Product info'!#REF!</f>
        <v>#REF!</v>
      </c>
      <c r="R309" s="54" t="e">
        <f>'Product info'!#REF!</f>
        <v>#REF!</v>
      </c>
      <c r="S309" s="54" t="e">
        <f>'Product info'!#REF!</f>
        <v>#REF!</v>
      </c>
      <c r="T309" s="50" t="e">
        <f>'Product info'!#REF!</f>
        <v>#REF!</v>
      </c>
      <c r="U309" s="52" t="e">
        <f t="shared" si="61"/>
        <v>#REF!</v>
      </c>
      <c r="V309" s="50" t="e">
        <f t="shared" si="62"/>
        <v>#REF!</v>
      </c>
      <c r="W309" s="50" t="e">
        <f t="shared" si="63"/>
        <v>#REF!</v>
      </c>
      <c r="X309" s="50" t="e">
        <f t="shared" si="64"/>
        <v>#REF!</v>
      </c>
      <c r="Y309" s="50" t="e">
        <f t="shared" si="65"/>
        <v>#REF!</v>
      </c>
      <c r="Z309" t="e">
        <f t="shared" si="66"/>
        <v>#REF!</v>
      </c>
    </row>
    <row r="310" spans="1:26" x14ac:dyDescent="0.4">
      <c r="A310" t="e">
        <f>'Product info'!#REF!</f>
        <v>#REF!</v>
      </c>
      <c r="B310" t="e">
        <f>'Product info'!#REF!</f>
        <v>#REF!</v>
      </c>
      <c r="C310" t="e">
        <f>'Product info'!#REF!</f>
        <v>#REF!</v>
      </c>
      <c r="D310" s="6" t="e">
        <f>'Product info'!#REF!</f>
        <v>#REF!</v>
      </c>
      <c r="E310" t="e">
        <f t="shared" si="54"/>
        <v>#REF!</v>
      </c>
      <c r="F310" s="50" t="e">
        <f>'Product info'!#REF!</f>
        <v>#REF!</v>
      </c>
      <c r="G310" s="50" t="e">
        <f>'Product info'!#REF!</f>
        <v>#REF!</v>
      </c>
      <c r="H310" s="50" t="e">
        <f>'Product info'!#REF!</f>
        <v>#REF!</v>
      </c>
      <c r="I310" s="50" t="e">
        <f>'Product info'!#REF!</f>
        <v>#REF!</v>
      </c>
      <c r="J310" s="51" t="e">
        <f>'Product info'!#REF!</f>
        <v>#REF!</v>
      </c>
      <c r="K310" s="52" t="e">
        <f t="shared" si="55"/>
        <v>#REF!</v>
      </c>
      <c r="L310" s="50" t="e">
        <f t="shared" si="56"/>
        <v>#REF!</v>
      </c>
      <c r="M310" s="50" t="e">
        <f t="shared" si="57"/>
        <v>#REF!</v>
      </c>
      <c r="N310" s="50" t="e">
        <f t="shared" si="58"/>
        <v>#REF!</v>
      </c>
      <c r="O310" s="50" t="e">
        <f t="shared" si="59"/>
        <v>#REF!</v>
      </c>
      <c r="P310" s="53" t="e">
        <f t="shared" si="60"/>
        <v>#REF!</v>
      </c>
      <c r="Q310" s="54" t="e">
        <f>'Product info'!#REF!</f>
        <v>#REF!</v>
      </c>
      <c r="R310" s="54" t="e">
        <f>'Product info'!#REF!</f>
        <v>#REF!</v>
      </c>
      <c r="S310" s="54" t="e">
        <f>'Product info'!#REF!</f>
        <v>#REF!</v>
      </c>
      <c r="T310" s="50" t="e">
        <f>'Product info'!#REF!</f>
        <v>#REF!</v>
      </c>
      <c r="U310" s="52" t="e">
        <f t="shared" si="61"/>
        <v>#REF!</v>
      </c>
      <c r="V310" s="50" t="e">
        <f t="shared" si="62"/>
        <v>#REF!</v>
      </c>
      <c r="W310" s="50" t="e">
        <f t="shared" si="63"/>
        <v>#REF!</v>
      </c>
      <c r="X310" s="50" t="e">
        <f t="shared" si="64"/>
        <v>#REF!</v>
      </c>
      <c r="Y310" s="50" t="e">
        <f t="shared" si="65"/>
        <v>#REF!</v>
      </c>
      <c r="Z310" t="e">
        <f t="shared" si="66"/>
        <v>#REF!</v>
      </c>
    </row>
    <row r="311" spans="1:26" x14ac:dyDescent="0.4">
      <c r="A311" t="e">
        <f>'Product info'!#REF!</f>
        <v>#REF!</v>
      </c>
      <c r="B311" t="e">
        <f>'Product info'!#REF!</f>
        <v>#REF!</v>
      </c>
      <c r="C311" t="e">
        <f>'Product info'!#REF!</f>
        <v>#REF!</v>
      </c>
      <c r="D311" s="6" t="e">
        <f>'Product info'!#REF!</f>
        <v>#REF!</v>
      </c>
      <c r="E311" t="e">
        <f t="shared" si="54"/>
        <v>#REF!</v>
      </c>
      <c r="F311" s="50" t="e">
        <f>'Product info'!#REF!</f>
        <v>#REF!</v>
      </c>
      <c r="G311" s="50" t="e">
        <f>'Product info'!#REF!</f>
        <v>#REF!</v>
      </c>
      <c r="H311" s="50" t="e">
        <f>'Product info'!#REF!</f>
        <v>#REF!</v>
      </c>
      <c r="I311" s="50" t="e">
        <f>'Product info'!#REF!</f>
        <v>#REF!</v>
      </c>
      <c r="J311" s="51" t="e">
        <f>'Product info'!#REF!</f>
        <v>#REF!</v>
      </c>
      <c r="K311" s="52" t="e">
        <f t="shared" si="55"/>
        <v>#REF!</v>
      </c>
      <c r="L311" s="50" t="e">
        <f t="shared" si="56"/>
        <v>#REF!</v>
      </c>
      <c r="M311" s="50" t="e">
        <f t="shared" si="57"/>
        <v>#REF!</v>
      </c>
      <c r="N311" s="50" t="e">
        <f t="shared" si="58"/>
        <v>#REF!</v>
      </c>
      <c r="O311" s="50" t="e">
        <f t="shared" si="59"/>
        <v>#REF!</v>
      </c>
      <c r="P311" s="53" t="e">
        <f t="shared" si="60"/>
        <v>#REF!</v>
      </c>
      <c r="Q311" s="54" t="e">
        <f>'Product info'!#REF!</f>
        <v>#REF!</v>
      </c>
      <c r="R311" s="54" t="e">
        <f>'Product info'!#REF!</f>
        <v>#REF!</v>
      </c>
      <c r="S311" s="54" t="e">
        <f>'Product info'!#REF!</f>
        <v>#REF!</v>
      </c>
      <c r="T311" s="50" t="e">
        <f>'Product info'!#REF!</f>
        <v>#REF!</v>
      </c>
      <c r="U311" s="52" t="e">
        <f t="shared" si="61"/>
        <v>#REF!</v>
      </c>
      <c r="V311" s="50" t="e">
        <f t="shared" si="62"/>
        <v>#REF!</v>
      </c>
      <c r="W311" s="50" t="e">
        <f t="shared" si="63"/>
        <v>#REF!</v>
      </c>
      <c r="X311" s="50" t="e">
        <f t="shared" si="64"/>
        <v>#REF!</v>
      </c>
      <c r="Y311" s="50" t="e">
        <f t="shared" si="65"/>
        <v>#REF!</v>
      </c>
      <c r="Z311" t="e">
        <f t="shared" si="66"/>
        <v>#REF!</v>
      </c>
    </row>
    <row r="312" spans="1:26" x14ac:dyDescent="0.4">
      <c r="A312" t="e">
        <f>'Product info'!#REF!</f>
        <v>#REF!</v>
      </c>
      <c r="B312" t="e">
        <f>'Product info'!#REF!</f>
        <v>#REF!</v>
      </c>
      <c r="C312" t="e">
        <f>'Product info'!#REF!</f>
        <v>#REF!</v>
      </c>
      <c r="D312" s="6" t="e">
        <f>'Product info'!#REF!</f>
        <v>#REF!</v>
      </c>
      <c r="E312" t="e">
        <f t="shared" si="54"/>
        <v>#REF!</v>
      </c>
      <c r="F312" s="50" t="e">
        <f>'Product info'!#REF!</f>
        <v>#REF!</v>
      </c>
      <c r="G312" s="50" t="e">
        <f>'Product info'!#REF!</f>
        <v>#REF!</v>
      </c>
      <c r="H312" s="50" t="e">
        <f>'Product info'!#REF!</f>
        <v>#REF!</v>
      </c>
      <c r="I312" s="50" t="e">
        <f>'Product info'!#REF!</f>
        <v>#REF!</v>
      </c>
      <c r="J312" s="51" t="e">
        <f>'Product info'!#REF!</f>
        <v>#REF!</v>
      </c>
      <c r="K312" s="52" t="e">
        <f t="shared" si="55"/>
        <v>#REF!</v>
      </c>
      <c r="L312" s="50" t="e">
        <f t="shared" si="56"/>
        <v>#REF!</v>
      </c>
      <c r="M312" s="50" t="e">
        <f t="shared" si="57"/>
        <v>#REF!</v>
      </c>
      <c r="N312" s="50" t="e">
        <f t="shared" si="58"/>
        <v>#REF!</v>
      </c>
      <c r="O312" s="50" t="e">
        <f t="shared" si="59"/>
        <v>#REF!</v>
      </c>
      <c r="P312" s="53" t="e">
        <f t="shared" si="60"/>
        <v>#REF!</v>
      </c>
      <c r="Q312" s="54" t="e">
        <f>'Product info'!#REF!</f>
        <v>#REF!</v>
      </c>
      <c r="R312" s="54" t="e">
        <f>'Product info'!#REF!</f>
        <v>#REF!</v>
      </c>
      <c r="S312" s="54" t="e">
        <f>'Product info'!#REF!</f>
        <v>#REF!</v>
      </c>
      <c r="T312" s="50" t="e">
        <f>'Product info'!#REF!</f>
        <v>#REF!</v>
      </c>
      <c r="U312" s="52" t="e">
        <f t="shared" si="61"/>
        <v>#REF!</v>
      </c>
      <c r="V312" s="50" t="e">
        <f t="shared" si="62"/>
        <v>#REF!</v>
      </c>
      <c r="W312" s="50" t="e">
        <f t="shared" si="63"/>
        <v>#REF!</v>
      </c>
      <c r="X312" s="50" t="e">
        <f t="shared" si="64"/>
        <v>#REF!</v>
      </c>
      <c r="Y312" s="50" t="e">
        <f t="shared" si="65"/>
        <v>#REF!</v>
      </c>
      <c r="Z312" t="e">
        <f t="shared" si="66"/>
        <v>#REF!</v>
      </c>
    </row>
    <row r="313" spans="1:26" x14ac:dyDescent="0.4">
      <c r="A313" t="e">
        <f>'Product info'!#REF!</f>
        <v>#REF!</v>
      </c>
      <c r="B313" t="e">
        <f>'Product info'!#REF!</f>
        <v>#REF!</v>
      </c>
      <c r="C313" t="e">
        <f>'Product info'!#REF!</f>
        <v>#REF!</v>
      </c>
      <c r="D313" s="6" t="e">
        <f>'Product info'!#REF!</f>
        <v>#REF!</v>
      </c>
      <c r="E313" t="e">
        <f t="shared" si="54"/>
        <v>#REF!</v>
      </c>
      <c r="F313" s="50" t="e">
        <f>'Product info'!#REF!</f>
        <v>#REF!</v>
      </c>
      <c r="G313" s="50" t="e">
        <f>'Product info'!#REF!</f>
        <v>#REF!</v>
      </c>
      <c r="H313" s="50" t="e">
        <f>'Product info'!#REF!</f>
        <v>#REF!</v>
      </c>
      <c r="I313" s="50" t="e">
        <f>'Product info'!#REF!</f>
        <v>#REF!</v>
      </c>
      <c r="J313" s="51" t="e">
        <f>'Product info'!#REF!</f>
        <v>#REF!</v>
      </c>
      <c r="K313" s="52" t="e">
        <f t="shared" si="55"/>
        <v>#REF!</v>
      </c>
      <c r="L313" s="50" t="e">
        <f t="shared" si="56"/>
        <v>#REF!</v>
      </c>
      <c r="M313" s="50" t="e">
        <f t="shared" si="57"/>
        <v>#REF!</v>
      </c>
      <c r="N313" s="50" t="e">
        <f t="shared" si="58"/>
        <v>#REF!</v>
      </c>
      <c r="O313" s="50" t="e">
        <f t="shared" si="59"/>
        <v>#REF!</v>
      </c>
      <c r="P313" s="53" t="e">
        <f t="shared" si="60"/>
        <v>#REF!</v>
      </c>
      <c r="Q313" s="54" t="e">
        <f>'Product info'!#REF!</f>
        <v>#REF!</v>
      </c>
      <c r="R313" s="54" t="e">
        <f>'Product info'!#REF!</f>
        <v>#REF!</v>
      </c>
      <c r="S313" s="54" t="e">
        <f>'Product info'!#REF!</f>
        <v>#REF!</v>
      </c>
      <c r="T313" s="50" t="e">
        <f>'Product info'!#REF!</f>
        <v>#REF!</v>
      </c>
      <c r="U313" s="52" t="e">
        <f t="shared" si="61"/>
        <v>#REF!</v>
      </c>
      <c r="V313" s="50" t="e">
        <f t="shared" si="62"/>
        <v>#REF!</v>
      </c>
      <c r="W313" s="50" t="e">
        <f t="shared" si="63"/>
        <v>#REF!</v>
      </c>
      <c r="X313" s="50" t="e">
        <f t="shared" si="64"/>
        <v>#REF!</v>
      </c>
      <c r="Y313" s="50" t="e">
        <f t="shared" si="65"/>
        <v>#REF!</v>
      </c>
      <c r="Z313" t="e">
        <f t="shared" si="66"/>
        <v>#REF!</v>
      </c>
    </row>
    <row r="314" spans="1:26" x14ac:dyDescent="0.4">
      <c r="A314" t="e">
        <f>'Product info'!#REF!</f>
        <v>#REF!</v>
      </c>
      <c r="B314" t="e">
        <f>'Product info'!#REF!</f>
        <v>#REF!</v>
      </c>
      <c r="C314" t="e">
        <f>'Product info'!#REF!</f>
        <v>#REF!</v>
      </c>
      <c r="D314" s="6" t="e">
        <f>'Product info'!#REF!</f>
        <v>#REF!</v>
      </c>
      <c r="E314" t="e">
        <f t="shared" si="54"/>
        <v>#REF!</v>
      </c>
      <c r="F314" s="50" t="e">
        <f>'Product info'!#REF!</f>
        <v>#REF!</v>
      </c>
      <c r="G314" s="50" t="e">
        <f>'Product info'!#REF!</f>
        <v>#REF!</v>
      </c>
      <c r="H314" s="50" t="e">
        <f>'Product info'!#REF!</f>
        <v>#REF!</v>
      </c>
      <c r="I314" s="50" t="e">
        <f>'Product info'!#REF!</f>
        <v>#REF!</v>
      </c>
      <c r="J314" s="51" t="e">
        <f>'Product info'!#REF!</f>
        <v>#REF!</v>
      </c>
      <c r="K314" s="52" t="e">
        <f t="shared" si="55"/>
        <v>#REF!</v>
      </c>
      <c r="L314" s="50" t="e">
        <f t="shared" si="56"/>
        <v>#REF!</v>
      </c>
      <c r="M314" s="50" t="e">
        <f t="shared" si="57"/>
        <v>#REF!</v>
      </c>
      <c r="N314" s="50" t="e">
        <f t="shared" si="58"/>
        <v>#REF!</v>
      </c>
      <c r="O314" s="50" t="e">
        <f t="shared" si="59"/>
        <v>#REF!</v>
      </c>
      <c r="P314" s="53" t="e">
        <f t="shared" si="60"/>
        <v>#REF!</v>
      </c>
      <c r="Q314" s="54" t="e">
        <f>'Product info'!#REF!</f>
        <v>#REF!</v>
      </c>
      <c r="R314" s="54" t="e">
        <f>'Product info'!#REF!</f>
        <v>#REF!</v>
      </c>
      <c r="S314" s="54" t="e">
        <f>'Product info'!#REF!</f>
        <v>#REF!</v>
      </c>
      <c r="T314" s="50" t="e">
        <f>'Product info'!#REF!</f>
        <v>#REF!</v>
      </c>
      <c r="U314" s="52" t="e">
        <f t="shared" si="61"/>
        <v>#REF!</v>
      </c>
      <c r="V314" s="50" t="e">
        <f t="shared" si="62"/>
        <v>#REF!</v>
      </c>
      <c r="W314" s="50" t="e">
        <f t="shared" si="63"/>
        <v>#REF!</v>
      </c>
      <c r="X314" s="50" t="e">
        <f t="shared" si="64"/>
        <v>#REF!</v>
      </c>
      <c r="Y314" s="50" t="e">
        <f t="shared" si="65"/>
        <v>#REF!</v>
      </c>
      <c r="Z314" t="e">
        <f t="shared" si="66"/>
        <v>#REF!</v>
      </c>
    </row>
    <row r="315" spans="1:26" x14ac:dyDescent="0.4">
      <c r="A315" t="e">
        <f>'Product info'!#REF!</f>
        <v>#REF!</v>
      </c>
      <c r="B315" t="e">
        <f>'Product info'!#REF!</f>
        <v>#REF!</v>
      </c>
      <c r="C315" t="e">
        <f>'Product info'!#REF!</f>
        <v>#REF!</v>
      </c>
      <c r="D315" s="6" t="e">
        <f>'Product info'!#REF!</f>
        <v>#REF!</v>
      </c>
      <c r="E315" t="e">
        <f t="shared" si="54"/>
        <v>#REF!</v>
      </c>
      <c r="F315" s="50" t="e">
        <f>'Product info'!#REF!</f>
        <v>#REF!</v>
      </c>
      <c r="G315" s="50" t="e">
        <f>'Product info'!#REF!</f>
        <v>#REF!</v>
      </c>
      <c r="H315" s="50" t="e">
        <f>'Product info'!#REF!</f>
        <v>#REF!</v>
      </c>
      <c r="I315" s="50" t="e">
        <f>'Product info'!#REF!</f>
        <v>#REF!</v>
      </c>
      <c r="J315" s="51" t="e">
        <f>'Product info'!#REF!</f>
        <v>#REF!</v>
      </c>
      <c r="K315" s="52" t="e">
        <f t="shared" si="55"/>
        <v>#REF!</v>
      </c>
      <c r="L315" s="50" t="e">
        <f t="shared" si="56"/>
        <v>#REF!</v>
      </c>
      <c r="M315" s="50" t="e">
        <f t="shared" si="57"/>
        <v>#REF!</v>
      </c>
      <c r="N315" s="50" t="e">
        <f t="shared" si="58"/>
        <v>#REF!</v>
      </c>
      <c r="O315" s="50" t="e">
        <f t="shared" si="59"/>
        <v>#REF!</v>
      </c>
      <c r="P315" s="53" t="e">
        <f t="shared" si="60"/>
        <v>#REF!</v>
      </c>
      <c r="Q315" s="54" t="e">
        <f>'Product info'!#REF!</f>
        <v>#REF!</v>
      </c>
      <c r="R315" s="54" t="e">
        <f>'Product info'!#REF!</f>
        <v>#REF!</v>
      </c>
      <c r="S315" s="54" t="e">
        <f>'Product info'!#REF!</f>
        <v>#REF!</v>
      </c>
      <c r="T315" s="50" t="e">
        <f>'Product info'!#REF!</f>
        <v>#REF!</v>
      </c>
      <c r="U315" s="52" t="e">
        <f t="shared" si="61"/>
        <v>#REF!</v>
      </c>
      <c r="V315" s="50" t="e">
        <f t="shared" si="62"/>
        <v>#REF!</v>
      </c>
      <c r="W315" s="50" t="e">
        <f t="shared" si="63"/>
        <v>#REF!</v>
      </c>
      <c r="X315" s="50" t="e">
        <f t="shared" si="64"/>
        <v>#REF!</v>
      </c>
      <c r="Y315" s="50" t="e">
        <f t="shared" si="65"/>
        <v>#REF!</v>
      </c>
      <c r="Z315" t="e">
        <f t="shared" si="66"/>
        <v>#REF!</v>
      </c>
    </row>
    <row r="316" spans="1:26" x14ac:dyDescent="0.4">
      <c r="A316" t="e">
        <f>'Product info'!#REF!</f>
        <v>#REF!</v>
      </c>
      <c r="B316" t="e">
        <f>'Product info'!#REF!</f>
        <v>#REF!</v>
      </c>
      <c r="C316" t="e">
        <f>'Product info'!#REF!</f>
        <v>#REF!</v>
      </c>
      <c r="D316" s="6" t="e">
        <f>'Product info'!#REF!</f>
        <v>#REF!</v>
      </c>
      <c r="E316" t="e">
        <f t="shared" si="54"/>
        <v>#REF!</v>
      </c>
      <c r="F316" s="50" t="e">
        <f>'Product info'!#REF!</f>
        <v>#REF!</v>
      </c>
      <c r="G316" s="50" t="e">
        <f>'Product info'!#REF!</f>
        <v>#REF!</v>
      </c>
      <c r="H316" s="50" t="e">
        <f>'Product info'!#REF!</f>
        <v>#REF!</v>
      </c>
      <c r="I316" s="50" t="e">
        <f>'Product info'!#REF!</f>
        <v>#REF!</v>
      </c>
      <c r="J316" s="51" t="e">
        <f>'Product info'!#REF!</f>
        <v>#REF!</v>
      </c>
      <c r="K316" s="52" t="e">
        <f t="shared" si="55"/>
        <v>#REF!</v>
      </c>
      <c r="L316" s="50" t="e">
        <f t="shared" si="56"/>
        <v>#REF!</v>
      </c>
      <c r="M316" s="50" t="e">
        <f t="shared" si="57"/>
        <v>#REF!</v>
      </c>
      <c r="N316" s="50" t="e">
        <f t="shared" si="58"/>
        <v>#REF!</v>
      </c>
      <c r="O316" s="50" t="e">
        <f t="shared" si="59"/>
        <v>#REF!</v>
      </c>
      <c r="P316" s="53" t="e">
        <f t="shared" si="60"/>
        <v>#REF!</v>
      </c>
      <c r="Q316" s="54" t="e">
        <f>'Product info'!#REF!</f>
        <v>#REF!</v>
      </c>
      <c r="R316" s="54" t="e">
        <f>'Product info'!#REF!</f>
        <v>#REF!</v>
      </c>
      <c r="S316" s="54" t="e">
        <f>'Product info'!#REF!</f>
        <v>#REF!</v>
      </c>
      <c r="T316" s="50" t="e">
        <f>'Product info'!#REF!</f>
        <v>#REF!</v>
      </c>
      <c r="U316" s="52" t="e">
        <f t="shared" si="61"/>
        <v>#REF!</v>
      </c>
      <c r="V316" s="50" t="e">
        <f t="shared" si="62"/>
        <v>#REF!</v>
      </c>
      <c r="W316" s="50" t="e">
        <f t="shared" si="63"/>
        <v>#REF!</v>
      </c>
      <c r="X316" s="50" t="e">
        <f t="shared" si="64"/>
        <v>#REF!</v>
      </c>
      <c r="Y316" s="50" t="e">
        <f t="shared" si="65"/>
        <v>#REF!</v>
      </c>
      <c r="Z316" t="e">
        <f t="shared" si="66"/>
        <v>#REF!</v>
      </c>
    </row>
    <row r="317" spans="1:26" x14ac:dyDescent="0.4">
      <c r="A317" t="e">
        <f>'Product info'!#REF!</f>
        <v>#REF!</v>
      </c>
      <c r="B317" t="e">
        <f>'Product info'!#REF!</f>
        <v>#REF!</v>
      </c>
      <c r="C317" t="e">
        <f>'Product info'!#REF!</f>
        <v>#REF!</v>
      </c>
      <c r="D317" s="6" t="e">
        <f>'Product info'!#REF!</f>
        <v>#REF!</v>
      </c>
      <c r="E317" t="e">
        <f t="shared" si="54"/>
        <v>#REF!</v>
      </c>
      <c r="F317" s="50" t="e">
        <f>'Product info'!#REF!</f>
        <v>#REF!</v>
      </c>
      <c r="G317" s="50" t="e">
        <f>'Product info'!#REF!</f>
        <v>#REF!</v>
      </c>
      <c r="H317" s="50" t="e">
        <f>'Product info'!#REF!</f>
        <v>#REF!</v>
      </c>
      <c r="I317" s="50" t="e">
        <f>'Product info'!#REF!</f>
        <v>#REF!</v>
      </c>
      <c r="J317" s="51" t="e">
        <f>'Product info'!#REF!</f>
        <v>#REF!</v>
      </c>
      <c r="K317" s="52" t="e">
        <f t="shared" si="55"/>
        <v>#REF!</v>
      </c>
      <c r="L317" s="50" t="e">
        <f t="shared" si="56"/>
        <v>#REF!</v>
      </c>
      <c r="M317" s="50" t="e">
        <f t="shared" si="57"/>
        <v>#REF!</v>
      </c>
      <c r="N317" s="50" t="e">
        <f t="shared" si="58"/>
        <v>#REF!</v>
      </c>
      <c r="O317" s="50" t="e">
        <f t="shared" si="59"/>
        <v>#REF!</v>
      </c>
      <c r="P317" s="53" t="e">
        <f t="shared" si="60"/>
        <v>#REF!</v>
      </c>
      <c r="Q317" s="54" t="e">
        <f>'Product info'!#REF!</f>
        <v>#REF!</v>
      </c>
      <c r="R317" s="54" t="e">
        <f>'Product info'!#REF!</f>
        <v>#REF!</v>
      </c>
      <c r="S317" s="54" t="e">
        <f>'Product info'!#REF!</f>
        <v>#REF!</v>
      </c>
      <c r="T317" s="50" t="e">
        <f>'Product info'!#REF!</f>
        <v>#REF!</v>
      </c>
      <c r="U317" s="52" t="e">
        <f t="shared" si="61"/>
        <v>#REF!</v>
      </c>
      <c r="V317" s="50" t="e">
        <f t="shared" si="62"/>
        <v>#REF!</v>
      </c>
      <c r="W317" s="50" t="e">
        <f t="shared" si="63"/>
        <v>#REF!</v>
      </c>
      <c r="X317" s="50" t="e">
        <f t="shared" si="64"/>
        <v>#REF!</v>
      </c>
      <c r="Y317" s="50" t="e">
        <f t="shared" si="65"/>
        <v>#REF!</v>
      </c>
      <c r="Z317" t="e">
        <f t="shared" si="66"/>
        <v>#REF!</v>
      </c>
    </row>
    <row r="318" spans="1:26" x14ac:dyDescent="0.4">
      <c r="A318" t="e">
        <f>'Product info'!#REF!</f>
        <v>#REF!</v>
      </c>
      <c r="B318" t="e">
        <f>'Product info'!#REF!</f>
        <v>#REF!</v>
      </c>
      <c r="C318" t="e">
        <f>'Product info'!#REF!</f>
        <v>#REF!</v>
      </c>
      <c r="D318" s="6" t="e">
        <f>'Product info'!#REF!</f>
        <v>#REF!</v>
      </c>
      <c r="E318" t="e">
        <f t="shared" si="54"/>
        <v>#REF!</v>
      </c>
      <c r="F318" s="50" t="e">
        <f>'Product info'!#REF!</f>
        <v>#REF!</v>
      </c>
      <c r="G318" s="50" t="e">
        <f>'Product info'!#REF!</f>
        <v>#REF!</v>
      </c>
      <c r="H318" s="50" t="e">
        <f>'Product info'!#REF!</f>
        <v>#REF!</v>
      </c>
      <c r="I318" s="50" t="e">
        <f>'Product info'!#REF!</f>
        <v>#REF!</v>
      </c>
      <c r="J318" s="51" t="e">
        <f>'Product info'!#REF!</f>
        <v>#REF!</v>
      </c>
      <c r="K318" s="52" t="e">
        <f t="shared" si="55"/>
        <v>#REF!</v>
      </c>
      <c r="L318" s="50" t="e">
        <f t="shared" si="56"/>
        <v>#REF!</v>
      </c>
      <c r="M318" s="50" t="e">
        <f t="shared" si="57"/>
        <v>#REF!</v>
      </c>
      <c r="N318" s="50" t="e">
        <f t="shared" si="58"/>
        <v>#REF!</v>
      </c>
      <c r="O318" s="50" t="e">
        <f t="shared" si="59"/>
        <v>#REF!</v>
      </c>
      <c r="P318" s="53" t="e">
        <f t="shared" si="60"/>
        <v>#REF!</v>
      </c>
      <c r="Q318" s="54" t="e">
        <f>'Product info'!#REF!</f>
        <v>#REF!</v>
      </c>
      <c r="R318" s="54" t="e">
        <f>'Product info'!#REF!</f>
        <v>#REF!</v>
      </c>
      <c r="S318" s="54" t="e">
        <f>'Product info'!#REF!</f>
        <v>#REF!</v>
      </c>
      <c r="T318" s="50" t="e">
        <f>'Product info'!#REF!</f>
        <v>#REF!</v>
      </c>
      <c r="U318" s="52" t="e">
        <f t="shared" si="61"/>
        <v>#REF!</v>
      </c>
      <c r="V318" s="50" t="e">
        <f t="shared" si="62"/>
        <v>#REF!</v>
      </c>
      <c r="W318" s="50" t="e">
        <f t="shared" si="63"/>
        <v>#REF!</v>
      </c>
      <c r="X318" s="50" t="e">
        <f t="shared" si="64"/>
        <v>#REF!</v>
      </c>
      <c r="Y318" s="50" t="e">
        <f t="shared" si="65"/>
        <v>#REF!</v>
      </c>
      <c r="Z318" t="e">
        <f t="shared" si="66"/>
        <v>#REF!</v>
      </c>
    </row>
    <row r="319" spans="1:26" x14ac:dyDescent="0.4">
      <c r="A319" t="e">
        <f>'Product info'!#REF!</f>
        <v>#REF!</v>
      </c>
      <c r="B319" t="e">
        <f>'Product info'!#REF!</f>
        <v>#REF!</v>
      </c>
      <c r="C319" t="e">
        <f>'Product info'!#REF!</f>
        <v>#REF!</v>
      </c>
      <c r="D319" s="6" t="e">
        <f>'Product info'!#REF!</f>
        <v>#REF!</v>
      </c>
      <c r="E319" t="e">
        <f t="shared" si="54"/>
        <v>#REF!</v>
      </c>
      <c r="F319" s="50" t="e">
        <f>'Product info'!#REF!</f>
        <v>#REF!</v>
      </c>
      <c r="G319" s="50" t="e">
        <f>'Product info'!#REF!</f>
        <v>#REF!</v>
      </c>
      <c r="H319" s="50" t="e">
        <f>'Product info'!#REF!</f>
        <v>#REF!</v>
      </c>
      <c r="I319" s="50" t="e">
        <f>'Product info'!#REF!</f>
        <v>#REF!</v>
      </c>
      <c r="J319" s="51" t="e">
        <f>'Product info'!#REF!</f>
        <v>#REF!</v>
      </c>
      <c r="K319" s="52" t="e">
        <f t="shared" si="55"/>
        <v>#REF!</v>
      </c>
      <c r="L319" s="50" t="e">
        <f t="shared" si="56"/>
        <v>#REF!</v>
      </c>
      <c r="M319" s="50" t="e">
        <f t="shared" si="57"/>
        <v>#REF!</v>
      </c>
      <c r="N319" s="50" t="e">
        <f t="shared" si="58"/>
        <v>#REF!</v>
      </c>
      <c r="O319" s="50" t="e">
        <f t="shared" si="59"/>
        <v>#REF!</v>
      </c>
      <c r="P319" s="53" t="e">
        <f t="shared" si="60"/>
        <v>#REF!</v>
      </c>
      <c r="Q319" s="54" t="e">
        <f>'Product info'!#REF!</f>
        <v>#REF!</v>
      </c>
      <c r="R319" s="54" t="e">
        <f>'Product info'!#REF!</f>
        <v>#REF!</v>
      </c>
      <c r="S319" s="54" t="e">
        <f>'Product info'!#REF!</f>
        <v>#REF!</v>
      </c>
      <c r="T319" s="50" t="e">
        <f>'Product info'!#REF!</f>
        <v>#REF!</v>
      </c>
      <c r="U319" s="52" t="e">
        <f t="shared" si="61"/>
        <v>#REF!</v>
      </c>
      <c r="V319" s="50" t="e">
        <f t="shared" si="62"/>
        <v>#REF!</v>
      </c>
      <c r="W319" s="50" t="e">
        <f t="shared" si="63"/>
        <v>#REF!</v>
      </c>
      <c r="X319" s="50" t="e">
        <f t="shared" si="64"/>
        <v>#REF!</v>
      </c>
      <c r="Y319" s="50" t="e">
        <f t="shared" si="65"/>
        <v>#REF!</v>
      </c>
      <c r="Z319" t="e">
        <f t="shared" si="66"/>
        <v>#REF!</v>
      </c>
    </row>
    <row r="320" spans="1:26" x14ac:dyDescent="0.4">
      <c r="A320" t="e">
        <f>'Product info'!#REF!</f>
        <v>#REF!</v>
      </c>
      <c r="B320" t="e">
        <f>'Product info'!#REF!</f>
        <v>#REF!</v>
      </c>
      <c r="C320" t="e">
        <f>'Product info'!#REF!</f>
        <v>#REF!</v>
      </c>
      <c r="D320" s="6" t="e">
        <f>'Product info'!#REF!</f>
        <v>#REF!</v>
      </c>
      <c r="E320" t="e">
        <f t="shared" si="54"/>
        <v>#REF!</v>
      </c>
      <c r="F320" s="50" t="e">
        <f>'Product info'!#REF!</f>
        <v>#REF!</v>
      </c>
      <c r="G320" s="50" t="e">
        <f>'Product info'!#REF!</f>
        <v>#REF!</v>
      </c>
      <c r="H320" s="50" t="e">
        <f>'Product info'!#REF!</f>
        <v>#REF!</v>
      </c>
      <c r="I320" s="50" t="e">
        <f>'Product info'!#REF!</f>
        <v>#REF!</v>
      </c>
      <c r="J320" s="51" t="e">
        <f>'Product info'!#REF!</f>
        <v>#REF!</v>
      </c>
      <c r="K320" s="52" t="e">
        <f t="shared" si="55"/>
        <v>#REF!</v>
      </c>
      <c r="L320" s="50" t="e">
        <f t="shared" si="56"/>
        <v>#REF!</v>
      </c>
      <c r="M320" s="50" t="e">
        <f t="shared" si="57"/>
        <v>#REF!</v>
      </c>
      <c r="N320" s="50" t="e">
        <f t="shared" si="58"/>
        <v>#REF!</v>
      </c>
      <c r="O320" s="50" t="e">
        <f t="shared" si="59"/>
        <v>#REF!</v>
      </c>
      <c r="P320" s="53" t="e">
        <f t="shared" si="60"/>
        <v>#REF!</v>
      </c>
      <c r="Q320" s="54" t="e">
        <f>'Product info'!#REF!</f>
        <v>#REF!</v>
      </c>
      <c r="R320" s="54" t="e">
        <f>'Product info'!#REF!</f>
        <v>#REF!</v>
      </c>
      <c r="S320" s="54" t="e">
        <f>'Product info'!#REF!</f>
        <v>#REF!</v>
      </c>
      <c r="T320" s="50" t="e">
        <f>'Product info'!#REF!</f>
        <v>#REF!</v>
      </c>
      <c r="U320" s="52" t="e">
        <f t="shared" si="61"/>
        <v>#REF!</v>
      </c>
      <c r="V320" s="50" t="e">
        <f t="shared" si="62"/>
        <v>#REF!</v>
      </c>
      <c r="W320" s="50" t="e">
        <f t="shared" si="63"/>
        <v>#REF!</v>
      </c>
      <c r="X320" s="50" t="e">
        <f t="shared" si="64"/>
        <v>#REF!</v>
      </c>
      <c r="Y320" s="50" t="e">
        <f t="shared" si="65"/>
        <v>#REF!</v>
      </c>
      <c r="Z320" t="e">
        <f t="shared" si="66"/>
        <v>#REF!</v>
      </c>
    </row>
    <row r="321" spans="1:26" x14ac:dyDescent="0.4">
      <c r="A321" t="e">
        <f>'Product info'!#REF!</f>
        <v>#REF!</v>
      </c>
      <c r="B321" t="e">
        <f>'Product info'!#REF!</f>
        <v>#REF!</v>
      </c>
      <c r="C321" t="e">
        <f>'Product info'!#REF!</f>
        <v>#REF!</v>
      </c>
      <c r="D321" s="6" t="e">
        <f>'Product info'!#REF!</f>
        <v>#REF!</v>
      </c>
      <c r="E321" t="e">
        <f t="shared" si="54"/>
        <v>#REF!</v>
      </c>
      <c r="F321" s="50" t="e">
        <f>'Product info'!#REF!</f>
        <v>#REF!</v>
      </c>
      <c r="G321" s="50" t="e">
        <f>'Product info'!#REF!</f>
        <v>#REF!</v>
      </c>
      <c r="H321" s="50" t="e">
        <f>'Product info'!#REF!</f>
        <v>#REF!</v>
      </c>
      <c r="I321" s="50" t="e">
        <f>'Product info'!#REF!</f>
        <v>#REF!</v>
      </c>
      <c r="J321" s="51" t="e">
        <f>'Product info'!#REF!</f>
        <v>#REF!</v>
      </c>
      <c r="K321" s="52" t="e">
        <f t="shared" si="55"/>
        <v>#REF!</v>
      </c>
      <c r="L321" s="50" t="e">
        <f t="shared" si="56"/>
        <v>#REF!</v>
      </c>
      <c r="M321" s="50" t="e">
        <f t="shared" si="57"/>
        <v>#REF!</v>
      </c>
      <c r="N321" s="50" t="e">
        <f t="shared" si="58"/>
        <v>#REF!</v>
      </c>
      <c r="O321" s="50" t="e">
        <f t="shared" si="59"/>
        <v>#REF!</v>
      </c>
      <c r="P321" s="53" t="e">
        <f t="shared" si="60"/>
        <v>#REF!</v>
      </c>
      <c r="Q321" s="54" t="e">
        <f>'Product info'!#REF!</f>
        <v>#REF!</v>
      </c>
      <c r="R321" s="54" t="e">
        <f>'Product info'!#REF!</f>
        <v>#REF!</v>
      </c>
      <c r="S321" s="54" t="e">
        <f>'Product info'!#REF!</f>
        <v>#REF!</v>
      </c>
      <c r="T321" s="50" t="e">
        <f>'Product info'!#REF!</f>
        <v>#REF!</v>
      </c>
      <c r="U321" s="52" t="e">
        <f t="shared" si="61"/>
        <v>#REF!</v>
      </c>
      <c r="V321" s="50" t="e">
        <f t="shared" si="62"/>
        <v>#REF!</v>
      </c>
      <c r="W321" s="50" t="e">
        <f t="shared" si="63"/>
        <v>#REF!</v>
      </c>
      <c r="X321" s="50" t="e">
        <f t="shared" si="64"/>
        <v>#REF!</v>
      </c>
      <c r="Y321" s="50" t="e">
        <f t="shared" si="65"/>
        <v>#REF!</v>
      </c>
      <c r="Z321" t="e">
        <f t="shared" si="66"/>
        <v>#REF!</v>
      </c>
    </row>
    <row r="322" spans="1:26" x14ac:dyDescent="0.4">
      <c r="A322" t="e">
        <f>'Product info'!#REF!</f>
        <v>#REF!</v>
      </c>
      <c r="B322" t="e">
        <f>'Product info'!#REF!</f>
        <v>#REF!</v>
      </c>
      <c r="C322" t="e">
        <f>'Product info'!#REF!</f>
        <v>#REF!</v>
      </c>
      <c r="D322" s="6" t="e">
        <f>'Product info'!#REF!</f>
        <v>#REF!</v>
      </c>
      <c r="E322" t="e">
        <f t="shared" si="54"/>
        <v>#REF!</v>
      </c>
      <c r="F322" s="50" t="e">
        <f>'Product info'!#REF!</f>
        <v>#REF!</v>
      </c>
      <c r="G322" s="50" t="e">
        <f>'Product info'!#REF!</f>
        <v>#REF!</v>
      </c>
      <c r="H322" s="50" t="e">
        <f>'Product info'!#REF!</f>
        <v>#REF!</v>
      </c>
      <c r="I322" s="50" t="e">
        <f>'Product info'!#REF!</f>
        <v>#REF!</v>
      </c>
      <c r="J322" s="51" t="e">
        <f>'Product info'!#REF!</f>
        <v>#REF!</v>
      </c>
      <c r="K322" s="52" t="e">
        <f t="shared" si="55"/>
        <v>#REF!</v>
      </c>
      <c r="L322" s="50" t="e">
        <f t="shared" si="56"/>
        <v>#REF!</v>
      </c>
      <c r="M322" s="50" t="e">
        <f t="shared" si="57"/>
        <v>#REF!</v>
      </c>
      <c r="N322" s="50" t="e">
        <f t="shared" si="58"/>
        <v>#REF!</v>
      </c>
      <c r="O322" s="50" t="e">
        <f t="shared" si="59"/>
        <v>#REF!</v>
      </c>
      <c r="P322" s="53" t="e">
        <f t="shared" si="60"/>
        <v>#REF!</v>
      </c>
      <c r="Q322" s="54" t="e">
        <f>'Product info'!#REF!</f>
        <v>#REF!</v>
      </c>
      <c r="R322" s="54" t="e">
        <f>'Product info'!#REF!</f>
        <v>#REF!</v>
      </c>
      <c r="S322" s="54" t="e">
        <f>'Product info'!#REF!</f>
        <v>#REF!</v>
      </c>
      <c r="T322" s="50" t="e">
        <f>'Product info'!#REF!</f>
        <v>#REF!</v>
      </c>
      <c r="U322" s="52" t="e">
        <f t="shared" si="61"/>
        <v>#REF!</v>
      </c>
      <c r="V322" s="50" t="e">
        <f t="shared" si="62"/>
        <v>#REF!</v>
      </c>
      <c r="W322" s="50" t="e">
        <f t="shared" si="63"/>
        <v>#REF!</v>
      </c>
      <c r="X322" s="50" t="e">
        <f t="shared" si="64"/>
        <v>#REF!</v>
      </c>
      <c r="Y322" s="50" t="e">
        <f t="shared" si="65"/>
        <v>#REF!</v>
      </c>
      <c r="Z322" t="e">
        <f t="shared" si="66"/>
        <v>#REF!</v>
      </c>
    </row>
    <row r="323" spans="1:26" x14ac:dyDescent="0.4">
      <c r="A323" t="e">
        <f>'Product info'!#REF!</f>
        <v>#REF!</v>
      </c>
      <c r="B323" t="e">
        <f>'Product info'!#REF!</f>
        <v>#REF!</v>
      </c>
      <c r="C323" t="e">
        <f>'Product info'!#REF!</f>
        <v>#REF!</v>
      </c>
      <c r="D323" s="6" t="e">
        <f>'Product info'!#REF!</f>
        <v>#REF!</v>
      </c>
      <c r="E323" t="e">
        <f t="shared" si="54"/>
        <v>#REF!</v>
      </c>
      <c r="F323" s="50" t="e">
        <f>'Product info'!#REF!</f>
        <v>#REF!</v>
      </c>
      <c r="G323" s="50" t="e">
        <f>'Product info'!#REF!</f>
        <v>#REF!</v>
      </c>
      <c r="H323" s="50" t="e">
        <f>'Product info'!#REF!</f>
        <v>#REF!</v>
      </c>
      <c r="I323" s="50" t="e">
        <f>'Product info'!#REF!</f>
        <v>#REF!</v>
      </c>
      <c r="J323" s="51" t="e">
        <f>'Product info'!#REF!</f>
        <v>#REF!</v>
      </c>
      <c r="K323" s="52" t="e">
        <f t="shared" si="55"/>
        <v>#REF!</v>
      </c>
      <c r="L323" s="50" t="e">
        <f t="shared" si="56"/>
        <v>#REF!</v>
      </c>
      <c r="M323" s="50" t="e">
        <f t="shared" si="57"/>
        <v>#REF!</v>
      </c>
      <c r="N323" s="50" t="e">
        <f t="shared" si="58"/>
        <v>#REF!</v>
      </c>
      <c r="O323" s="50" t="e">
        <f t="shared" si="59"/>
        <v>#REF!</v>
      </c>
      <c r="P323" s="53" t="e">
        <f t="shared" si="60"/>
        <v>#REF!</v>
      </c>
      <c r="Q323" s="54" t="e">
        <f>'Product info'!#REF!</f>
        <v>#REF!</v>
      </c>
      <c r="R323" s="54" t="e">
        <f>'Product info'!#REF!</f>
        <v>#REF!</v>
      </c>
      <c r="S323" s="54" t="e">
        <f>'Product info'!#REF!</f>
        <v>#REF!</v>
      </c>
      <c r="T323" s="50" t="e">
        <f>'Product info'!#REF!</f>
        <v>#REF!</v>
      </c>
      <c r="U323" s="52" t="e">
        <f t="shared" si="61"/>
        <v>#REF!</v>
      </c>
      <c r="V323" s="50" t="e">
        <f t="shared" si="62"/>
        <v>#REF!</v>
      </c>
      <c r="W323" s="50" t="e">
        <f t="shared" si="63"/>
        <v>#REF!</v>
      </c>
      <c r="X323" s="50" t="e">
        <f t="shared" si="64"/>
        <v>#REF!</v>
      </c>
      <c r="Y323" s="50" t="e">
        <f t="shared" si="65"/>
        <v>#REF!</v>
      </c>
      <c r="Z323" t="e">
        <f t="shared" si="66"/>
        <v>#REF!</v>
      </c>
    </row>
    <row r="324" spans="1:26" x14ac:dyDescent="0.4">
      <c r="A324" t="e">
        <f>'Product info'!#REF!</f>
        <v>#REF!</v>
      </c>
      <c r="B324" t="e">
        <f>'Product info'!#REF!</f>
        <v>#REF!</v>
      </c>
      <c r="C324" t="e">
        <f>'Product info'!#REF!</f>
        <v>#REF!</v>
      </c>
      <c r="D324" s="6" t="e">
        <f>'Product info'!#REF!</f>
        <v>#REF!</v>
      </c>
      <c r="E324" t="e">
        <f t="shared" ref="E324:E387" si="67">F324&amp;"*"&amp;G324&amp;"*"&amp;H324</f>
        <v>#REF!</v>
      </c>
      <c r="F324" s="50" t="e">
        <f>'Product info'!#REF!</f>
        <v>#REF!</v>
      </c>
      <c r="G324" s="50" t="e">
        <f>'Product info'!#REF!</f>
        <v>#REF!</v>
      </c>
      <c r="H324" s="50" t="e">
        <f>'Product info'!#REF!</f>
        <v>#REF!</v>
      </c>
      <c r="I324" s="50" t="e">
        <f>'Product info'!#REF!</f>
        <v>#REF!</v>
      </c>
      <c r="J324" s="51" t="e">
        <f>'Product info'!#REF!</f>
        <v>#REF!</v>
      </c>
      <c r="K324" s="52" t="e">
        <f t="shared" ref="K324:K387" si="68">F324*G324*H324/(100*100*100)</f>
        <v>#REF!</v>
      </c>
      <c r="L324" s="50" t="e">
        <f t="shared" ref="L324:L387" si="69">F324*0.393701</f>
        <v>#REF!</v>
      </c>
      <c r="M324" s="50" t="e">
        <f t="shared" ref="M324:M387" si="70">G324*0.393701</f>
        <v>#REF!</v>
      </c>
      <c r="N324" s="50" t="e">
        <f t="shared" ref="N324:N387" si="71">H324*0.393701</f>
        <v>#REF!</v>
      </c>
      <c r="O324" s="50" t="e">
        <f t="shared" ref="O324:O387" si="72">I324*2.20462</f>
        <v>#REF!</v>
      </c>
      <c r="P324" s="53" t="e">
        <f t="shared" ref="P324:P387" si="73">Q324&amp;"*"&amp;R324&amp;"*"&amp;S324</f>
        <v>#REF!</v>
      </c>
      <c r="Q324" s="54" t="e">
        <f>'Product info'!#REF!</f>
        <v>#REF!</v>
      </c>
      <c r="R324" s="54" t="e">
        <f>'Product info'!#REF!</f>
        <v>#REF!</v>
      </c>
      <c r="S324" s="54" t="e">
        <f>'Product info'!#REF!</f>
        <v>#REF!</v>
      </c>
      <c r="T324" s="50" t="e">
        <f>'Product info'!#REF!</f>
        <v>#REF!</v>
      </c>
      <c r="U324" s="52" t="e">
        <f t="shared" ref="U324:U387" si="74">Q324*R324*S324/(100*100*100)</f>
        <v>#REF!</v>
      </c>
      <c r="V324" s="50" t="e">
        <f t="shared" ref="V324:V387" si="75">Q324*0.393701</f>
        <v>#REF!</v>
      </c>
      <c r="W324" s="50" t="e">
        <f t="shared" ref="W324:W387" si="76">R324*0.393701</f>
        <v>#REF!</v>
      </c>
      <c r="X324" s="50" t="e">
        <f t="shared" ref="X324:X387" si="77">S324*0.393701</f>
        <v>#REF!</v>
      </c>
      <c r="Y324" s="50" t="e">
        <f t="shared" ref="Y324:Y387" si="78">T324*2.20462</f>
        <v>#REF!</v>
      </c>
      <c r="Z324" t="e">
        <f t="shared" ref="Z324:Z387" si="79">K324/J324</f>
        <v>#REF!</v>
      </c>
    </row>
    <row r="325" spans="1:26" x14ac:dyDescent="0.4">
      <c r="A325" t="e">
        <f>'Product info'!#REF!</f>
        <v>#REF!</v>
      </c>
      <c r="B325" t="e">
        <f>'Product info'!#REF!</f>
        <v>#REF!</v>
      </c>
      <c r="C325" t="e">
        <f>'Product info'!#REF!</f>
        <v>#REF!</v>
      </c>
      <c r="D325" s="6" t="e">
        <f>'Product info'!#REF!</f>
        <v>#REF!</v>
      </c>
      <c r="E325" t="e">
        <f t="shared" si="67"/>
        <v>#REF!</v>
      </c>
      <c r="F325" s="50" t="e">
        <f>'Product info'!#REF!</f>
        <v>#REF!</v>
      </c>
      <c r="G325" s="50" t="e">
        <f>'Product info'!#REF!</f>
        <v>#REF!</v>
      </c>
      <c r="H325" s="50" t="e">
        <f>'Product info'!#REF!</f>
        <v>#REF!</v>
      </c>
      <c r="I325" s="50" t="e">
        <f>'Product info'!#REF!</f>
        <v>#REF!</v>
      </c>
      <c r="J325" s="51" t="e">
        <f>'Product info'!#REF!</f>
        <v>#REF!</v>
      </c>
      <c r="K325" s="52" t="e">
        <f t="shared" si="68"/>
        <v>#REF!</v>
      </c>
      <c r="L325" s="50" t="e">
        <f t="shared" si="69"/>
        <v>#REF!</v>
      </c>
      <c r="M325" s="50" t="e">
        <f t="shared" si="70"/>
        <v>#REF!</v>
      </c>
      <c r="N325" s="50" t="e">
        <f t="shared" si="71"/>
        <v>#REF!</v>
      </c>
      <c r="O325" s="50" t="e">
        <f t="shared" si="72"/>
        <v>#REF!</v>
      </c>
      <c r="P325" s="53" t="e">
        <f t="shared" si="73"/>
        <v>#REF!</v>
      </c>
      <c r="Q325" s="54" t="e">
        <f>'Product info'!#REF!</f>
        <v>#REF!</v>
      </c>
      <c r="R325" s="54" t="e">
        <f>'Product info'!#REF!</f>
        <v>#REF!</v>
      </c>
      <c r="S325" s="54" t="e">
        <f>'Product info'!#REF!</f>
        <v>#REF!</v>
      </c>
      <c r="T325" s="50" t="e">
        <f>'Product info'!#REF!</f>
        <v>#REF!</v>
      </c>
      <c r="U325" s="52" t="e">
        <f t="shared" si="74"/>
        <v>#REF!</v>
      </c>
      <c r="V325" s="50" t="e">
        <f t="shared" si="75"/>
        <v>#REF!</v>
      </c>
      <c r="W325" s="50" t="e">
        <f t="shared" si="76"/>
        <v>#REF!</v>
      </c>
      <c r="X325" s="50" t="e">
        <f t="shared" si="77"/>
        <v>#REF!</v>
      </c>
      <c r="Y325" s="50" t="e">
        <f t="shared" si="78"/>
        <v>#REF!</v>
      </c>
      <c r="Z325" t="e">
        <f t="shared" si="79"/>
        <v>#REF!</v>
      </c>
    </row>
    <row r="326" spans="1:26" x14ac:dyDescent="0.4">
      <c r="A326" t="e">
        <f>'Product info'!#REF!</f>
        <v>#REF!</v>
      </c>
      <c r="B326" t="e">
        <f>'Product info'!#REF!</f>
        <v>#REF!</v>
      </c>
      <c r="C326" t="e">
        <f>'Product info'!#REF!</f>
        <v>#REF!</v>
      </c>
      <c r="D326" s="6" t="e">
        <f>'Product info'!#REF!</f>
        <v>#REF!</v>
      </c>
      <c r="E326" t="e">
        <f t="shared" si="67"/>
        <v>#REF!</v>
      </c>
      <c r="F326" s="50" t="e">
        <f>'Product info'!#REF!</f>
        <v>#REF!</v>
      </c>
      <c r="G326" s="50" t="e">
        <f>'Product info'!#REF!</f>
        <v>#REF!</v>
      </c>
      <c r="H326" s="50" t="e">
        <f>'Product info'!#REF!</f>
        <v>#REF!</v>
      </c>
      <c r="I326" s="50" t="e">
        <f>'Product info'!#REF!</f>
        <v>#REF!</v>
      </c>
      <c r="J326" s="51" t="e">
        <f>'Product info'!#REF!</f>
        <v>#REF!</v>
      </c>
      <c r="K326" s="52" t="e">
        <f t="shared" si="68"/>
        <v>#REF!</v>
      </c>
      <c r="L326" s="50" t="e">
        <f t="shared" si="69"/>
        <v>#REF!</v>
      </c>
      <c r="M326" s="50" t="e">
        <f t="shared" si="70"/>
        <v>#REF!</v>
      </c>
      <c r="N326" s="50" t="e">
        <f t="shared" si="71"/>
        <v>#REF!</v>
      </c>
      <c r="O326" s="50" t="e">
        <f t="shared" si="72"/>
        <v>#REF!</v>
      </c>
      <c r="P326" s="53" t="e">
        <f t="shared" si="73"/>
        <v>#REF!</v>
      </c>
      <c r="Q326" s="54" t="e">
        <f>'Product info'!#REF!</f>
        <v>#REF!</v>
      </c>
      <c r="R326" s="54" t="e">
        <f>'Product info'!#REF!</f>
        <v>#REF!</v>
      </c>
      <c r="S326" s="54" t="e">
        <f>'Product info'!#REF!</f>
        <v>#REF!</v>
      </c>
      <c r="T326" s="50" t="e">
        <f>'Product info'!#REF!</f>
        <v>#REF!</v>
      </c>
      <c r="U326" s="52" t="e">
        <f t="shared" si="74"/>
        <v>#REF!</v>
      </c>
      <c r="V326" s="50" t="e">
        <f t="shared" si="75"/>
        <v>#REF!</v>
      </c>
      <c r="W326" s="50" t="e">
        <f t="shared" si="76"/>
        <v>#REF!</v>
      </c>
      <c r="X326" s="50" t="e">
        <f t="shared" si="77"/>
        <v>#REF!</v>
      </c>
      <c r="Y326" s="50" t="e">
        <f t="shared" si="78"/>
        <v>#REF!</v>
      </c>
      <c r="Z326" t="e">
        <f t="shared" si="79"/>
        <v>#REF!</v>
      </c>
    </row>
    <row r="327" spans="1:26" x14ac:dyDescent="0.4">
      <c r="A327" t="e">
        <f>'Product info'!#REF!</f>
        <v>#REF!</v>
      </c>
      <c r="B327" t="e">
        <f>'Product info'!#REF!</f>
        <v>#REF!</v>
      </c>
      <c r="C327" t="e">
        <f>'Product info'!#REF!</f>
        <v>#REF!</v>
      </c>
      <c r="D327" s="6" t="e">
        <f>'Product info'!#REF!</f>
        <v>#REF!</v>
      </c>
      <c r="E327" t="e">
        <f t="shared" si="67"/>
        <v>#REF!</v>
      </c>
      <c r="F327" s="50" t="e">
        <f>'Product info'!#REF!</f>
        <v>#REF!</v>
      </c>
      <c r="G327" s="50" t="e">
        <f>'Product info'!#REF!</f>
        <v>#REF!</v>
      </c>
      <c r="H327" s="50" t="e">
        <f>'Product info'!#REF!</f>
        <v>#REF!</v>
      </c>
      <c r="I327" s="50" t="e">
        <f>'Product info'!#REF!</f>
        <v>#REF!</v>
      </c>
      <c r="J327" s="51" t="e">
        <f>'Product info'!#REF!</f>
        <v>#REF!</v>
      </c>
      <c r="K327" s="52" t="e">
        <f t="shared" si="68"/>
        <v>#REF!</v>
      </c>
      <c r="L327" s="50" t="e">
        <f t="shared" si="69"/>
        <v>#REF!</v>
      </c>
      <c r="M327" s="50" t="e">
        <f t="shared" si="70"/>
        <v>#REF!</v>
      </c>
      <c r="N327" s="50" t="e">
        <f t="shared" si="71"/>
        <v>#REF!</v>
      </c>
      <c r="O327" s="50" t="e">
        <f t="shared" si="72"/>
        <v>#REF!</v>
      </c>
      <c r="P327" s="53" t="e">
        <f t="shared" si="73"/>
        <v>#REF!</v>
      </c>
      <c r="Q327" s="54" t="e">
        <f>'Product info'!#REF!</f>
        <v>#REF!</v>
      </c>
      <c r="R327" s="54" t="e">
        <f>'Product info'!#REF!</f>
        <v>#REF!</v>
      </c>
      <c r="S327" s="54" t="e">
        <f>'Product info'!#REF!</f>
        <v>#REF!</v>
      </c>
      <c r="T327" s="50" t="e">
        <f>'Product info'!#REF!</f>
        <v>#REF!</v>
      </c>
      <c r="U327" s="52" t="e">
        <f t="shared" si="74"/>
        <v>#REF!</v>
      </c>
      <c r="V327" s="50" t="e">
        <f t="shared" si="75"/>
        <v>#REF!</v>
      </c>
      <c r="W327" s="50" t="e">
        <f t="shared" si="76"/>
        <v>#REF!</v>
      </c>
      <c r="X327" s="50" t="e">
        <f t="shared" si="77"/>
        <v>#REF!</v>
      </c>
      <c r="Y327" s="50" t="e">
        <f t="shared" si="78"/>
        <v>#REF!</v>
      </c>
      <c r="Z327" t="e">
        <f t="shared" si="79"/>
        <v>#REF!</v>
      </c>
    </row>
    <row r="328" spans="1:26" x14ac:dyDescent="0.4">
      <c r="A328" t="e">
        <f>'Product info'!#REF!</f>
        <v>#REF!</v>
      </c>
      <c r="B328" t="e">
        <f>'Product info'!#REF!</f>
        <v>#REF!</v>
      </c>
      <c r="C328" t="e">
        <f>'Product info'!#REF!</f>
        <v>#REF!</v>
      </c>
      <c r="D328" s="6" t="e">
        <f>'Product info'!#REF!</f>
        <v>#REF!</v>
      </c>
      <c r="E328" t="e">
        <f t="shared" si="67"/>
        <v>#REF!</v>
      </c>
      <c r="F328" s="50" t="e">
        <f>'Product info'!#REF!</f>
        <v>#REF!</v>
      </c>
      <c r="G328" s="50" t="e">
        <f>'Product info'!#REF!</f>
        <v>#REF!</v>
      </c>
      <c r="H328" s="50" t="e">
        <f>'Product info'!#REF!</f>
        <v>#REF!</v>
      </c>
      <c r="I328" s="50" t="e">
        <f>'Product info'!#REF!</f>
        <v>#REF!</v>
      </c>
      <c r="J328" s="51" t="e">
        <f>'Product info'!#REF!</f>
        <v>#REF!</v>
      </c>
      <c r="K328" s="52" t="e">
        <f t="shared" si="68"/>
        <v>#REF!</v>
      </c>
      <c r="L328" s="50" t="e">
        <f t="shared" si="69"/>
        <v>#REF!</v>
      </c>
      <c r="M328" s="50" t="e">
        <f t="shared" si="70"/>
        <v>#REF!</v>
      </c>
      <c r="N328" s="50" t="e">
        <f t="shared" si="71"/>
        <v>#REF!</v>
      </c>
      <c r="O328" s="50" t="e">
        <f t="shared" si="72"/>
        <v>#REF!</v>
      </c>
      <c r="P328" s="53" t="e">
        <f t="shared" si="73"/>
        <v>#REF!</v>
      </c>
      <c r="Q328" s="54" t="e">
        <f>'Product info'!#REF!</f>
        <v>#REF!</v>
      </c>
      <c r="R328" s="54" t="e">
        <f>'Product info'!#REF!</f>
        <v>#REF!</v>
      </c>
      <c r="S328" s="54" t="e">
        <f>'Product info'!#REF!</f>
        <v>#REF!</v>
      </c>
      <c r="T328" s="50" t="e">
        <f>'Product info'!#REF!</f>
        <v>#REF!</v>
      </c>
      <c r="U328" s="52" t="e">
        <f t="shared" si="74"/>
        <v>#REF!</v>
      </c>
      <c r="V328" s="50" t="e">
        <f t="shared" si="75"/>
        <v>#REF!</v>
      </c>
      <c r="W328" s="50" t="e">
        <f t="shared" si="76"/>
        <v>#REF!</v>
      </c>
      <c r="X328" s="50" t="e">
        <f t="shared" si="77"/>
        <v>#REF!</v>
      </c>
      <c r="Y328" s="50" t="e">
        <f t="shared" si="78"/>
        <v>#REF!</v>
      </c>
      <c r="Z328" t="e">
        <f t="shared" si="79"/>
        <v>#REF!</v>
      </c>
    </row>
    <row r="329" spans="1:26" x14ac:dyDescent="0.4">
      <c r="A329" t="e">
        <f>'Product info'!#REF!</f>
        <v>#REF!</v>
      </c>
      <c r="B329" t="e">
        <f>'Product info'!#REF!</f>
        <v>#REF!</v>
      </c>
      <c r="C329" t="e">
        <f>'Product info'!#REF!</f>
        <v>#REF!</v>
      </c>
      <c r="D329" s="6" t="e">
        <f>'Product info'!#REF!</f>
        <v>#REF!</v>
      </c>
      <c r="E329" t="e">
        <f t="shared" si="67"/>
        <v>#REF!</v>
      </c>
      <c r="F329" s="50" t="e">
        <f>'Product info'!#REF!</f>
        <v>#REF!</v>
      </c>
      <c r="G329" s="50" t="e">
        <f>'Product info'!#REF!</f>
        <v>#REF!</v>
      </c>
      <c r="H329" s="50" t="e">
        <f>'Product info'!#REF!</f>
        <v>#REF!</v>
      </c>
      <c r="I329" s="50" t="e">
        <f>'Product info'!#REF!</f>
        <v>#REF!</v>
      </c>
      <c r="J329" s="51" t="e">
        <f>'Product info'!#REF!</f>
        <v>#REF!</v>
      </c>
      <c r="K329" s="52" t="e">
        <f t="shared" si="68"/>
        <v>#REF!</v>
      </c>
      <c r="L329" s="50" t="e">
        <f t="shared" si="69"/>
        <v>#REF!</v>
      </c>
      <c r="M329" s="50" t="e">
        <f t="shared" si="70"/>
        <v>#REF!</v>
      </c>
      <c r="N329" s="50" t="e">
        <f t="shared" si="71"/>
        <v>#REF!</v>
      </c>
      <c r="O329" s="50" t="e">
        <f t="shared" si="72"/>
        <v>#REF!</v>
      </c>
      <c r="P329" s="53" t="e">
        <f t="shared" si="73"/>
        <v>#REF!</v>
      </c>
      <c r="Q329" s="54" t="e">
        <f>'Product info'!#REF!</f>
        <v>#REF!</v>
      </c>
      <c r="R329" s="54" t="e">
        <f>'Product info'!#REF!</f>
        <v>#REF!</v>
      </c>
      <c r="S329" s="54" t="e">
        <f>'Product info'!#REF!</f>
        <v>#REF!</v>
      </c>
      <c r="T329" s="50" t="e">
        <f>'Product info'!#REF!</f>
        <v>#REF!</v>
      </c>
      <c r="U329" s="52" t="e">
        <f t="shared" si="74"/>
        <v>#REF!</v>
      </c>
      <c r="V329" s="50" t="e">
        <f t="shared" si="75"/>
        <v>#REF!</v>
      </c>
      <c r="W329" s="50" t="e">
        <f t="shared" si="76"/>
        <v>#REF!</v>
      </c>
      <c r="X329" s="50" t="e">
        <f t="shared" si="77"/>
        <v>#REF!</v>
      </c>
      <c r="Y329" s="50" t="e">
        <f t="shared" si="78"/>
        <v>#REF!</v>
      </c>
      <c r="Z329" t="e">
        <f t="shared" si="79"/>
        <v>#REF!</v>
      </c>
    </row>
    <row r="330" spans="1:26" x14ac:dyDescent="0.4">
      <c r="A330" t="e">
        <f>'Product info'!#REF!</f>
        <v>#REF!</v>
      </c>
      <c r="B330" t="e">
        <f>'Product info'!#REF!</f>
        <v>#REF!</v>
      </c>
      <c r="C330" t="e">
        <f>'Product info'!#REF!</f>
        <v>#REF!</v>
      </c>
      <c r="D330" s="6" t="e">
        <f>'Product info'!#REF!</f>
        <v>#REF!</v>
      </c>
      <c r="E330" t="e">
        <f t="shared" si="67"/>
        <v>#REF!</v>
      </c>
      <c r="F330" s="50" t="e">
        <f>'Product info'!#REF!</f>
        <v>#REF!</v>
      </c>
      <c r="G330" s="50" t="e">
        <f>'Product info'!#REF!</f>
        <v>#REF!</v>
      </c>
      <c r="H330" s="50" t="e">
        <f>'Product info'!#REF!</f>
        <v>#REF!</v>
      </c>
      <c r="I330" s="50" t="e">
        <f>'Product info'!#REF!</f>
        <v>#REF!</v>
      </c>
      <c r="J330" s="51" t="e">
        <f>'Product info'!#REF!</f>
        <v>#REF!</v>
      </c>
      <c r="K330" s="52" t="e">
        <f t="shared" si="68"/>
        <v>#REF!</v>
      </c>
      <c r="L330" s="50" t="e">
        <f t="shared" si="69"/>
        <v>#REF!</v>
      </c>
      <c r="M330" s="50" t="e">
        <f t="shared" si="70"/>
        <v>#REF!</v>
      </c>
      <c r="N330" s="50" t="e">
        <f t="shared" si="71"/>
        <v>#REF!</v>
      </c>
      <c r="O330" s="50" t="e">
        <f t="shared" si="72"/>
        <v>#REF!</v>
      </c>
      <c r="P330" s="53" t="e">
        <f t="shared" si="73"/>
        <v>#REF!</v>
      </c>
      <c r="Q330" s="54" t="e">
        <f>'Product info'!#REF!</f>
        <v>#REF!</v>
      </c>
      <c r="R330" s="54" t="e">
        <f>'Product info'!#REF!</f>
        <v>#REF!</v>
      </c>
      <c r="S330" s="54" t="e">
        <f>'Product info'!#REF!</f>
        <v>#REF!</v>
      </c>
      <c r="T330" s="50" t="e">
        <f>'Product info'!#REF!</f>
        <v>#REF!</v>
      </c>
      <c r="U330" s="52" t="e">
        <f t="shared" si="74"/>
        <v>#REF!</v>
      </c>
      <c r="V330" s="50" t="e">
        <f t="shared" si="75"/>
        <v>#REF!</v>
      </c>
      <c r="W330" s="50" t="e">
        <f t="shared" si="76"/>
        <v>#REF!</v>
      </c>
      <c r="X330" s="50" t="e">
        <f t="shared" si="77"/>
        <v>#REF!</v>
      </c>
      <c r="Y330" s="50" t="e">
        <f t="shared" si="78"/>
        <v>#REF!</v>
      </c>
      <c r="Z330" t="e">
        <f t="shared" si="79"/>
        <v>#REF!</v>
      </c>
    </row>
    <row r="331" spans="1:26" x14ac:dyDescent="0.4">
      <c r="A331" t="e">
        <f>'Product info'!#REF!</f>
        <v>#REF!</v>
      </c>
      <c r="B331" t="e">
        <f>'Product info'!#REF!</f>
        <v>#REF!</v>
      </c>
      <c r="C331" t="e">
        <f>'Product info'!#REF!</f>
        <v>#REF!</v>
      </c>
      <c r="D331" s="6" t="e">
        <f>'Product info'!#REF!</f>
        <v>#REF!</v>
      </c>
      <c r="E331" t="e">
        <f t="shared" si="67"/>
        <v>#REF!</v>
      </c>
      <c r="F331" s="50" t="e">
        <f>'Product info'!#REF!</f>
        <v>#REF!</v>
      </c>
      <c r="G331" s="50" t="e">
        <f>'Product info'!#REF!</f>
        <v>#REF!</v>
      </c>
      <c r="H331" s="50" t="e">
        <f>'Product info'!#REF!</f>
        <v>#REF!</v>
      </c>
      <c r="I331" s="50" t="e">
        <f>'Product info'!#REF!</f>
        <v>#REF!</v>
      </c>
      <c r="J331" s="51" t="e">
        <f>'Product info'!#REF!</f>
        <v>#REF!</v>
      </c>
      <c r="K331" s="52" t="e">
        <f t="shared" si="68"/>
        <v>#REF!</v>
      </c>
      <c r="L331" s="50" t="e">
        <f t="shared" si="69"/>
        <v>#REF!</v>
      </c>
      <c r="M331" s="50" t="e">
        <f t="shared" si="70"/>
        <v>#REF!</v>
      </c>
      <c r="N331" s="50" t="e">
        <f t="shared" si="71"/>
        <v>#REF!</v>
      </c>
      <c r="O331" s="50" t="e">
        <f t="shared" si="72"/>
        <v>#REF!</v>
      </c>
      <c r="P331" s="53" t="e">
        <f t="shared" si="73"/>
        <v>#REF!</v>
      </c>
      <c r="Q331" s="54" t="e">
        <f>'Product info'!#REF!</f>
        <v>#REF!</v>
      </c>
      <c r="R331" s="54" t="e">
        <f>'Product info'!#REF!</f>
        <v>#REF!</v>
      </c>
      <c r="S331" s="54" t="e">
        <f>'Product info'!#REF!</f>
        <v>#REF!</v>
      </c>
      <c r="T331" s="50" t="e">
        <f>'Product info'!#REF!</f>
        <v>#REF!</v>
      </c>
      <c r="U331" s="52" t="e">
        <f t="shared" si="74"/>
        <v>#REF!</v>
      </c>
      <c r="V331" s="50" t="e">
        <f t="shared" si="75"/>
        <v>#REF!</v>
      </c>
      <c r="W331" s="50" t="e">
        <f t="shared" si="76"/>
        <v>#REF!</v>
      </c>
      <c r="X331" s="50" t="e">
        <f t="shared" si="77"/>
        <v>#REF!</v>
      </c>
      <c r="Y331" s="50" t="e">
        <f t="shared" si="78"/>
        <v>#REF!</v>
      </c>
      <c r="Z331" t="e">
        <f t="shared" si="79"/>
        <v>#REF!</v>
      </c>
    </row>
    <row r="332" spans="1:26" x14ac:dyDescent="0.4">
      <c r="A332" t="e">
        <f>'Product info'!#REF!</f>
        <v>#REF!</v>
      </c>
      <c r="B332" t="e">
        <f>'Product info'!#REF!</f>
        <v>#REF!</v>
      </c>
      <c r="C332" t="e">
        <f>'Product info'!#REF!</f>
        <v>#REF!</v>
      </c>
      <c r="D332" s="6" t="e">
        <f>'Product info'!#REF!</f>
        <v>#REF!</v>
      </c>
      <c r="E332" t="e">
        <f t="shared" si="67"/>
        <v>#REF!</v>
      </c>
      <c r="F332" s="50" t="e">
        <f>'Product info'!#REF!</f>
        <v>#REF!</v>
      </c>
      <c r="G332" s="50" t="e">
        <f>'Product info'!#REF!</f>
        <v>#REF!</v>
      </c>
      <c r="H332" s="50" t="e">
        <f>'Product info'!#REF!</f>
        <v>#REF!</v>
      </c>
      <c r="I332" s="50" t="e">
        <f>'Product info'!#REF!</f>
        <v>#REF!</v>
      </c>
      <c r="J332" s="51" t="e">
        <f>'Product info'!#REF!</f>
        <v>#REF!</v>
      </c>
      <c r="K332" s="52" t="e">
        <f t="shared" si="68"/>
        <v>#REF!</v>
      </c>
      <c r="L332" s="50" t="e">
        <f t="shared" si="69"/>
        <v>#REF!</v>
      </c>
      <c r="M332" s="50" t="e">
        <f t="shared" si="70"/>
        <v>#REF!</v>
      </c>
      <c r="N332" s="50" t="e">
        <f t="shared" si="71"/>
        <v>#REF!</v>
      </c>
      <c r="O332" s="50" t="e">
        <f t="shared" si="72"/>
        <v>#REF!</v>
      </c>
      <c r="P332" s="53" t="e">
        <f t="shared" si="73"/>
        <v>#REF!</v>
      </c>
      <c r="Q332" s="54" t="e">
        <f>'Product info'!#REF!</f>
        <v>#REF!</v>
      </c>
      <c r="R332" s="54" t="e">
        <f>'Product info'!#REF!</f>
        <v>#REF!</v>
      </c>
      <c r="S332" s="54" t="e">
        <f>'Product info'!#REF!</f>
        <v>#REF!</v>
      </c>
      <c r="T332" s="50" t="e">
        <f>'Product info'!#REF!</f>
        <v>#REF!</v>
      </c>
      <c r="U332" s="52" t="e">
        <f t="shared" si="74"/>
        <v>#REF!</v>
      </c>
      <c r="V332" s="50" t="e">
        <f t="shared" si="75"/>
        <v>#REF!</v>
      </c>
      <c r="W332" s="50" t="e">
        <f t="shared" si="76"/>
        <v>#REF!</v>
      </c>
      <c r="X332" s="50" t="e">
        <f t="shared" si="77"/>
        <v>#REF!</v>
      </c>
      <c r="Y332" s="50" t="e">
        <f t="shared" si="78"/>
        <v>#REF!</v>
      </c>
      <c r="Z332" t="e">
        <f t="shared" si="79"/>
        <v>#REF!</v>
      </c>
    </row>
    <row r="333" spans="1:26" x14ac:dyDescent="0.4">
      <c r="A333" t="e">
        <f>'Product info'!#REF!</f>
        <v>#REF!</v>
      </c>
      <c r="B333" t="e">
        <f>'Product info'!#REF!</f>
        <v>#REF!</v>
      </c>
      <c r="C333" t="e">
        <f>'Product info'!#REF!</f>
        <v>#REF!</v>
      </c>
      <c r="D333" s="6" t="e">
        <f>'Product info'!#REF!</f>
        <v>#REF!</v>
      </c>
      <c r="E333" t="e">
        <f t="shared" si="67"/>
        <v>#REF!</v>
      </c>
      <c r="F333" s="50" t="e">
        <f>'Product info'!#REF!</f>
        <v>#REF!</v>
      </c>
      <c r="G333" s="50" t="e">
        <f>'Product info'!#REF!</f>
        <v>#REF!</v>
      </c>
      <c r="H333" s="50" t="e">
        <f>'Product info'!#REF!</f>
        <v>#REF!</v>
      </c>
      <c r="I333" s="50" t="e">
        <f>'Product info'!#REF!</f>
        <v>#REF!</v>
      </c>
      <c r="J333" s="51" t="e">
        <f>'Product info'!#REF!</f>
        <v>#REF!</v>
      </c>
      <c r="K333" s="52" t="e">
        <f t="shared" si="68"/>
        <v>#REF!</v>
      </c>
      <c r="L333" s="50" t="e">
        <f t="shared" si="69"/>
        <v>#REF!</v>
      </c>
      <c r="M333" s="50" t="e">
        <f t="shared" si="70"/>
        <v>#REF!</v>
      </c>
      <c r="N333" s="50" t="e">
        <f t="shared" si="71"/>
        <v>#REF!</v>
      </c>
      <c r="O333" s="50" t="e">
        <f t="shared" si="72"/>
        <v>#REF!</v>
      </c>
      <c r="P333" s="53" t="e">
        <f t="shared" si="73"/>
        <v>#REF!</v>
      </c>
      <c r="Q333" s="54" t="e">
        <f>'Product info'!#REF!</f>
        <v>#REF!</v>
      </c>
      <c r="R333" s="54" t="e">
        <f>'Product info'!#REF!</f>
        <v>#REF!</v>
      </c>
      <c r="S333" s="54" t="e">
        <f>'Product info'!#REF!</f>
        <v>#REF!</v>
      </c>
      <c r="T333" s="50" t="e">
        <f>'Product info'!#REF!</f>
        <v>#REF!</v>
      </c>
      <c r="U333" s="52" t="e">
        <f t="shared" si="74"/>
        <v>#REF!</v>
      </c>
      <c r="V333" s="50" t="e">
        <f t="shared" si="75"/>
        <v>#REF!</v>
      </c>
      <c r="W333" s="50" t="e">
        <f t="shared" si="76"/>
        <v>#REF!</v>
      </c>
      <c r="X333" s="50" t="e">
        <f t="shared" si="77"/>
        <v>#REF!</v>
      </c>
      <c r="Y333" s="50" t="e">
        <f t="shared" si="78"/>
        <v>#REF!</v>
      </c>
      <c r="Z333" t="e">
        <f t="shared" si="79"/>
        <v>#REF!</v>
      </c>
    </row>
    <row r="334" spans="1:26" x14ac:dyDescent="0.4">
      <c r="A334" t="e">
        <f>'Product info'!#REF!</f>
        <v>#REF!</v>
      </c>
      <c r="B334" t="e">
        <f>'Product info'!#REF!</f>
        <v>#REF!</v>
      </c>
      <c r="C334" t="e">
        <f>'Product info'!#REF!</f>
        <v>#REF!</v>
      </c>
      <c r="D334" s="6" t="e">
        <f>'Product info'!#REF!</f>
        <v>#REF!</v>
      </c>
      <c r="E334" t="e">
        <f t="shared" si="67"/>
        <v>#REF!</v>
      </c>
      <c r="F334" s="50" t="e">
        <f>'Product info'!#REF!</f>
        <v>#REF!</v>
      </c>
      <c r="G334" s="50" t="e">
        <f>'Product info'!#REF!</f>
        <v>#REF!</v>
      </c>
      <c r="H334" s="50" t="e">
        <f>'Product info'!#REF!</f>
        <v>#REF!</v>
      </c>
      <c r="I334" s="50" t="e">
        <f>'Product info'!#REF!</f>
        <v>#REF!</v>
      </c>
      <c r="J334" s="51" t="e">
        <f>'Product info'!#REF!</f>
        <v>#REF!</v>
      </c>
      <c r="K334" s="52" t="e">
        <f t="shared" si="68"/>
        <v>#REF!</v>
      </c>
      <c r="L334" s="50" t="e">
        <f t="shared" si="69"/>
        <v>#REF!</v>
      </c>
      <c r="M334" s="50" t="e">
        <f t="shared" si="70"/>
        <v>#REF!</v>
      </c>
      <c r="N334" s="50" t="e">
        <f t="shared" si="71"/>
        <v>#REF!</v>
      </c>
      <c r="O334" s="50" t="e">
        <f t="shared" si="72"/>
        <v>#REF!</v>
      </c>
      <c r="P334" s="53" t="e">
        <f t="shared" si="73"/>
        <v>#REF!</v>
      </c>
      <c r="Q334" s="54" t="e">
        <f>'Product info'!#REF!</f>
        <v>#REF!</v>
      </c>
      <c r="R334" s="54" t="e">
        <f>'Product info'!#REF!</f>
        <v>#REF!</v>
      </c>
      <c r="S334" s="54" t="e">
        <f>'Product info'!#REF!</f>
        <v>#REF!</v>
      </c>
      <c r="T334" s="50" t="e">
        <f>'Product info'!#REF!</f>
        <v>#REF!</v>
      </c>
      <c r="U334" s="52" t="e">
        <f t="shared" si="74"/>
        <v>#REF!</v>
      </c>
      <c r="V334" s="50" t="e">
        <f t="shared" si="75"/>
        <v>#REF!</v>
      </c>
      <c r="W334" s="50" t="e">
        <f t="shared" si="76"/>
        <v>#REF!</v>
      </c>
      <c r="X334" s="50" t="e">
        <f t="shared" si="77"/>
        <v>#REF!</v>
      </c>
      <c r="Y334" s="50" t="e">
        <f t="shared" si="78"/>
        <v>#REF!</v>
      </c>
      <c r="Z334" t="e">
        <f t="shared" si="79"/>
        <v>#REF!</v>
      </c>
    </row>
    <row r="335" spans="1:26" x14ac:dyDescent="0.4">
      <c r="A335" t="e">
        <f>'Product info'!#REF!</f>
        <v>#REF!</v>
      </c>
      <c r="B335" t="e">
        <f>'Product info'!#REF!</f>
        <v>#REF!</v>
      </c>
      <c r="C335" t="e">
        <f>'Product info'!#REF!</f>
        <v>#REF!</v>
      </c>
      <c r="D335" s="6" t="e">
        <f>'Product info'!#REF!</f>
        <v>#REF!</v>
      </c>
      <c r="E335" t="e">
        <f t="shared" si="67"/>
        <v>#REF!</v>
      </c>
      <c r="F335" s="50" t="e">
        <f>'Product info'!#REF!</f>
        <v>#REF!</v>
      </c>
      <c r="G335" s="50" t="e">
        <f>'Product info'!#REF!</f>
        <v>#REF!</v>
      </c>
      <c r="H335" s="50" t="e">
        <f>'Product info'!#REF!</f>
        <v>#REF!</v>
      </c>
      <c r="I335" s="50" t="e">
        <f>'Product info'!#REF!</f>
        <v>#REF!</v>
      </c>
      <c r="J335" s="51" t="e">
        <f>'Product info'!#REF!</f>
        <v>#REF!</v>
      </c>
      <c r="K335" s="52" t="e">
        <f t="shared" si="68"/>
        <v>#REF!</v>
      </c>
      <c r="L335" s="50" t="e">
        <f t="shared" si="69"/>
        <v>#REF!</v>
      </c>
      <c r="M335" s="50" t="e">
        <f t="shared" si="70"/>
        <v>#REF!</v>
      </c>
      <c r="N335" s="50" t="e">
        <f t="shared" si="71"/>
        <v>#REF!</v>
      </c>
      <c r="O335" s="50" t="e">
        <f t="shared" si="72"/>
        <v>#REF!</v>
      </c>
      <c r="P335" s="53" t="e">
        <f t="shared" si="73"/>
        <v>#REF!</v>
      </c>
      <c r="Q335" s="54" t="e">
        <f>'Product info'!#REF!</f>
        <v>#REF!</v>
      </c>
      <c r="R335" s="54" t="e">
        <f>'Product info'!#REF!</f>
        <v>#REF!</v>
      </c>
      <c r="S335" s="54" t="e">
        <f>'Product info'!#REF!</f>
        <v>#REF!</v>
      </c>
      <c r="T335" s="50" t="e">
        <f>'Product info'!#REF!</f>
        <v>#REF!</v>
      </c>
      <c r="U335" s="52" t="e">
        <f t="shared" si="74"/>
        <v>#REF!</v>
      </c>
      <c r="V335" s="50" t="e">
        <f t="shared" si="75"/>
        <v>#REF!</v>
      </c>
      <c r="W335" s="50" t="e">
        <f t="shared" si="76"/>
        <v>#REF!</v>
      </c>
      <c r="X335" s="50" t="e">
        <f t="shared" si="77"/>
        <v>#REF!</v>
      </c>
      <c r="Y335" s="50" t="e">
        <f t="shared" si="78"/>
        <v>#REF!</v>
      </c>
      <c r="Z335" t="e">
        <f t="shared" si="79"/>
        <v>#REF!</v>
      </c>
    </row>
    <row r="336" spans="1:26" x14ac:dyDescent="0.4">
      <c r="A336" t="e">
        <f>'Product info'!#REF!</f>
        <v>#REF!</v>
      </c>
      <c r="B336" t="e">
        <f>'Product info'!#REF!</f>
        <v>#REF!</v>
      </c>
      <c r="C336" t="e">
        <f>'Product info'!#REF!</f>
        <v>#REF!</v>
      </c>
      <c r="D336" s="6" t="e">
        <f>'Product info'!#REF!</f>
        <v>#REF!</v>
      </c>
      <c r="E336" t="e">
        <f t="shared" si="67"/>
        <v>#REF!</v>
      </c>
      <c r="F336" s="50" t="e">
        <f>'Product info'!#REF!</f>
        <v>#REF!</v>
      </c>
      <c r="G336" s="50" t="e">
        <f>'Product info'!#REF!</f>
        <v>#REF!</v>
      </c>
      <c r="H336" s="50" t="e">
        <f>'Product info'!#REF!</f>
        <v>#REF!</v>
      </c>
      <c r="I336" s="50" t="e">
        <f>'Product info'!#REF!</f>
        <v>#REF!</v>
      </c>
      <c r="J336" s="51" t="e">
        <f>'Product info'!#REF!</f>
        <v>#REF!</v>
      </c>
      <c r="K336" s="52" t="e">
        <f t="shared" si="68"/>
        <v>#REF!</v>
      </c>
      <c r="L336" s="50" t="e">
        <f t="shared" si="69"/>
        <v>#REF!</v>
      </c>
      <c r="M336" s="50" t="e">
        <f t="shared" si="70"/>
        <v>#REF!</v>
      </c>
      <c r="N336" s="50" t="e">
        <f t="shared" si="71"/>
        <v>#REF!</v>
      </c>
      <c r="O336" s="50" t="e">
        <f t="shared" si="72"/>
        <v>#REF!</v>
      </c>
      <c r="P336" s="53" t="e">
        <f t="shared" si="73"/>
        <v>#REF!</v>
      </c>
      <c r="Q336" s="54" t="e">
        <f>'Product info'!#REF!</f>
        <v>#REF!</v>
      </c>
      <c r="R336" s="54" t="e">
        <f>'Product info'!#REF!</f>
        <v>#REF!</v>
      </c>
      <c r="S336" s="54" t="e">
        <f>'Product info'!#REF!</f>
        <v>#REF!</v>
      </c>
      <c r="T336" s="50" t="e">
        <f>'Product info'!#REF!</f>
        <v>#REF!</v>
      </c>
      <c r="U336" s="52" t="e">
        <f t="shared" si="74"/>
        <v>#REF!</v>
      </c>
      <c r="V336" s="50" t="e">
        <f t="shared" si="75"/>
        <v>#REF!</v>
      </c>
      <c r="W336" s="50" t="e">
        <f t="shared" si="76"/>
        <v>#REF!</v>
      </c>
      <c r="X336" s="50" t="e">
        <f t="shared" si="77"/>
        <v>#REF!</v>
      </c>
      <c r="Y336" s="50" t="e">
        <f t="shared" si="78"/>
        <v>#REF!</v>
      </c>
      <c r="Z336" t="e">
        <f t="shared" si="79"/>
        <v>#REF!</v>
      </c>
    </row>
    <row r="337" spans="1:26" x14ac:dyDescent="0.4">
      <c r="A337" t="e">
        <f>'Product info'!#REF!</f>
        <v>#REF!</v>
      </c>
      <c r="B337" t="e">
        <f>'Product info'!#REF!</f>
        <v>#REF!</v>
      </c>
      <c r="C337" t="e">
        <f>'Product info'!#REF!</f>
        <v>#REF!</v>
      </c>
      <c r="D337" s="6" t="e">
        <f>'Product info'!#REF!</f>
        <v>#REF!</v>
      </c>
      <c r="E337" t="e">
        <f t="shared" si="67"/>
        <v>#REF!</v>
      </c>
      <c r="F337" s="50" t="e">
        <f>'Product info'!#REF!</f>
        <v>#REF!</v>
      </c>
      <c r="G337" s="50" t="e">
        <f>'Product info'!#REF!</f>
        <v>#REF!</v>
      </c>
      <c r="H337" s="50" t="e">
        <f>'Product info'!#REF!</f>
        <v>#REF!</v>
      </c>
      <c r="I337" s="50" t="e">
        <f>'Product info'!#REF!</f>
        <v>#REF!</v>
      </c>
      <c r="J337" s="51" t="e">
        <f>'Product info'!#REF!</f>
        <v>#REF!</v>
      </c>
      <c r="K337" s="52" t="e">
        <f t="shared" si="68"/>
        <v>#REF!</v>
      </c>
      <c r="L337" s="50" t="e">
        <f t="shared" si="69"/>
        <v>#REF!</v>
      </c>
      <c r="M337" s="50" t="e">
        <f t="shared" si="70"/>
        <v>#REF!</v>
      </c>
      <c r="N337" s="50" t="e">
        <f t="shared" si="71"/>
        <v>#REF!</v>
      </c>
      <c r="O337" s="50" t="e">
        <f t="shared" si="72"/>
        <v>#REF!</v>
      </c>
      <c r="P337" s="53" t="e">
        <f t="shared" si="73"/>
        <v>#REF!</v>
      </c>
      <c r="Q337" s="54" t="e">
        <f>'Product info'!#REF!</f>
        <v>#REF!</v>
      </c>
      <c r="R337" s="54" t="e">
        <f>'Product info'!#REF!</f>
        <v>#REF!</v>
      </c>
      <c r="S337" s="54" t="e">
        <f>'Product info'!#REF!</f>
        <v>#REF!</v>
      </c>
      <c r="T337" s="50" t="e">
        <f>'Product info'!#REF!</f>
        <v>#REF!</v>
      </c>
      <c r="U337" s="52" t="e">
        <f t="shared" si="74"/>
        <v>#REF!</v>
      </c>
      <c r="V337" s="50" t="e">
        <f t="shared" si="75"/>
        <v>#REF!</v>
      </c>
      <c r="W337" s="50" t="e">
        <f t="shared" si="76"/>
        <v>#REF!</v>
      </c>
      <c r="X337" s="50" t="e">
        <f t="shared" si="77"/>
        <v>#REF!</v>
      </c>
      <c r="Y337" s="50" t="e">
        <f t="shared" si="78"/>
        <v>#REF!</v>
      </c>
      <c r="Z337" t="e">
        <f t="shared" si="79"/>
        <v>#REF!</v>
      </c>
    </row>
    <row r="338" spans="1:26" x14ac:dyDescent="0.4">
      <c r="A338" t="e">
        <f>'Product info'!#REF!</f>
        <v>#REF!</v>
      </c>
      <c r="B338" t="e">
        <f>'Product info'!#REF!</f>
        <v>#REF!</v>
      </c>
      <c r="C338" t="e">
        <f>'Product info'!#REF!</f>
        <v>#REF!</v>
      </c>
      <c r="D338" s="6" t="e">
        <f>'Product info'!#REF!</f>
        <v>#REF!</v>
      </c>
      <c r="E338" t="e">
        <f t="shared" si="67"/>
        <v>#REF!</v>
      </c>
      <c r="F338" s="50" t="e">
        <f>'Product info'!#REF!</f>
        <v>#REF!</v>
      </c>
      <c r="G338" s="50" t="e">
        <f>'Product info'!#REF!</f>
        <v>#REF!</v>
      </c>
      <c r="H338" s="50" t="e">
        <f>'Product info'!#REF!</f>
        <v>#REF!</v>
      </c>
      <c r="I338" s="50" t="e">
        <f>'Product info'!#REF!</f>
        <v>#REF!</v>
      </c>
      <c r="J338" s="51" t="e">
        <f>'Product info'!#REF!</f>
        <v>#REF!</v>
      </c>
      <c r="K338" s="52" t="e">
        <f t="shared" si="68"/>
        <v>#REF!</v>
      </c>
      <c r="L338" s="50" t="e">
        <f t="shared" si="69"/>
        <v>#REF!</v>
      </c>
      <c r="M338" s="50" t="e">
        <f t="shared" si="70"/>
        <v>#REF!</v>
      </c>
      <c r="N338" s="50" t="e">
        <f t="shared" si="71"/>
        <v>#REF!</v>
      </c>
      <c r="O338" s="50" t="e">
        <f t="shared" si="72"/>
        <v>#REF!</v>
      </c>
      <c r="P338" s="53" t="e">
        <f t="shared" si="73"/>
        <v>#REF!</v>
      </c>
      <c r="Q338" s="54" t="e">
        <f>'Product info'!#REF!</f>
        <v>#REF!</v>
      </c>
      <c r="R338" s="54" t="e">
        <f>'Product info'!#REF!</f>
        <v>#REF!</v>
      </c>
      <c r="S338" s="54" t="e">
        <f>'Product info'!#REF!</f>
        <v>#REF!</v>
      </c>
      <c r="T338" s="50" t="e">
        <f>'Product info'!#REF!</f>
        <v>#REF!</v>
      </c>
      <c r="U338" s="52" t="e">
        <f t="shared" si="74"/>
        <v>#REF!</v>
      </c>
      <c r="V338" s="50" t="e">
        <f t="shared" si="75"/>
        <v>#REF!</v>
      </c>
      <c r="W338" s="50" t="e">
        <f t="shared" si="76"/>
        <v>#REF!</v>
      </c>
      <c r="X338" s="50" t="e">
        <f t="shared" si="77"/>
        <v>#REF!</v>
      </c>
      <c r="Y338" s="50" t="e">
        <f t="shared" si="78"/>
        <v>#REF!</v>
      </c>
      <c r="Z338" t="e">
        <f t="shared" si="79"/>
        <v>#REF!</v>
      </c>
    </row>
    <row r="339" spans="1:26" x14ac:dyDescent="0.4">
      <c r="A339" t="e">
        <f>'Product info'!#REF!</f>
        <v>#REF!</v>
      </c>
      <c r="B339" t="e">
        <f>'Product info'!#REF!</f>
        <v>#REF!</v>
      </c>
      <c r="C339" t="e">
        <f>'Product info'!#REF!</f>
        <v>#REF!</v>
      </c>
      <c r="D339" s="6" t="e">
        <f>'Product info'!#REF!</f>
        <v>#REF!</v>
      </c>
      <c r="E339" t="e">
        <f t="shared" si="67"/>
        <v>#REF!</v>
      </c>
      <c r="F339" s="50" t="e">
        <f>'Product info'!#REF!</f>
        <v>#REF!</v>
      </c>
      <c r="G339" s="50" t="e">
        <f>'Product info'!#REF!</f>
        <v>#REF!</v>
      </c>
      <c r="H339" s="50" t="e">
        <f>'Product info'!#REF!</f>
        <v>#REF!</v>
      </c>
      <c r="I339" s="50" t="e">
        <f>'Product info'!#REF!</f>
        <v>#REF!</v>
      </c>
      <c r="J339" s="51" t="e">
        <f>'Product info'!#REF!</f>
        <v>#REF!</v>
      </c>
      <c r="K339" s="52" t="e">
        <f t="shared" si="68"/>
        <v>#REF!</v>
      </c>
      <c r="L339" s="50" t="e">
        <f t="shared" si="69"/>
        <v>#REF!</v>
      </c>
      <c r="M339" s="50" t="e">
        <f t="shared" si="70"/>
        <v>#REF!</v>
      </c>
      <c r="N339" s="50" t="e">
        <f t="shared" si="71"/>
        <v>#REF!</v>
      </c>
      <c r="O339" s="50" t="e">
        <f t="shared" si="72"/>
        <v>#REF!</v>
      </c>
      <c r="P339" s="53" t="e">
        <f t="shared" si="73"/>
        <v>#REF!</v>
      </c>
      <c r="Q339" s="54" t="e">
        <f>'Product info'!#REF!</f>
        <v>#REF!</v>
      </c>
      <c r="R339" s="54" t="e">
        <f>'Product info'!#REF!</f>
        <v>#REF!</v>
      </c>
      <c r="S339" s="54" t="e">
        <f>'Product info'!#REF!</f>
        <v>#REF!</v>
      </c>
      <c r="T339" s="50" t="e">
        <f>'Product info'!#REF!</f>
        <v>#REF!</v>
      </c>
      <c r="U339" s="52" t="e">
        <f t="shared" si="74"/>
        <v>#REF!</v>
      </c>
      <c r="V339" s="50" t="e">
        <f t="shared" si="75"/>
        <v>#REF!</v>
      </c>
      <c r="W339" s="50" t="e">
        <f t="shared" si="76"/>
        <v>#REF!</v>
      </c>
      <c r="X339" s="50" t="e">
        <f t="shared" si="77"/>
        <v>#REF!</v>
      </c>
      <c r="Y339" s="50" t="e">
        <f t="shared" si="78"/>
        <v>#REF!</v>
      </c>
      <c r="Z339" t="e">
        <f t="shared" si="79"/>
        <v>#REF!</v>
      </c>
    </row>
    <row r="340" spans="1:26" x14ac:dyDescent="0.4">
      <c r="A340" t="str">
        <f>'Product info'!A6</f>
        <v>B08BG74Q65</v>
      </c>
      <c r="B340">
        <f>'Product info'!F6</f>
        <v>0</v>
      </c>
      <c r="C340" t="str">
        <f>'Product info'!G6</f>
        <v>7E-GZIK-FILJ</v>
      </c>
      <c r="D340" s="6">
        <f>'Product info'!H6</f>
        <v>0</v>
      </c>
      <c r="E340" t="str">
        <f t="shared" si="67"/>
        <v>51.5*39.7*46.5</v>
      </c>
      <c r="F340" s="50">
        <f>'Product info'!O6</f>
        <v>51.5</v>
      </c>
      <c r="G340" s="50">
        <f>'Product info'!P6</f>
        <v>39.700000000000003</v>
      </c>
      <c r="H340" s="50">
        <f>'Product info'!Q6</f>
        <v>46.5</v>
      </c>
      <c r="I340" s="50">
        <f>'Product info'!N6</f>
        <v>5.5</v>
      </c>
      <c r="J340" s="51">
        <f>'Product info'!M6</f>
        <v>6</v>
      </c>
      <c r="K340" s="52">
        <f t="shared" si="68"/>
        <v>9.5071575000000005E-2</v>
      </c>
      <c r="L340" s="50">
        <f t="shared" si="69"/>
        <v>20.2756015</v>
      </c>
      <c r="M340" s="50">
        <f t="shared" si="70"/>
        <v>15.629929700000002</v>
      </c>
      <c r="N340" s="50">
        <f t="shared" si="71"/>
        <v>18.3070965</v>
      </c>
      <c r="O340" s="50">
        <f t="shared" si="72"/>
        <v>12.125409999999999</v>
      </c>
      <c r="P340" s="53" t="str">
        <f t="shared" si="73"/>
        <v>28*24*18</v>
      </c>
      <c r="Q340" s="54">
        <f>'Product info'!S6</f>
        <v>28</v>
      </c>
      <c r="R340" s="54">
        <f>'Product info'!T6</f>
        <v>24</v>
      </c>
      <c r="S340" s="54">
        <f>'Product info'!U6</f>
        <v>18</v>
      </c>
      <c r="T340" s="50">
        <f>'Product info'!R6</f>
        <v>0.84</v>
      </c>
      <c r="U340" s="52">
        <f t="shared" si="74"/>
        <v>1.2096000000000001E-2</v>
      </c>
      <c r="V340" s="50">
        <f t="shared" si="75"/>
        <v>11.023628</v>
      </c>
      <c r="W340" s="50">
        <f t="shared" si="76"/>
        <v>9.4488240000000001</v>
      </c>
      <c r="X340" s="50">
        <f t="shared" si="77"/>
        <v>7.0866180000000005</v>
      </c>
      <c r="Y340" s="50">
        <f t="shared" si="78"/>
        <v>1.8518807999999998</v>
      </c>
      <c r="Z340">
        <f t="shared" si="79"/>
        <v>1.5845262500000002E-2</v>
      </c>
    </row>
    <row r="341" spans="1:26" x14ac:dyDescent="0.4">
      <c r="A341">
        <f>'Product info'!A7</f>
        <v>8719992661190</v>
      </c>
      <c r="B341">
        <f>'Product info'!F7</f>
        <v>0</v>
      </c>
      <c r="C341">
        <f>'Product info'!G7</f>
        <v>0</v>
      </c>
      <c r="D341" s="6">
        <f>'Product info'!H7</f>
        <v>0</v>
      </c>
      <c r="E341" t="str">
        <f t="shared" si="67"/>
        <v>40*52*59</v>
      </c>
      <c r="F341" s="50">
        <f>'Product info'!O7</f>
        <v>40</v>
      </c>
      <c r="G341" s="50">
        <f>'Product info'!P7</f>
        <v>52</v>
      </c>
      <c r="H341" s="50">
        <f>'Product info'!Q7</f>
        <v>59</v>
      </c>
      <c r="I341" s="50">
        <f>'Product info'!N7</f>
        <v>9.9</v>
      </c>
      <c r="J341" s="51">
        <f>'Product info'!M7</f>
        <v>6</v>
      </c>
      <c r="K341" s="52">
        <f t="shared" si="68"/>
        <v>0.12272</v>
      </c>
      <c r="L341" s="50">
        <f t="shared" si="69"/>
        <v>15.748040000000001</v>
      </c>
      <c r="M341" s="50">
        <f t="shared" si="70"/>
        <v>20.472452000000001</v>
      </c>
      <c r="N341" s="50">
        <f t="shared" si="71"/>
        <v>23.228359000000001</v>
      </c>
      <c r="O341" s="50">
        <f t="shared" si="72"/>
        <v>21.825737999999998</v>
      </c>
      <c r="P341" s="53" t="str">
        <f t="shared" si="73"/>
        <v>25*39*19</v>
      </c>
      <c r="Q341" s="54">
        <f>'Product info'!S7</f>
        <v>25</v>
      </c>
      <c r="R341" s="54">
        <f>'Product info'!T7</f>
        <v>39</v>
      </c>
      <c r="S341" s="54">
        <f>'Product info'!U7</f>
        <v>19</v>
      </c>
      <c r="T341" s="50">
        <f>'Product info'!R7</f>
        <v>1.5</v>
      </c>
      <c r="U341" s="52">
        <f t="shared" si="74"/>
        <v>1.8525E-2</v>
      </c>
      <c r="V341" s="50">
        <f t="shared" si="75"/>
        <v>9.8425250000000002</v>
      </c>
      <c r="W341" s="50">
        <f t="shared" si="76"/>
        <v>15.354339000000001</v>
      </c>
      <c r="X341" s="50">
        <f t="shared" si="77"/>
        <v>7.4803190000000006</v>
      </c>
      <c r="Y341" s="50">
        <f t="shared" si="78"/>
        <v>3.3069299999999995</v>
      </c>
      <c r="Z341">
        <f t="shared" si="79"/>
        <v>2.0453333333333334E-2</v>
      </c>
    </row>
    <row r="342" spans="1:26" x14ac:dyDescent="0.4">
      <c r="A342" t="str">
        <f>'Product info'!A8</f>
        <v>B08BG695P2</v>
      </c>
      <c r="B342">
        <f>'Product info'!F8</f>
        <v>0</v>
      </c>
      <c r="C342" t="str">
        <f>'Product info'!G8</f>
        <v>FP-S3KC-OPLV</v>
      </c>
      <c r="D342" s="6">
        <f>'Product info'!H8</f>
        <v>0</v>
      </c>
      <c r="E342" t="str">
        <f t="shared" si="67"/>
        <v>51.5*39.7*55.5</v>
      </c>
      <c r="F342" s="50">
        <f>'Product info'!O8</f>
        <v>51.5</v>
      </c>
      <c r="G342" s="50">
        <f>'Product info'!P8</f>
        <v>39.700000000000003</v>
      </c>
      <c r="H342" s="50">
        <f>'Product info'!Q8</f>
        <v>55.5</v>
      </c>
      <c r="I342" s="50">
        <f>'Product info'!N8</f>
        <v>9.1999999999999993</v>
      </c>
      <c r="J342" s="51">
        <f>'Product info'!M8</f>
        <v>6</v>
      </c>
      <c r="K342" s="52">
        <f t="shared" si="68"/>
        <v>0.113472525</v>
      </c>
      <c r="L342" s="50">
        <f t="shared" si="69"/>
        <v>20.2756015</v>
      </c>
      <c r="M342" s="50">
        <f t="shared" si="70"/>
        <v>15.629929700000002</v>
      </c>
      <c r="N342" s="50">
        <f t="shared" si="71"/>
        <v>21.850405500000001</v>
      </c>
      <c r="O342" s="50">
        <f t="shared" si="72"/>
        <v>20.282503999999996</v>
      </c>
      <c r="P342" s="53" t="str">
        <f t="shared" si="73"/>
        <v>38*24*18</v>
      </c>
      <c r="Q342" s="54">
        <f>'Product info'!S8</f>
        <v>38</v>
      </c>
      <c r="R342" s="54">
        <f>'Product info'!T8</f>
        <v>24</v>
      </c>
      <c r="S342" s="54">
        <f>'Product info'!U8</f>
        <v>18</v>
      </c>
      <c r="T342" s="50">
        <f>'Product info'!R8</f>
        <v>1.43</v>
      </c>
      <c r="U342" s="52">
        <f t="shared" si="74"/>
        <v>1.6416E-2</v>
      </c>
      <c r="V342" s="50">
        <f t="shared" si="75"/>
        <v>14.960638000000001</v>
      </c>
      <c r="W342" s="50">
        <f t="shared" si="76"/>
        <v>9.4488240000000001</v>
      </c>
      <c r="X342" s="50">
        <f t="shared" si="77"/>
        <v>7.0866180000000005</v>
      </c>
      <c r="Y342" s="50">
        <f t="shared" si="78"/>
        <v>3.1526065999999995</v>
      </c>
      <c r="Z342">
        <f t="shared" si="79"/>
        <v>1.8912087500000001E-2</v>
      </c>
    </row>
    <row r="343" spans="1:26" x14ac:dyDescent="0.4">
      <c r="A343" t="str">
        <f>'Product info'!A9</f>
        <v>B07Q3FVXS9</v>
      </c>
      <c r="B343">
        <f>'Product info'!F9</f>
        <v>0</v>
      </c>
      <c r="C343" t="str">
        <f>'Product info'!G9</f>
        <v>EW-IO2U-1J4Q</v>
      </c>
      <c r="D343" s="6">
        <f>'Product info'!H9</f>
        <v>0</v>
      </c>
      <c r="E343" t="str">
        <f t="shared" si="67"/>
        <v>45*50*55</v>
      </c>
      <c r="F343" s="50">
        <f>'Product info'!O9</f>
        <v>45</v>
      </c>
      <c r="G343" s="50">
        <f>'Product info'!P9</f>
        <v>50</v>
      </c>
      <c r="H343" s="50">
        <f>'Product info'!Q9</f>
        <v>55</v>
      </c>
      <c r="I343" s="50">
        <f>'Product info'!N9</f>
        <v>19</v>
      </c>
      <c r="J343" s="51">
        <f>'Product info'!M9</f>
        <v>60</v>
      </c>
      <c r="K343" s="52">
        <f t="shared" si="68"/>
        <v>0.12375</v>
      </c>
      <c r="L343" s="50">
        <f t="shared" si="69"/>
        <v>17.716545</v>
      </c>
      <c r="M343" s="50">
        <f t="shared" si="70"/>
        <v>19.68505</v>
      </c>
      <c r="N343" s="50">
        <f t="shared" si="71"/>
        <v>21.653555000000001</v>
      </c>
      <c r="O343" s="50">
        <f t="shared" si="72"/>
        <v>41.887779999999999</v>
      </c>
      <c r="P343" s="53" t="str">
        <f t="shared" si="73"/>
        <v>25*26*6</v>
      </c>
      <c r="Q343" s="54">
        <f>'Product info'!S9</f>
        <v>25</v>
      </c>
      <c r="R343" s="54">
        <f>'Product info'!T9</f>
        <v>26</v>
      </c>
      <c r="S343" s="54">
        <f>'Product info'!U9</f>
        <v>6</v>
      </c>
      <c r="T343" s="50">
        <f>'Product info'!R9</f>
        <v>0.28000000000000003</v>
      </c>
      <c r="U343" s="52">
        <f t="shared" si="74"/>
        <v>3.8999999999999998E-3</v>
      </c>
      <c r="V343" s="50">
        <f t="shared" si="75"/>
        <v>9.8425250000000002</v>
      </c>
      <c r="W343" s="50">
        <f t="shared" si="76"/>
        <v>10.236226</v>
      </c>
      <c r="X343" s="50">
        <f t="shared" si="77"/>
        <v>2.362206</v>
      </c>
      <c r="Y343" s="50">
        <f t="shared" si="78"/>
        <v>0.6172936</v>
      </c>
      <c r="Z343">
        <f t="shared" si="79"/>
        <v>2.0625000000000001E-3</v>
      </c>
    </row>
    <row r="344" spans="1:26" x14ac:dyDescent="0.4">
      <c r="A344">
        <f>'Product info'!A10</f>
        <v>8720618229946</v>
      </c>
      <c r="B344">
        <f>'Product info'!F10</f>
        <v>0</v>
      </c>
      <c r="C344">
        <f>'Product info'!G10</f>
        <v>0</v>
      </c>
      <c r="D344" s="6">
        <f>'Product info'!H10</f>
        <v>0</v>
      </c>
      <c r="E344" t="str">
        <f t="shared" si="67"/>
        <v>26*44*39.5</v>
      </c>
      <c r="F344" s="50">
        <f>'Product info'!O10</f>
        <v>26</v>
      </c>
      <c r="G344" s="50">
        <f>'Product info'!P10</f>
        <v>44</v>
      </c>
      <c r="H344" s="50">
        <f>'Product info'!Q10</f>
        <v>39.5</v>
      </c>
      <c r="I344" s="50">
        <f>'Product info'!N10</f>
        <v>11.3</v>
      </c>
      <c r="J344" s="51">
        <f>'Product info'!M10</f>
        <v>13</v>
      </c>
      <c r="K344" s="52">
        <f t="shared" si="68"/>
        <v>4.5187999999999999E-2</v>
      </c>
      <c r="L344" s="50">
        <f t="shared" si="69"/>
        <v>10.236226</v>
      </c>
      <c r="M344" s="50">
        <f t="shared" si="70"/>
        <v>17.322844</v>
      </c>
      <c r="N344" s="50">
        <f t="shared" si="71"/>
        <v>15.551189500000001</v>
      </c>
      <c r="O344" s="50">
        <f t="shared" si="72"/>
        <v>24.912205999999998</v>
      </c>
      <c r="P344" s="53" t="str">
        <f t="shared" si="73"/>
        <v>24*36.5*2.7</v>
      </c>
      <c r="Q344" s="54">
        <f>'Product info'!S10</f>
        <v>24</v>
      </c>
      <c r="R344" s="54">
        <f>'Product info'!T10</f>
        <v>36.5</v>
      </c>
      <c r="S344" s="54">
        <f>'Product info'!U10</f>
        <v>2.7</v>
      </c>
      <c r="T344" s="50">
        <f>'Product info'!R10</f>
        <v>0.8</v>
      </c>
      <c r="U344" s="52">
        <f t="shared" si="74"/>
        <v>2.3652000000000005E-3</v>
      </c>
      <c r="V344" s="50">
        <f t="shared" si="75"/>
        <v>9.4488240000000001</v>
      </c>
      <c r="W344" s="50">
        <f t="shared" si="76"/>
        <v>14.370086500000001</v>
      </c>
      <c r="X344" s="50">
        <f t="shared" si="77"/>
        <v>1.0629927000000001</v>
      </c>
      <c r="Y344" s="50">
        <f t="shared" si="78"/>
        <v>1.7636959999999999</v>
      </c>
      <c r="Z344">
        <f t="shared" si="79"/>
        <v>3.4759999999999999E-3</v>
      </c>
    </row>
    <row r="345" spans="1:26" x14ac:dyDescent="0.4">
      <c r="A345">
        <f>'Product info'!A11</f>
        <v>8720618229953</v>
      </c>
      <c r="B345">
        <f>'Product info'!F11</f>
        <v>0</v>
      </c>
      <c r="C345">
        <f>'Product info'!G11</f>
        <v>0</v>
      </c>
      <c r="D345" s="6">
        <f>'Product info'!H11</f>
        <v>0</v>
      </c>
      <c r="E345" t="str">
        <f t="shared" si="67"/>
        <v>26*44*39.5</v>
      </c>
      <c r="F345" s="50">
        <f>'Product info'!O11</f>
        <v>26</v>
      </c>
      <c r="G345" s="50">
        <f>'Product info'!P11</f>
        <v>44</v>
      </c>
      <c r="H345" s="50">
        <f>'Product info'!Q11</f>
        <v>39.5</v>
      </c>
      <c r="I345" s="50">
        <f>'Product info'!N11</f>
        <v>11.3</v>
      </c>
      <c r="J345" s="51">
        <f>'Product info'!M11</f>
        <v>13</v>
      </c>
      <c r="K345" s="52">
        <f t="shared" si="68"/>
        <v>4.5187999999999999E-2</v>
      </c>
      <c r="L345" s="50">
        <f t="shared" si="69"/>
        <v>10.236226</v>
      </c>
      <c r="M345" s="50">
        <f t="shared" si="70"/>
        <v>17.322844</v>
      </c>
      <c r="N345" s="50">
        <f t="shared" si="71"/>
        <v>15.551189500000001</v>
      </c>
      <c r="O345" s="50">
        <f t="shared" si="72"/>
        <v>24.912205999999998</v>
      </c>
      <c r="P345" s="53" t="str">
        <f t="shared" si="73"/>
        <v>24*36.5*2.7</v>
      </c>
      <c r="Q345" s="54">
        <f>'Product info'!S11</f>
        <v>24</v>
      </c>
      <c r="R345" s="54">
        <f>'Product info'!T11</f>
        <v>36.5</v>
      </c>
      <c r="S345" s="54">
        <f>'Product info'!U11</f>
        <v>2.7</v>
      </c>
      <c r="T345" s="50">
        <f>'Product info'!R11</f>
        <v>0.8</v>
      </c>
      <c r="U345" s="52">
        <f t="shared" si="74"/>
        <v>2.3652000000000005E-3</v>
      </c>
      <c r="V345" s="50">
        <f t="shared" si="75"/>
        <v>9.4488240000000001</v>
      </c>
      <c r="W345" s="50">
        <f t="shared" si="76"/>
        <v>14.370086500000001</v>
      </c>
      <c r="X345" s="50">
        <f t="shared" si="77"/>
        <v>1.0629927000000001</v>
      </c>
      <c r="Y345" s="50">
        <f t="shared" si="78"/>
        <v>1.7636959999999999</v>
      </c>
      <c r="Z345">
        <f t="shared" si="79"/>
        <v>3.4759999999999999E-3</v>
      </c>
    </row>
    <row r="346" spans="1:26" x14ac:dyDescent="0.4">
      <c r="A346" t="e">
        <f>'Product info'!#REF!</f>
        <v>#REF!</v>
      </c>
      <c r="B346" t="e">
        <f>'Product info'!#REF!</f>
        <v>#REF!</v>
      </c>
      <c r="C346" t="e">
        <f>'Product info'!#REF!</f>
        <v>#REF!</v>
      </c>
      <c r="D346" s="6" t="e">
        <f>'Product info'!#REF!</f>
        <v>#REF!</v>
      </c>
      <c r="E346" t="e">
        <f t="shared" si="67"/>
        <v>#REF!</v>
      </c>
      <c r="F346" s="50" t="e">
        <f>'Product info'!#REF!</f>
        <v>#REF!</v>
      </c>
      <c r="G346" s="50" t="e">
        <f>'Product info'!#REF!</f>
        <v>#REF!</v>
      </c>
      <c r="H346" s="50" t="e">
        <f>'Product info'!#REF!</f>
        <v>#REF!</v>
      </c>
      <c r="I346" s="50" t="e">
        <f>'Product info'!#REF!</f>
        <v>#REF!</v>
      </c>
      <c r="J346" s="51" t="e">
        <f>'Product info'!#REF!</f>
        <v>#REF!</v>
      </c>
      <c r="K346" s="52" t="e">
        <f t="shared" si="68"/>
        <v>#REF!</v>
      </c>
      <c r="L346" s="50" t="e">
        <f t="shared" si="69"/>
        <v>#REF!</v>
      </c>
      <c r="M346" s="50" t="e">
        <f t="shared" si="70"/>
        <v>#REF!</v>
      </c>
      <c r="N346" s="50" t="e">
        <f t="shared" si="71"/>
        <v>#REF!</v>
      </c>
      <c r="O346" s="50" t="e">
        <f t="shared" si="72"/>
        <v>#REF!</v>
      </c>
      <c r="P346" s="53" t="e">
        <f t="shared" si="73"/>
        <v>#REF!</v>
      </c>
      <c r="Q346" s="54" t="e">
        <f>'Product info'!#REF!</f>
        <v>#REF!</v>
      </c>
      <c r="R346" s="54" t="e">
        <f>'Product info'!#REF!</f>
        <v>#REF!</v>
      </c>
      <c r="S346" s="54" t="e">
        <f>'Product info'!#REF!</f>
        <v>#REF!</v>
      </c>
      <c r="T346" s="50" t="e">
        <f>'Product info'!#REF!</f>
        <v>#REF!</v>
      </c>
      <c r="U346" s="52" t="e">
        <f t="shared" si="74"/>
        <v>#REF!</v>
      </c>
      <c r="V346" s="50" t="e">
        <f t="shared" si="75"/>
        <v>#REF!</v>
      </c>
      <c r="W346" s="50" t="e">
        <f t="shared" si="76"/>
        <v>#REF!</v>
      </c>
      <c r="X346" s="50" t="e">
        <f t="shared" si="77"/>
        <v>#REF!</v>
      </c>
      <c r="Y346" s="50" t="e">
        <f t="shared" si="78"/>
        <v>#REF!</v>
      </c>
      <c r="Z346" t="e">
        <f t="shared" si="79"/>
        <v>#REF!</v>
      </c>
    </row>
    <row r="347" spans="1:26" x14ac:dyDescent="0.4">
      <c r="A347" t="e">
        <f>'Product info'!#REF!</f>
        <v>#REF!</v>
      </c>
      <c r="B347" t="e">
        <f>'Product info'!#REF!</f>
        <v>#REF!</v>
      </c>
      <c r="C347" t="e">
        <f>'Product info'!#REF!</f>
        <v>#REF!</v>
      </c>
      <c r="D347" s="6" t="e">
        <f>'Product info'!#REF!</f>
        <v>#REF!</v>
      </c>
      <c r="E347" t="e">
        <f t="shared" si="67"/>
        <v>#REF!</v>
      </c>
      <c r="F347" s="50" t="e">
        <f>'Product info'!#REF!</f>
        <v>#REF!</v>
      </c>
      <c r="G347" s="50" t="e">
        <f>'Product info'!#REF!</f>
        <v>#REF!</v>
      </c>
      <c r="H347" s="50" t="e">
        <f>'Product info'!#REF!</f>
        <v>#REF!</v>
      </c>
      <c r="I347" s="50" t="e">
        <f>'Product info'!#REF!</f>
        <v>#REF!</v>
      </c>
      <c r="J347" s="51" t="e">
        <f>'Product info'!#REF!</f>
        <v>#REF!</v>
      </c>
      <c r="K347" s="52" t="e">
        <f t="shared" si="68"/>
        <v>#REF!</v>
      </c>
      <c r="L347" s="50" t="e">
        <f t="shared" si="69"/>
        <v>#REF!</v>
      </c>
      <c r="M347" s="50" t="e">
        <f t="shared" si="70"/>
        <v>#REF!</v>
      </c>
      <c r="N347" s="50" t="e">
        <f t="shared" si="71"/>
        <v>#REF!</v>
      </c>
      <c r="O347" s="50" t="e">
        <f t="shared" si="72"/>
        <v>#REF!</v>
      </c>
      <c r="P347" s="53" t="e">
        <f t="shared" si="73"/>
        <v>#REF!</v>
      </c>
      <c r="Q347" s="54" t="e">
        <f>'Product info'!#REF!</f>
        <v>#REF!</v>
      </c>
      <c r="R347" s="54" t="e">
        <f>'Product info'!#REF!</f>
        <v>#REF!</v>
      </c>
      <c r="S347" s="54" t="e">
        <f>'Product info'!#REF!</f>
        <v>#REF!</v>
      </c>
      <c r="T347" s="50" t="e">
        <f>'Product info'!#REF!</f>
        <v>#REF!</v>
      </c>
      <c r="U347" s="52" t="e">
        <f t="shared" si="74"/>
        <v>#REF!</v>
      </c>
      <c r="V347" s="50" t="e">
        <f t="shared" si="75"/>
        <v>#REF!</v>
      </c>
      <c r="W347" s="50" t="e">
        <f t="shared" si="76"/>
        <v>#REF!</v>
      </c>
      <c r="X347" s="50" t="e">
        <f t="shared" si="77"/>
        <v>#REF!</v>
      </c>
      <c r="Y347" s="50" t="e">
        <f t="shared" si="78"/>
        <v>#REF!</v>
      </c>
      <c r="Z347" t="e">
        <f t="shared" si="79"/>
        <v>#REF!</v>
      </c>
    </row>
    <row r="348" spans="1:26" x14ac:dyDescent="0.4">
      <c r="A348" t="e">
        <f>'Product info'!#REF!</f>
        <v>#REF!</v>
      </c>
      <c r="B348" t="e">
        <f>'Product info'!#REF!</f>
        <v>#REF!</v>
      </c>
      <c r="C348" t="e">
        <f>'Product info'!#REF!</f>
        <v>#REF!</v>
      </c>
      <c r="D348" s="6" t="e">
        <f>'Product info'!#REF!</f>
        <v>#REF!</v>
      </c>
      <c r="E348" t="e">
        <f t="shared" si="67"/>
        <v>#REF!</v>
      </c>
      <c r="F348" s="50" t="e">
        <f>'Product info'!#REF!</f>
        <v>#REF!</v>
      </c>
      <c r="G348" s="50" t="e">
        <f>'Product info'!#REF!</f>
        <v>#REF!</v>
      </c>
      <c r="H348" s="50" t="e">
        <f>'Product info'!#REF!</f>
        <v>#REF!</v>
      </c>
      <c r="I348" s="50" t="e">
        <f>'Product info'!#REF!</f>
        <v>#REF!</v>
      </c>
      <c r="J348" s="51" t="e">
        <f>'Product info'!#REF!</f>
        <v>#REF!</v>
      </c>
      <c r="K348" s="52" t="e">
        <f t="shared" si="68"/>
        <v>#REF!</v>
      </c>
      <c r="L348" s="50" t="e">
        <f t="shared" si="69"/>
        <v>#REF!</v>
      </c>
      <c r="M348" s="50" t="e">
        <f t="shared" si="70"/>
        <v>#REF!</v>
      </c>
      <c r="N348" s="50" t="e">
        <f t="shared" si="71"/>
        <v>#REF!</v>
      </c>
      <c r="O348" s="50" t="e">
        <f t="shared" si="72"/>
        <v>#REF!</v>
      </c>
      <c r="P348" s="53" t="e">
        <f t="shared" si="73"/>
        <v>#REF!</v>
      </c>
      <c r="Q348" s="54" t="e">
        <f>'Product info'!#REF!</f>
        <v>#REF!</v>
      </c>
      <c r="R348" s="54" t="e">
        <f>'Product info'!#REF!</f>
        <v>#REF!</v>
      </c>
      <c r="S348" s="54" t="e">
        <f>'Product info'!#REF!</f>
        <v>#REF!</v>
      </c>
      <c r="T348" s="50" t="e">
        <f>'Product info'!#REF!</f>
        <v>#REF!</v>
      </c>
      <c r="U348" s="52" t="e">
        <f t="shared" si="74"/>
        <v>#REF!</v>
      </c>
      <c r="V348" s="50" t="e">
        <f t="shared" si="75"/>
        <v>#REF!</v>
      </c>
      <c r="W348" s="50" t="e">
        <f t="shared" si="76"/>
        <v>#REF!</v>
      </c>
      <c r="X348" s="50" t="e">
        <f t="shared" si="77"/>
        <v>#REF!</v>
      </c>
      <c r="Y348" s="50" t="e">
        <f t="shared" si="78"/>
        <v>#REF!</v>
      </c>
      <c r="Z348" t="e">
        <f t="shared" si="79"/>
        <v>#REF!</v>
      </c>
    </row>
    <row r="349" spans="1:26" x14ac:dyDescent="0.4">
      <c r="A349" t="e">
        <f>'Product info'!#REF!</f>
        <v>#REF!</v>
      </c>
      <c r="B349" t="e">
        <f>'Product info'!#REF!</f>
        <v>#REF!</v>
      </c>
      <c r="C349" t="e">
        <f>'Product info'!#REF!</f>
        <v>#REF!</v>
      </c>
      <c r="D349" s="6" t="e">
        <f>'Product info'!#REF!</f>
        <v>#REF!</v>
      </c>
      <c r="E349" t="e">
        <f t="shared" si="67"/>
        <v>#REF!</v>
      </c>
      <c r="F349" s="50" t="e">
        <f>'Product info'!#REF!</f>
        <v>#REF!</v>
      </c>
      <c r="G349" s="50" t="e">
        <f>'Product info'!#REF!</f>
        <v>#REF!</v>
      </c>
      <c r="H349" s="50" t="e">
        <f>'Product info'!#REF!</f>
        <v>#REF!</v>
      </c>
      <c r="I349" s="50" t="e">
        <f>'Product info'!#REF!</f>
        <v>#REF!</v>
      </c>
      <c r="J349" s="51" t="e">
        <f>'Product info'!#REF!</f>
        <v>#REF!</v>
      </c>
      <c r="K349" s="52" t="e">
        <f t="shared" si="68"/>
        <v>#REF!</v>
      </c>
      <c r="L349" s="50" t="e">
        <f t="shared" si="69"/>
        <v>#REF!</v>
      </c>
      <c r="M349" s="50" t="e">
        <f t="shared" si="70"/>
        <v>#REF!</v>
      </c>
      <c r="N349" s="50" t="e">
        <f t="shared" si="71"/>
        <v>#REF!</v>
      </c>
      <c r="O349" s="50" t="e">
        <f t="shared" si="72"/>
        <v>#REF!</v>
      </c>
      <c r="P349" s="53" t="e">
        <f t="shared" si="73"/>
        <v>#REF!</v>
      </c>
      <c r="Q349" s="54" t="e">
        <f>'Product info'!#REF!</f>
        <v>#REF!</v>
      </c>
      <c r="R349" s="54" t="e">
        <f>'Product info'!#REF!</f>
        <v>#REF!</v>
      </c>
      <c r="S349" s="54" t="e">
        <f>'Product info'!#REF!</f>
        <v>#REF!</v>
      </c>
      <c r="T349" s="50" t="e">
        <f>'Product info'!#REF!</f>
        <v>#REF!</v>
      </c>
      <c r="U349" s="52" t="e">
        <f t="shared" si="74"/>
        <v>#REF!</v>
      </c>
      <c r="V349" s="50" t="e">
        <f t="shared" si="75"/>
        <v>#REF!</v>
      </c>
      <c r="W349" s="50" t="e">
        <f t="shared" si="76"/>
        <v>#REF!</v>
      </c>
      <c r="X349" s="50" t="e">
        <f t="shared" si="77"/>
        <v>#REF!</v>
      </c>
      <c r="Y349" s="50" t="e">
        <f t="shared" si="78"/>
        <v>#REF!</v>
      </c>
      <c r="Z349" t="e">
        <f t="shared" si="79"/>
        <v>#REF!</v>
      </c>
    </row>
    <row r="350" spans="1:26" x14ac:dyDescent="0.4">
      <c r="A350" t="e">
        <f>'Product info'!#REF!</f>
        <v>#REF!</v>
      </c>
      <c r="B350" t="e">
        <f>'Product info'!#REF!</f>
        <v>#REF!</v>
      </c>
      <c r="C350" t="e">
        <f>'Product info'!#REF!</f>
        <v>#REF!</v>
      </c>
      <c r="D350" s="6" t="e">
        <f>'Product info'!#REF!</f>
        <v>#REF!</v>
      </c>
      <c r="E350" t="e">
        <f t="shared" si="67"/>
        <v>#REF!</v>
      </c>
      <c r="F350" s="50" t="e">
        <f>'Product info'!#REF!</f>
        <v>#REF!</v>
      </c>
      <c r="G350" s="50" t="e">
        <f>'Product info'!#REF!</f>
        <v>#REF!</v>
      </c>
      <c r="H350" s="50" t="e">
        <f>'Product info'!#REF!</f>
        <v>#REF!</v>
      </c>
      <c r="I350" s="50" t="e">
        <f>'Product info'!#REF!</f>
        <v>#REF!</v>
      </c>
      <c r="J350" s="51" t="e">
        <f>'Product info'!#REF!</f>
        <v>#REF!</v>
      </c>
      <c r="K350" s="52" t="e">
        <f t="shared" si="68"/>
        <v>#REF!</v>
      </c>
      <c r="L350" s="50" t="e">
        <f t="shared" si="69"/>
        <v>#REF!</v>
      </c>
      <c r="M350" s="50" t="e">
        <f t="shared" si="70"/>
        <v>#REF!</v>
      </c>
      <c r="N350" s="50" t="e">
        <f t="shared" si="71"/>
        <v>#REF!</v>
      </c>
      <c r="O350" s="50" t="e">
        <f t="shared" si="72"/>
        <v>#REF!</v>
      </c>
      <c r="P350" s="53" t="e">
        <f t="shared" si="73"/>
        <v>#REF!</v>
      </c>
      <c r="Q350" s="54" t="e">
        <f>'Product info'!#REF!</f>
        <v>#REF!</v>
      </c>
      <c r="R350" s="54" t="e">
        <f>'Product info'!#REF!</f>
        <v>#REF!</v>
      </c>
      <c r="S350" s="54" t="e">
        <f>'Product info'!#REF!</f>
        <v>#REF!</v>
      </c>
      <c r="T350" s="50" t="e">
        <f>'Product info'!#REF!</f>
        <v>#REF!</v>
      </c>
      <c r="U350" s="52" t="e">
        <f t="shared" si="74"/>
        <v>#REF!</v>
      </c>
      <c r="V350" s="50" t="e">
        <f t="shared" si="75"/>
        <v>#REF!</v>
      </c>
      <c r="W350" s="50" t="e">
        <f t="shared" si="76"/>
        <v>#REF!</v>
      </c>
      <c r="X350" s="50" t="e">
        <f t="shared" si="77"/>
        <v>#REF!</v>
      </c>
      <c r="Y350" s="50" t="e">
        <f t="shared" si="78"/>
        <v>#REF!</v>
      </c>
      <c r="Z350" t="e">
        <f t="shared" si="79"/>
        <v>#REF!</v>
      </c>
    </row>
    <row r="351" spans="1:26" x14ac:dyDescent="0.4">
      <c r="A351" t="e">
        <f>'Product info'!#REF!</f>
        <v>#REF!</v>
      </c>
      <c r="B351" t="e">
        <f>'Product info'!#REF!</f>
        <v>#REF!</v>
      </c>
      <c r="C351" t="e">
        <f>'Product info'!#REF!</f>
        <v>#REF!</v>
      </c>
      <c r="D351" s="6" t="e">
        <f>'Product info'!#REF!</f>
        <v>#REF!</v>
      </c>
      <c r="E351" t="e">
        <f t="shared" si="67"/>
        <v>#REF!</v>
      </c>
      <c r="F351" s="50" t="e">
        <f>'Product info'!#REF!</f>
        <v>#REF!</v>
      </c>
      <c r="G351" s="50" t="e">
        <f>'Product info'!#REF!</f>
        <v>#REF!</v>
      </c>
      <c r="H351" s="50" t="e">
        <f>'Product info'!#REF!</f>
        <v>#REF!</v>
      </c>
      <c r="I351" s="50" t="e">
        <f>'Product info'!#REF!</f>
        <v>#REF!</v>
      </c>
      <c r="J351" s="51" t="e">
        <f>'Product info'!#REF!</f>
        <v>#REF!</v>
      </c>
      <c r="K351" s="52" t="e">
        <f t="shared" si="68"/>
        <v>#REF!</v>
      </c>
      <c r="L351" s="50" t="e">
        <f t="shared" si="69"/>
        <v>#REF!</v>
      </c>
      <c r="M351" s="50" t="e">
        <f t="shared" si="70"/>
        <v>#REF!</v>
      </c>
      <c r="N351" s="50" t="e">
        <f t="shared" si="71"/>
        <v>#REF!</v>
      </c>
      <c r="O351" s="50" t="e">
        <f t="shared" si="72"/>
        <v>#REF!</v>
      </c>
      <c r="P351" s="53" t="e">
        <f t="shared" si="73"/>
        <v>#REF!</v>
      </c>
      <c r="Q351" s="54" t="e">
        <f>'Product info'!#REF!</f>
        <v>#REF!</v>
      </c>
      <c r="R351" s="54" t="e">
        <f>'Product info'!#REF!</f>
        <v>#REF!</v>
      </c>
      <c r="S351" s="54" t="e">
        <f>'Product info'!#REF!</f>
        <v>#REF!</v>
      </c>
      <c r="T351" s="50" t="e">
        <f>'Product info'!#REF!</f>
        <v>#REF!</v>
      </c>
      <c r="U351" s="52" t="e">
        <f t="shared" si="74"/>
        <v>#REF!</v>
      </c>
      <c r="V351" s="50" t="e">
        <f t="shared" si="75"/>
        <v>#REF!</v>
      </c>
      <c r="W351" s="50" t="e">
        <f t="shared" si="76"/>
        <v>#REF!</v>
      </c>
      <c r="X351" s="50" t="e">
        <f t="shared" si="77"/>
        <v>#REF!</v>
      </c>
      <c r="Y351" s="50" t="e">
        <f t="shared" si="78"/>
        <v>#REF!</v>
      </c>
      <c r="Z351" t="e">
        <f t="shared" si="79"/>
        <v>#REF!</v>
      </c>
    </row>
    <row r="352" spans="1:26" x14ac:dyDescent="0.4">
      <c r="A352" t="e">
        <f>'Product info'!#REF!</f>
        <v>#REF!</v>
      </c>
      <c r="B352" t="e">
        <f>'Product info'!#REF!</f>
        <v>#REF!</v>
      </c>
      <c r="C352" t="e">
        <f>'Product info'!#REF!</f>
        <v>#REF!</v>
      </c>
      <c r="D352" s="6" t="e">
        <f>'Product info'!#REF!</f>
        <v>#REF!</v>
      </c>
      <c r="E352" t="e">
        <f t="shared" si="67"/>
        <v>#REF!</v>
      </c>
      <c r="F352" s="50" t="e">
        <f>'Product info'!#REF!</f>
        <v>#REF!</v>
      </c>
      <c r="G352" s="50" t="e">
        <f>'Product info'!#REF!</f>
        <v>#REF!</v>
      </c>
      <c r="H352" s="50" t="e">
        <f>'Product info'!#REF!</f>
        <v>#REF!</v>
      </c>
      <c r="I352" s="50" t="e">
        <f>'Product info'!#REF!</f>
        <v>#REF!</v>
      </c>
      <c r="J352" s="51" t="e">
        <f>'Product info'!#REF!</f>
        <v>#REF!</v>
      </c>
      <c r="K352" s="52" t="e">
        <f t="shared" si="68"/>
        <v>#REF!</v>
      </c>
      <c r="L352" s="50" t="e">
        <f t="shared" si="69"/>
        <v>#REF!</v>
      </c>
      <c r="M352" s="50" t="e">
        <f t="shared" si="70"/>
        <v>#REF!</v>
      </c>
      <c r="N352" s="50" t="e">
        <f t="shared" si="71"/>
        <v>#REF!</v>
      </c>
      <c r="O352" s="50" t="e">
        <f t="shared" si="72"/>
        <v>#REF!</v>
      </c>
      <c r="P352" s="53" t="e">
        <f t="shared" si="73"/>
        <v>#REF!</v>
      </c>
      <c r="Q352" s="54" t="e">
        <f>'Product info'!#REF!</f>
        <v>#REF!</v>
      </c>
      <c r="R352" s="54" t="e">
        <f>'Product info'!#REF!</f>
        <v>#REF!</v>
      </c>
      <c r="S352" s="54" t="e">
        <f>'Product info'!#REF!</f>
        <v>#REF!</v>
      </c>
      <c r="T352" s="50" t="e">
        <f>'Product info'!#REF!</f>
        <v>#REF!</v>
      </c>
      <c r="U352" s="52" t="e">
        <f t="shared" si="74"/>
        <v>#REF!</v>
      </c>
      <c r="V352" s="50" t="e">
        <f t="shared" si="75"/>
        <v>#REF!</v>
      </c>
      <c r="W352" s="50" t="e">
        <f t="shared" si="76"/>
        <v>#REF!</v>
      </c>
      <c r="X352" s="50" t="e">
        <f t="shared" si="77"/>
        <v>#REF!</v>
      </c>
      <c r="Y352" s="50" t="e">
        <f t="shared" si="78"/>
        <v>#REF!</v>
      </c>
      <c r="Z352" t="e">
        <f t="shared" si="79"/>
        <v>#REF!</v>
      </c>
    </row>
    <row r="353" spans="1:26" x14ac:dyDescent="0.4">
      <c r="A353" t="e">
        <f>'Product info'!#REF!</f>
        <v>#REF!</v>
      </c>
      <c r="B353" t="e">
        <f>'Product info'!#REF!</f>
        <v>#REF!</v>
      </c>
      <c r="C353" t="e">
        <f>'Product info'!#REF!</f>
        <v>#REF!</v>
      </c>
      <c r="D353" s="6" t="e">
        <f>'Product info'!#REF!</f>
        <v>#REF!</v>
      </c>
      <c r="E353" t="e">
        <f t="shared" si="67"/>
        <v>#REF!</v>
      </c>
      <c r="F353" s="50" t="e">
        <f>'Product info'!#REF!</f>
        <v>#REF!</v>
      </c>
      <c r="G353" s="50" t="e">
        <f>'Product info'!#REF!</f>
        <v>#REF!</v>
      </c>
      <c r="H353" s="50" t="e">
        <f>'Product info'!#REF!</f>
        <v>#REF!</v>
      </c>
      <c r="I353" s="50" t="e">
        <f>'Product info'!#REF!</f>
        <v>#REF!</v>
      </c>
      <c r="J353" s="51" t="e">
        <f>'Product info'!#REF!</f>
        <v>#REF!</v>
      </c>
      <c r="K353" s="52" t="e">
        <f t="shared" si="68"/>
        <v>#REF!</v>
      </c>
      <c r="L353" s="50" t="e">
        <f t="shared" si="69"/>
        <v>#REF!</v>
      </c>
      <c r="M353" s="50" t="e">
        <f t="shared" si="70"/>
        <v>#REF!</v>
      </c>
      <c r="N353" s="50" t="e">
        <f t="shared" si="71"/>
        <v>#REF!</v>
      </c>
      <c r="O353" s="50" t="e">
        <f t="shared" si="72"/>
        <v>#REF!</v>
      </c>
      <c r="P353" s="53" t="e">
        <f t="shared" si="73"/>
        <v>#REF!</v>
      </c>
      <c r="Q353" s="54" t="e">
        <f>'Product info'!#REF!</f>
        <v>#REF!</v>
      </c>
      <c r="R353" s="54" t="e">
        <f>'Product info'!#REF!</f>
        <v>#REF!</v>
      </c>
      <c r="S353" s="54" t="e">
        <f>'Product info'!#REF!</f>
        <v>#REF!</v>
      </c>
      <c r="T353" s="50" t="e">
        <f>'Product info'!#REF!</f>
        <v>#REF!</v>
      </c>
      <c r="U353" s="52" t="e">
        <f t="shared" si="74"/>
        <v>#REF!</v>
      </c>
      <c r="V353" s="50" t="e">
        <f t="shared" si="75"/>
        <v>#REF!</v>
      </c>
      <c r="W353" s="50" t="e">
        <f t="shared" si="76"/>
        <v>#REF!</v>
      </c>
      <c r="X353" s="50" t="e">
        <f t="shared" si="77"/>
        <v>#REF!</v>
      </c>
      <c r="Y353" s="50" t="e">
        <f t="shared" si="78"/>
        <v>#REF!</v>
      </c>
      <c r="Z353" t="e">
        <f t="shared" si="79"/>
        <v>#REF!</v>
      </c>
    </row>
    <row r="354" spans="1:26" x14ac:dyDescent="0.4">
      <c r="A354" t="e">
        <f>'Product info'!#REF!</f>
        <v>#REF!</v>
      </c>
      <c r="B354" t="e">
        <f>'Product info'!#REF!</f>
        <v>#REF!</v>
      </c>
      <c r="C354" t="e">
        <f>'Product info'!#REF!</f>
        <v>#REF!</v>
      </c>
      <c r="D354" s="6" t="e">
        <f>'Product info'!#REF!</f>
        <v>#REF!</v>
      </c>
      <c r="E354" t="e">
        <f t="shared" si="67"/>
        <v>#REF!</v>
      </c>
      <c r="F354" s="50" t="e">
        <f>'Product info'!#REF!</f>
        <v>#REF!</v>
      </c>
      <c r="G354" s="50" t="e">
        <f>'Product info'!#REF!</f>
        <v>#REF!</v>
      </c>
      <c r="H354" s="50" t="e">
        <f>'Product info'!#REF!</f>
        <v>#REF!</v>
      </c>
      <c r="I354" s="50" t="e">
        <f>'Product info'!#REF!</f>
        <v>#REF!</v>
      </c>
      <c r="J354" s="51" t="e">
        <f>'Product info'!#REF!</f>
        <v>#REF!</v>
      </c>
      <c r="K354" s="52" t="e">
        <f t="shared" si="68"/>
        <v>#REF!</v>
      </c>
      <c r="L354" s="50" t="e">
        <f t="shared" si="69"/>
        <v>#REF!</v>
      </c>
      <c r="M354" s="50" t="e">
        <f t="shared" si="70"/>
        <v>#REF!</v>
      </c>
      <c r="N354" s="50" t="e">
        <f t="shared" si="71"/>
        <v>#REF!</v>
      </c>
      <c r="O354" s="50" t="e">
        <f t="shared" si="72"/>
        <v>#REF!</v>
      </c>
      <c r="P354" s="53" t="e">
        <f t="shared" si="73"/>
        <v>#REF!</v>
      </c>
      <c r="Q354" s="54" t="e">
        <f>'Product info'!#REF!</f>
        <v>#REF!</v>
      </c>
      <c r="R354" s="54" t="e">
        <f>'Product info'!#REF!</f>
        <v>#REF!</v>
      </c>
      <c r="S354" s="54" t="e">
        <f>'Product info'!#REF!</f>
        <v>#REF!</v>
      </c>
      <c r="T354" s="50" t="e">
        <f>'Product info'!#REF!</f>
        <v>#REF!</v>
      </c>
      <c r="U354" s="52" t="e">
        <f t="shared" si="74"/>
        <v>#REF!</v>
      </c>
      <c r="V354" s="50" t="e">
        <f t="shared" si="75"/>
        <v>#REF!</v>
      </c>
      <c r="W354" s="50" t="e">
        <f t="shared" si="76"/>
        <v>#REF!</v>
      </c>
      <c r="X354" s="50" t="e">
        <f t="shared" si="77"/>
        <v>#REF!</v>
      </c>
      <c r="Y354" s="50" t="e">
        <f t="shared" si="78"/>
        <v>#REF!</v>
      </c>
      <c r="Z354" t="e">
        <f t="shared" si="79"/>
        <v>#REF!</v>
      </c>
    </row>
    <row r="355" spans="1:26" x14ac:dyDescent="0.4">
      <c r="A355" t="e">
        <f>'Product info'!#REF!</f>
        <v>#REF!</v>
      </c>
      <c r="B355" t="e">
        <f>'Product info'!#REF!</f>
        <v>#REF!</v>
      </c>
      <c r="C355" t="e">
        <f>'Product info'!#REF!</f>
        <v>#REF!</v>
      </c>
      <c r="D355" s="6" t="e">
        <f>'Product info'!#REF!</f>
        <v>#REF!</v>
      </c>
      <c r="E355" t="e">
        <f t="shared" si="67"/>
        <v>#REF!</v>
      </c>
      <c r="F355" s="50" t="e">
        <f>'Product info'!#REF!</f>
        <v>#REF!</v>
      </c>
      <c r="G355" s="50" t="e">
        <f>'Product info'!#REF!</f>
        <v>#REF!</v>
      </c>
      <c r="H355" s="50" t="e">
        <f>'Product info'!#REF!</f>
        <v>#REF!</v>
      </c>
      <c r="I355" s="50" t="e">
        <f>'Product info'!#REF!</f>
        <v>#REF!</v>
      </c>
      <c r="J355" s="51" t="e">
        <f>'Product info'!#REF!</f>
        <v>#REF!</v>
      </c>
      <c r="K355" s="52" t="e">
        <f t="shared" si="68"/>
        <v>#REF!</v>
      </c>
      <c r="L355" s="50" t="e">
        <f t="shared" si="69"/>
        <v>#REF!</v>
      </c>
      <c r="M355" s="50" t="e">
        <f t="shared" si="70"/>
        <v>#REF!</v>
      </c>
      <c r="N355" s="50" t="e">
        <f t="shared" si="71"/>
        <v>#REF!</v>
      </c>
      <c r="O355" s="50" t="e">
        <f t="shared" si="72"/>
        <v>#REF!</v>
      </c>
      <c r="P355" s="53" t="e">
        <f t="shared" si="73"/>
        <v>#REF!</v>
      </c>
      <c r="Q355" s="54" t="e">
        <f>'Product info'!#REF!</f>
        <v>#REF!</v>
      </c>
      <c r="R355" s="54" t="e">
        <f>'Product info'!#REF!</f>
        <v>#REF!</v>
      </c>
      <c r="S355" s="54" t="e">
        <f>'Product info'!#REF!</f>
        <v>#REF!</v>
      </c>
      <c r="T355" s="50" t="e">
        <f>'Product info'!#REF!</f>
        <v>#REF!</v>
      </c>
      <c r="U355" s="52" t="e">
        <f t="shared" si="74"/>
        <v>#REF!</v>
      </c>
      <c r="V355" s="50" t="e">
        <f t="shared" si="75"/>
        <v>#REF!</v>
      </c>
      <c r="W355" s="50" t="e">
        <f t="shared" si="76"/>
        <v>#REF!</v>
      </c>
      <c r="X355" s="50" t="e">
        <f t="shared" si="77"/>
        <v>#REF!</v>
      </c>
      <c r="Y355" s="50" t="e">
        <f t="shared" si="78"/>
        <v>#REF!</v>
      </c>
      <c r="Z355" t="e">
        <f t="shared" si="79"/>
        <v>#REF!</v>
      </c>
    </row>
    <row r="356" spans="1:26" x14ac:dyDescent="0.4">
      <c r="A356" t="e">
        <f>'Product info'!#REF!</f>
        <v>#REF!</v>
      </c>
      <c r="B356" t="e">
        <f>'Product info'!#REF!</f>
        <v>#REF!</v>
      </c>
      <c r="C356" t="e">
        <f>'Product info'!#REF!</f>
        <v>#REF!</v>
      </c>
      <c r="D356" s="6" t="e">
        <f>'Product info'!#REF!</f>
        <v>#REF!</v>
      </c>
      <c r="E356" t="e">
        <f t="shared" si="67"/>
        <v>#REF!</v>
      </c>
      <c r="F356" s="50" t="e">
        <f>'Product info'!#REF!</f>
        <v>#REF!</v>
      </c>
      <c r="G356" s="50" t="e">
        <f>'Product info'!#REF!</f>
        <v>#REF!</v>
      </c>
      <c r="H356" s="50" t="e">
        <f>'Product info'!#REF!</f>
        <v>#REF!</v>
      </c>
      <c r="I356" s="50" t="e">
        <f>'Product info'!#REF!</f>
        <v>#REF!</v>
      </c>
      <c r="J356" s="51" t="e">
        <f>'Product info'!#REF!</f>
        <v>#REF!</v>
      </c>
      <c r="K356" s="52" t="e">
        <f t="shared" si="68"/>
        <v>#REF!</v>
      </c>
      <c r="L356" s="50" t="e">
        <f t="shared" si="69"/>
        <v>#REF!</v>
      </c>
      <c r="M356" s="50" t="e">
        <f t="shared" si="70"/>
        <v>#REF!</v>
      </c>
      <c r="N356" s="50" t="e">
        <f t="shared" si="71"/>
        <v>#REF!</v>
      </c>
      <c r="O356" s="50" t="e">
        <f t="shared" si="72"/>
        <v>#REF!</v>
      </c>
      <c r="P356" s="53" t="e">
        <f t="shared" si="73"/>
        <v>#REF!</v>
      </c>
      <c r="Q356" s="54" t="e">
        <f>'Product info'!#REF!</f>
        <v>#REF!</v>
      </c>
      <c r="R356" s="54" t="e">
        <f>'Product info'!#REF!</f>
        <v>#REF!</v>
      </c>
      <c r="S356" s="54" t="e">
        <f>'Product info'!#REF!</f>
        <v>#REF!</v>
      </c>
      <c r="T356" s="50" t="e">
        <f>'Product info'!#REF!</f>
        <v>#REF!</v>
      </c>
      <c r="U356" s="52" t="e">
        <f t="shared" si="74"/>
        <v>#REF!</v>
      </c>
      <c r="V356" s="50" t="e">
        <f t="shared" si="75"/>
        <v>#REF!</v>
      </c>
      <c r="W356" s="50" t="e">
        <f t="shared" si="76"/>
        <v>#REF!</v>
      </c>
      <c r="X356" s="50" t="e">
        <f t="shared" si="77"/>
        <v>#REF!</v>
      </c>
      <c r="Y356" s="50" t="e">
        <f t="shared" si="78"/>
        <v>#REF!</v>
      </c>
      <c r="Z356" t="e">
        <f t="shared" si="79"/>
        <v>#REF!</v>
      </c>
    </row>
    <row r="357" spans="1:26" x14ac:dyDescent="0.4">
      <c r="A357" t="e">
        <f>'Product info'!#REF!</f>
        <v>#REF!</v>
      </c>
      <c r="B357" t="e">
        <f>'Product info'!#REF!</f>
        <v>#REF!</v>
      </c>
      <c r="C357" t="e">
        <f>'Product info'!#REF!</f>
        <v>#REF!</v>
      </c>
      <c r="D357" s="6" t="e">
        <f>'Product info'!#REF!</f>
        <v>#REF!</v>
      </c>
      <c r="E357" t="e">
        <f t="shared" si="67"/>
        <v>#REF!</v>
      </c>
      <c r="F357" s="50" t="e">
        <f>'Product info'!#REF!</f>
        <v>#REF!</v>
      </c>
      <c r="G357" s="50" t="e">
        <f>'Product info'!#REF!</f>
        <v>#REF!</v>
      </c>
      <c r="H357" s="50" t="e">
        <f>'Product info'!#REF!</f>
        <v>#REF!</v>
      </c>
      <c r="I357" s="50" t="e">
        <f>'Product info'!#REF!</f>
        <v>#REF!</v>
      </c>
      <c r="J357" s="51" t="e">
        <f>'Product info'!#REF!</f>
        <v>#REF!</v>
      </c>
      <c r="K357" s="52" t="e">
        <f t="shared" si="68"/>
        <v>#REF!</v>
      </c>
      <c r="L357" s="50" t="e">
        <f t="shared" si="69"/>
        <v>#REF!</v>
      </c>
      <c r="M357" s="50" t="e">
        <f t="shared" si="70"/>
        <v>#REF!</v>
      </c>
      <c r="N357" s="50" t="e">
        <f t="shared" si="71"/>
        <v>#REF!</v>
      </c>
      <c r="O357" s="50" t="e">
        <f t="shared" si="72"/>
        <v>#REF!</v>
      </c>
      <c r="P357" s="53" t="e">
        <f t="shared" si="73"/>
        <v>#REF!</v>
      </c>
      <c r="Q357" s="54" t="e">
        <f>'Product info'!#REF!</f>
        <v>#REF!</v>
      </c>
      <c r="R357" s="54" t="e">
        <f>'Product info'!#REF!</f>
        <v>#REF!</v>
      </c>
      <c r="S357" s="54" t="e">
        <f>'Product info'!#REF!</f>
        <v>#REF!</v>
      </c>
      <c r="T357" s="50" t="e">
        <f>'Product info'!#REF!</f>
        <v>#REF!</v>
      </c>
      <c r="U357" s="52" t="e">
        <f t="shared" si="74"/>
        <v>#REF!</v>
      </c>
      <c r="V357" s="50" t="e">
        <f t="shared" si="75"/>
        <v>#REF!</v>
      </c>
      <c r="W357" s="50" t="e">
        <f t="shared" si="76"/>
        <v>#REF!</v>
      </c>
      <c r="X357" s="50" t="e">
        <f t="shared" si="77"/>
        <v>#REF!</v>
      </c>
      <c r="Y357" s="50" t="e">
        <f t="shared" si="78"/>
        <v>#REF!</v>
      </c>
      <c r="Z357" t="e">
        <f t="shared" si="79"/>
        <v>#REF!</v>
      </c>
    </row>
    <row r="358" spans="1:26" x14ac:dyDescent="0.4">
      <c r="A358" t="e">
        <f>'Product info'!#REF!</f>
        <v>#REF!</v>
      </c>
      <c r="B358" t="e">
        <f>'Product info'!#REF!</f>
        <v>#REF!</v>
      </c>
      <c r="C358" t="e">
        <f>'Product info'!#REF!</f>
        <v>#REF!</v>
      </c>
      <c r="D358" s="6" t="e">
        <f>'Product info'!#REF!</f>
        <v>#REF!</v>
      </c>
      <c r="E358" t="e">
        <f t="shared" si="67"/>
        <v>#REF!</v>
      </c>
      <c r="F358" s="50" t="e">
        <f>'Product info'!#REF!</f>
        <v>#REF!</v>
      </c>
      <c r="G358" s="50" t="e">
        <f>'Product info'!#REF!</f>
        <v>#REF!</v>
      </c>
      <c r="H358" s="50" t="e">
        <f>'Product info'!#REF!</f>
        <v>#REF!</v>
      </c>
      <c r="I358" s="50" t="e">
        <f>'Product info'!#REF!</f>
        <v>#REF!</v>
      </c>
      <c r="J358" s="51" t="e">
        <f>'Product info'!#REF!</f>
        <v>#REF!</v>
      </c>
      <c r="K358" s="52" t="e">
        <f t="shared" si="68"/>
        <v>#REF!</v>
      </c>
      <c r="L358" s="50" t="e">
        <f t="shared" si="69"/>
        <v>#REF!</v>
      </c>
      <c r="M358" s="50" t="e">
        <f t="shared" si="70"/>
        <v>#REF!</v>
      </c>
      <c r="N358" s="50" t="e">
        <f t="shared" si="71"/>
        <v>#REF!</v>
      </c>
      <c r="O358" s="50" t="e">
        <f t="shared" si="72"/>
        <v>#REF!</v>
      </c>
      <c r="P358" s="53" t="e">
        <f t="shared" si="73"/>
        <v>#REF!</v>
      </c>
      <c r="Q358" s="54" t="e">
        <f>'Product info'!#REF!</f>
        <v>#REF!</v>
      </c>
      <c r="R358" s="54" t="e">
        <f>'Product info'!#REF!</f>
        <v>#REF!</v>
      </c>
      <c r="S358" s="54" t="e">
        <f>'Product info'!#REF!</f>
        <v>#REF!</v>
      </c>
      <c r="T358" s="50" t="e">
        <f>'Product info'!#REF!</f>
        <v>#REF!</v>
      </c>
      <c r="U358" s="52" t="e">
        <f t="shared" si="74"/>
        <v>#REF!</v>
      </c>
      <c r="V358" s="50" t="e">
        <f t="shared" si="75"/>
        <v>#REF!</v>
      </c>
      <c r="W358" s="50" t="e">
        <f t="shared" si="76"/>
        <v>#REF!</v>
      </c>
      <c r="X358" s="50" t="e">
        <f t="shared" si="77"/>
        <v>#REF!</v>
      </c>
      <c r="Y358" s="50" t="e">
        <f t="shared" si="78"/>
        <v>#REF!</v>
      </c>
      <c r="Z358" t="e">
        <f t="shared" si="79"/>
        <v>#REF!</v>
      </c>
    </row>
    <row r="359" spans="1:26" x14ac:dyDescent="0.4">
      <c r="A359" t="e">
        <f>'Product info'!#REF!</f>
        <v>#REF!</v>
      </c>
      <c r="B359" t="e">
        <f>'Product info'!#REF!</f>
        <v>#REF!</v>
      </c>
      <c r="C359" t="e">
        <f>'Product info'!#REF!</f>
        <v>#REF!</v>
      </c>
      <c r="D359" s="6" t="e">
        <f>'Product info'!#REF!</f>
        <v>#REF!</v>
      </c>
      <c r="E359" t="e">
        <f t="shared" si="67"/>
        <v>#REF!</v>
      </c>
      <c r="F359" s="50" t="e">
        <f>'Product info'!#REF!</f>
        <v>#REF!</v>
      </c>
      <c r="G359" s="50" t="e">
        <f>'Product info'!#REF!</f>
        <v>#REF!</v>
      </c>
      <c r="H359" s="50" t="e">
        <f>'Product info'!#REF!</f>
        <v>#REF!</v>
      </c>
      <c r="I359" s="50" t="e">
        <f>'Product info'!#REF!</f>
        <v>#REF!</v>
      </c>
      <c r="J359" s="51" t="e">
        <f>'Product info'!#REF!</f>
        <v>#REF!</v>
      </c>
      <c r="K359" s="52" t="e">
        <f t="shared" si="68"/>
        <v>#REF!</v>
      </c>
      <c r="L359" s="50" t="e">
        <f t="shared" si="69"/>
        <v>#REF!</v>
      </c>
      <c r="M359" s="50" t="e">
        <f t="shared" si="70"/>
        <v>#REF!</v>
      </c>
      <c r="N359" s="50" t="e">
        <f t="shared" si="71"/>
        <v>#REF!</v>
      </c>
      <c r="O359" s="50" t="e">
        <f t="shared" si="72"/>
        <v>#REF!</v>
      </c>
      <c r="P359" s="53" t="e">
        <f t="shared" si="73"/>
        <v>#REF!</v>
      </c>
      <c r="Q359" s="54" t="e">
        <f>'Product info'!#REF!</f>
        <v>#REF!</v>
      </c>
      <c r="R359" s="54" t="e">
        <f>'Product info'!#REF!</f>
        <v>#REF!</v>
      </c>
      <c r="S359" s="54" t="e">
        <f>'Product info'!#REF!</f>
        <v>#REF!</v>
      </c>
      <c r="T359" s="50" t="e">
        <f>'Product info'!#REF!</f>
        <v>#REF!</v>
      </c>
      <c r="U359" s="52" t="e">
        <f t="shared" si="74"/>
        <v>#REF!</v>
      </c>
      <c r="V359" s="50" t="e">
        <f t="shared" si="75"/>
        <v>#REF!</v>
      </c>
      <c r="W359" s="50" t="e">
        <f t="shared" si="76"/>
        <v>#REF!</v>
      </c>
      <c r="X359" s="50" t="e">
        <f t="shared" si="77"/>
        <v>#REF!</v>
      </c>
      <c r="Y359" s="50" t="e">
        <f t="shared" si="78"/>
        <v>#REF!</v>
      </c>
      <c r="Z359" t="e">
        <f t="shared" si="79"/>
        <v>#REF!</v>
      </c>
    </row>
    <row r="360" spans="1:26" x14ac:dyDescent="0.4">
      <c r="A360" t="e">
        <f>'Product info'!#REF!</f>
        <v>#REF!</v>
      </c>
      <c r="B360" t="e">
        <f>'Product info'!#REF!</f>
        <v>#REF!</v>
      </c>
      <c r="C360" t="e">
        <f>'Product info'!#REF!</f>
        <v>#REF!</v>
      </c>
      <c r="D360" s="6" t="e">
        <f>'Product info'!#REF!</f>
        <v>#REF!</v>
      </c>
      <c r="E360" t="e">
        <f t="shared" si="67"/>
        <v>#REF!</v>
      </c>
      <c r="F360" s="50" t="e">
        <f>'Product info'!#REF!</f>
        <v>#REF!</v>
      </c>
      <c r="G360" s="50" t="e">
        <f>'Product info'!#REF!</f>
        <v>#REF!</v>
      </c>
      <c r="H360" s="50" t="e">
        <f>'Product info'!#REF!</f>
        <v>#REF!</v>
      </c>
      <c r="I360" s="50" t="e">
        <f>'Product info'!#REF!</f>
        <v>#REF!</v>
      </c>
      <c r="J360" s="51" t="e">
        <f>'Product info'!#REF!</f>
        <v>#REF!</v>
      </c>
      <c r="K360" s="52" t="e">
        <f t="shared" si="68"/>
        <v>#REF!</v>
      </c>
      <c r="L360" s="50" t="e">
        <f t="shared" si="69"/>
        <v>#REF!</v>
      </c>
      <c r="M360" s="50" t="e">
        <f t="shared" si="70"/>
        <v>#REF!</v>
      </c>
      <c r="N360" s="50" t="e">
        <f t="shared" si="71"/>
        <v>#REF!</v>
      </c>
      <c r="O360" s="50" t="e">
        <f t="shared" si="72"/>
        <v>#REF!</v>
      </c>
      <c r="P360" s="53" t="e">
        <f t="shared" si="73"/>
        <v>#REF!</v>
      </c>
      <c r="Q360" s="54" t="e">
        <f>'Product info'!#REF!</f>
        <v>#REF!</v>
      </c>
      <c r="R360" s="54" t="e">
        <f>'Product info'!#REF!</f>
        <v>#REF!</v>
      </c>
      <c r="S360" s="54" t="e">
        <f>'Product info'!#REF!</f>
        <v>#REF!</v>
      </c>
      <c r="T360" s="50" t="e">
        <f>'Product info'!#REF!</f>
        <v>#REF!</v>
      </c>
      <c r="U360" s="52" t="e">
        <f t="shared" si="74"/>
        <v>#REF!</v>
      </c>
      <c r="V360" s="50" t="e">
        <f t="shared" si="75"/>
        <v>#REF!</v>
      </c>
      <c r="W360" s="50" t="e">
        <f t="shared" si="76"/>
        <v>#REF!</v>
      </c>
      <c r="X360" s="50" t="e">
        <f t="shared" si="77"/>
        <v>#REF!</v>
      </c>
      <c r="Y360" s="50" t="e">
        <f t="shared" si="78"/>
        <v>#REF!</v>
      </c>
      <c r="Z360" t="e">
        <f t="shared" si="79"/>
        <v>#REF!</v>
      </c>
    </row>
    <row r="361" spans="1:26" x14ac:dyDescent="0.4">
      <c r="A361" t="e">
        <f>'Product info'!#REF!</f>
        <v>#REF!</v>
      </c>
      <c r="B361" t="e">
        <f>'Product info'!#REF!</f>
        <v>#REF!</v>
      </c>
      <c r="C361" t="e">
        <f>'Product info'!#REF!</f>
        <v>#REF!</v>
      </c>
      <c r="D361" s="6" t="e">
        <f>'Product info'!#REF!</f>
        <v>#REF!</v>
      </c>
      <c r="E361" t="e">
        <f t="shared" si="67"/>
        <v>#REF!</v>
      </c>
      <c r="F361" s="50" t="e">
        <f>'Product info'!#REF!</f>
        <v>#REF!</v>
      </c>
      <c r="G361" s="50" t="e">
        <f>'Product info'!#REF!</f>
        <v>#REF!</v>
      </c>
      <c r="H361" s="50" t="e">
        <f>'Product info'!#REF!</f>
        <v>#REF!</v>
      </c>
      <c r="I361" s="50" t="e">
        <f>'Product info'!#REF!</f>
        <v>#REF!</v>
      </c>
      <c r="J361" s="51" t="e">
        <f>'Product info'!#REF!</f>
        <v>#REF!</v>
      </c>
      <c r="K361" s="52" t="e">
        <f t="shared" si="68"/>
        <v>#REF!</v>
      </c>
      <c r="L361" s="50" t="e">
        <f t="shared" si="69"/>
        <v>#REF!</v>
      </c>
      <c r="M361" s="50" t="e">
        <f t="shared" si="70"/>
        <v>#REF!</v>
      </c>
      <c r="N361" s="50" t="e">
        <f t="shared" si="71"/>
        <v>#REF!</v>
      </c>
      <c r="O361" s="50" t="e">
        <f t="shared" si="72"/>
        <v>#REF!</v>
      </c>
      <c r="P361" s="53" t="e">
        <f t="shared" si="73"/>
        <v>#REF!</v>
      </c>
      <c r="Q361" s="54" t="e">
        <f>'Product info'!#REF!</f>
        <v>#REF!</v>
      </c>
      <c r="R361" s="54" t="e">
        <f>'Product info'!#REF!</f>
        <v>#REF!</v>
      </c>
      <c r="S361" s="54" t="e">
        <f>'Product info'!#REF!</f>
        <v>#REF!</v>
      </c>
      <c r="T361" s="50" t="e">
        <f>'Product info'!#REF!</f>
        <v>#REF!</v>
      </c>
      <c r="U361" s="52" t="e">
        <f t="shared" si="74"/>
        <v>#REF!</v>
      </c>
      <c r="V361" s="50" t="e">
        <f t="shared" si="75"/>
        <v>#REF!</v>
      </c>
      <c r="W361" s="50" t="e">
        <f t="shared" si="76"/>
        <v>#REF!</v>
      </c>
      <c r="X361" s="50" t="e">
        <f t="shared" si="77"/>
        <v>#REF!</v>
      </c>
      <c r="Y361" s="50" t="e">
        <f t="shared" si="78"/>
        <v>#REF!</v>
      </c>
      <c r="Z361" t="e">
        <f t="shared" si="79"/>
        <v>#REF!</v>
      </c>
    </row>
    <row r="362" spans="1:26" x14ac:dyDescent="0.4">
      <c r="A362" t="e">
        <f>'Product info'!#REF!</f>
        <v>#REF!</v>
      </c>
      <c r="B362" t="e">
        <f>'Product info'!#REF!</f>
        <v>#REF!</v>
      </c>
      <c r="C362" t="e">
        <f>'Product info'!#REF!</f>
        <v>#REF!</v>
      </c>
      <c r="D362" s="6" t="e">
        <f>'Product info'!#REF!</f>
        <v>#REF!</v>
      </c>
      <c r="E362" t="e">
        <f t="shared" si="67"/>
        <v>#REF!</v>
      </c>
      <c r="F362" s="50" t="e">
        <f>'Product info'!#REF!</f>
        <v>#REF!</v>
      </c>
      <c r="G362" s="50" t="e">
        <f>'Product info'!#REF!</f>
        <v>#REF!</v>
      </c>
      <c r="H362" s="50" t="e">
        <f>'Product info'!#REF!</f>
        <v>#REF!</v>
      </c>
      <c r="I362" s="50" t="e">
        <f>'Product info'!#REF!</f>
        <v>#REF!</v>
      </c>
      <c r="J362" s="51" t="e">
        <f>'Product info'!#REF!</f>
        <v>#REF!</v>
      </c>
      <c r="K362" s="52" t="e">
        <f t="shared" si="68"/>
        <v>#REF!</v>
      </c>
      <c r="L362" s="50" t="e">
        <f t="shared" si="69"/>
        <v>#REF!</v>
      </c>
      <c r="M362" s="50" t="e">
        <f t="shared" si="70"/>
        <v>#REF!</v>
      </c>
      <c r="N362" s="50" t="e">
        <f t="shared" si="71"/>
        <v>#REF!</v>
      </c>
      <c r="O362" s="50" t="e">
        <f t="shared" si="72"/>
        <v>#REF!</v>
      </c>
      <c r="P362" s="53" t="e">
        <f t="shared" si="73"/>
        <v>#REF!</v>
      </c>
      <c r="Q362" s="54" t="e">
        <f>'Product info'!#REF!</f>
        <v>#REF!</v>
      </c>
      <c r="R362" s="54" t="e">
        <f>'Product info'!#REF!</f>
        <v>#REF!</v>
      </c>
      <c r="S362" s="54" t="e">
        <f>'Product info'!#REF!</f>
        <v>#REF!</v>
      </c>
      <c r="T362" s="50" t="e">
        <f>'Product info'!#REF!</f>
        <v>#REF!</v>
      </c>
      <c r="U362" s="52" t="e">
        <f t="shared" si="74"/>
        <v>#REF!</v>
      </c>
      <c r="V362" s="50" t="e">
        <f t="shared" si="75"/>
        <v>#REF!</v>
      </c>
      <c r="W362" s="50" t="e">
        <f t="shared" si="76"/>
        <v>#REF!</v>
      </c>
      <c r="X362" s="50" t="e">
        <f t="shared" si="77"/>
        <v>#REF!</v>
      </c>
      <c r="Y362" s="50" t="e">
        <f t="shared" si="78"/>
        <v>#REF!</v>
      </c>
      <c r="Z362" t="e">
        <f t="shared" si="79"/>
        <v>#REF!</v>
      </c>
    </row>
    <row r="363" spans="1:26" x14ac:dyDescent="0.4">
      <c r="A363" t="e">
        <f>'Product info'!#REF!</f>
        <v>#REF!</v>
      </c>
      <c r="B363" t="e">
        <f>'Product info'!#REF!</f>
        <v>#REF!</v>
      </c>
      <c r="C363" t="e">
        <f>'Product info'!#REF!</f>
        <v>#REF!</v>
      </c>
      <c r="D363" s="6" t="e">
        <f>'Product info'!#REF!</f>
        <v>#REF!</v>
      </c>
      <c r="E363" t="e">
        <f t="shared" si="67"/>
        <v>#REF!</v>
      </c>
      <c r="F363" s="50" t="e">
        <f>'Product info'!#REF!</f>
        <v>#REF!</v>
      </c>
      <c r="G363" s="50" t="e">
        <f>'Product info'!#REF!</f>
        <v>#REF!</v>
      </c>
      <c r="H363" s="50" t="e">
        <f>'Product info'!#REF!</f>
        <v>#REF!</v>
      </c>
      <c r="I363" s="50" t="e">
        <f>'Product info'!#REF!</f>
        <v>#REF!</v>
      </c>
      <c r="J363" s="51" t="e">
        <f>'Product info'!#REF!</f>
        <v>#REF!</v>
      </c>
      <c r="K363" s="52" t="e">
        <f t="shared" si="68"/>
        <v>#REF!</v>
      </c>
      <c r="L363" s="50" t="e">
        <f t="shared" si="69"/>
        <v>#REF!</v>
      </c>
      <c r="M363" s="50" t="e">
        <f t="shared" si="70"/>
        <v>#REF!</v>
      </c>
      <c r="N363" s="50" t="e">
        <f t="shared" si="71"/>
        <v>#REF!</v>
      </c>
      <c r="O363" s="50" t="e">
        <f t="shared" si="72"/>
        <v>#REF!</v>
      </c>
      <c r="P363" s="53" t="e">
        <f t="shared" si="73"/>
        <v>#REF!</v>
      </c>
      <c r="Q363" s="54" t="e">
        <f>'Product info'!#REF!</f>
        <v>#REF!</v>
      </c>
      <c r="R363" s="54" t="e">
        <f>'Product info'!#REF!</f>
        <v>#REF!</v>
      </c>
      <c r="S363" s="54" t="e">
        <f>'Product info'!#REF!</f>
        <v>#REF!</v>
      </c>
      <c r="T363" s="50" t="e">
        <f>'Product info'!#REF!</f>
        <v>#REF!</v>
      </c>
      <c r="U363" s="52" t="e">
        <f t="shared" si="74"/>
        <v>#REF!</v>
      </c>
      <c r="V363" s="50" t="e">
        <f t="shared" si="75"/>
        <v>#REF!</v>
      </c>
      <c r="W363" s="50" t="e">
        <f t="shared" si="76"/>
        <v>#REF!</v>
      </c>
      <c r="X363" s="50" t="e">
        <f t="shared" si="77"/>
        <v>#REF!</v>
      </c>
      <c r="Y363" s="50" t="e">
        <f t="shared" si="78"/>
        <v>#REF!</v>
      </c>
      <c r="Z363" t="e">
        <f t="shared" si="79"/>
        <v>#REF!</v>
      </c>
    </row>
    <row r="364" spans="1:26" x14ac:dyDescent="0.4">
      <c r="A364" t="e">
        <f>'Product info'!#REF!</f>
        <v>#REF!</v>
      </c>
      <c r="B364" t="e">
        <f>'Product info'!#REF!</f>
        <v>#REF!</v>
      </c>
      <c r="C364" t="e">
        <f>'Product info'!#REF!</f>
        <v>#REF!</v>
      </c>
      <c r="D364" s="6" t="e">
        <f>'Product info'!#REF!</f>
        <v>#REF!</v>
      </c>
      <c r="E364" t="e">
        <f t="shared" si="67"/>
        <v>#REF!</v>
      </c>
      <c r="F364" s="50" t="e">
        <f>'Product info'!#REF!</f>
        <v>#REF!</v>
      </c>
      <c r="G364" s="50" t="e">
        <f>'Product info'!#REF!</f>
        <v>#REF!</v>
      </c>
      <c r="H364" s="50" t="e">
        <f>'Product info'!#REF!</f>
        <v>#REF!</v>
      </c>
      <c r="I364" s="50" t="e">
        <f>'Product info'!#REF!</f>
        <v>#REF!</v>
      </c>
      <c r="J364" s="51" t="e">
        <f>'Product info'!#REF!</f>
        <v>#REF!</v>
      </c>
      <c r="K364" s="52" t="e">
        <f t="shared" si="68"/>
        <v>#REF!</v>
      </c>
      <c r="L364" s="50" t="e">
        <f t="shared" si="69"/>
        <v>#REF!</v>
      </c>
      <c r="M364" s="50" t="e">
        <f t="shared" si="70"/>
        <v>#REF!</v>
      </c>
      <c r="N364" s="50" t="e">
        <f t="shared" si="71"/>
        <v>#REF!</v>
      </c>
      <c r="O364" s="50" t="e">
        <f t="shared" si="72"/>
        <v>#REF!</v>
      </c>
      <c r="P364" s="53" t="e">
        <f t="shared" si="73"/>
        <v>#REF!</v>
      </c>
      <c r="Q364" s="54" t="e">
        <f>'Product info'!#REF!</f>
        <v>#REF!</v>
      </c>
      <c r="R364" s="54" t="e">
        <f>'Product info'!#REF!</f>
        <v>#REF!</v>
      </c>
      <c r="S364" s="54" t="e">
        <f>'Product info'!#REF!</f>
        <v>#REF!</v>
      </c>
      <c r="T364" s="50" t="e">
        <f>'Product info'!#REF!</f>
        <v>#REF!</v>
      </c>
      <c r="U364" s="52" t="e">
        <f t="shared" si="74"/>
        <v>#REF!</v>
      </c>
      <c r="V364" s="50" t="e">
        <f t="shared" si="75"/>
        <v>#REF!</v>
      </c>
      <c r="W364" s="50" t="e">
        <f t="shared" si="76"/>
        <v>#REF!</v>
      </c>
      <c r="X364" s="50" t="e">
        <f t="shared" si="77"/>
        <v>#REF!</v>
      </c>
      <c r="Y364" s="50" t="e">
        <f t="shared" si="78"/>
        <v>#REF!</v>
      </c>
      <c r="Z364" t="e">
        <f t="shared" si="79"/>
        <v>#REF!</v>
      </c>
    </row>
    <row r="365" spans="1:26" x14ac:dyDescent="0.4">
      <c r="A365" t="e">
        <f>'Product info'!#REF!</f>
        <v>#REF!</v>
      </c>
      <c r="B365" t="e">
        <f>'Product info'!#REF!</f>
        <v>#REF!</v>
      </c>
      <c r="C365" t="e">
        <f>'Product info'!#REF!</f>
        <v>#REF!</v>
      </c>
      <c r="D365" s="6" t="e">
        <f>'Product info'!#REF!</f>
        <v>#REF!</v>
      </c>
      <c r="E365" t="e">
        <f t="shared" si="67"/>
        <v>#REF!</v>
      </c>
      <c r="F365" s="50" t="e">
        <f>'Product info'!#REF!</f>
        <v>#REF!</v>
      </c>
      <c r="G365" s="50" t="e">
        <f>'Product info'!#REF!</f>
        <v>#REF!</v>
      </c>
      <c r="H365" s="50" t="e">
        <f>'Product info'!#REF!</f>
        <v>#REF!</v>
      </c>
      <c r="I365" s="50" t="e">
        <f>'Product info'!#REF!</f>
        <v>#REF!</v>
      </c>
      <c r="J365" s="51" t="e">
        <f>'Product info'!#REF!</f>
        <v>#REF!</v>
      </c>
      <c r="K365" s="52" t="e">
        <f t="shared" si="68"/>
        <v>#REF!</v>
      </c>
      <c r="L365" s="50" t="e">
        <f t="shared" si="69"/>
        <v>#REF!</v>
      </c>
      <c r="M365" s="50" t="e">
        <f t="shared" si="70"/>
        <v>#REF!</v>
      </c>
      <c r="N365" s="50" t="e">
        <f t="shared" si="71"/>
        <v>#REF!</v>
      </c>
      <c r="O365" s="50" t="e">
        <f t="shared" si="72"/>
        <v>#REF!</v>
      </c>
      <c r="P365" s="53" t="e">
        <f t="shared" si="73"/>
        <v>#REF!</v>
      </c>
      <c r="Q365" s="54" t="e">
        <f>'Product info'!#REF!</f>
        <v>#REF!</v>
      </c>
      <c r="R365" s="54" t="e">
        <f>'Product info'!#REF!</f>
        <v>#REF!</v>
      </c>
      <c r="S365" s="54" t="e">
        <f>'Product info'!#REF!</f>
        <v>#REF!</v>
      </c>
      <c r="T365" s="50" t="e">
        <f>'Product info'!#REF!</f>
        <v>#REF!</v>
      </c>
      <c r="U365" s="52" t="e">
        <f t="shared" si="74"/>
        <v>#REF!</v>
      </c>
      <c r="V365" s="50" t="e">
        <f t="shared" si="75"/>
        <v>#REF!</v>
      </c>
      <c r="W365" s="50" t="e">
        <f t="shared" si="76"/>
        <v>#REF!</v>
      </c>
      <c r="X365" s="50" t="e">
        <f t="shared" si="77"/>
        <v>#REF!</v>
      </c>
      <c r="Y365" s="50" t="e">
        <f t="shared" si="78"/>
        <v>#REF!</v>
      </c>
      <c r="Z365" t="e">
        <f t="shared" si="79"/>
        <v>#REF!</v>
      </c>
    </row>
    <row r="366" spans="1:26" x14ac:dyDescent="0.4">
      <c r="A366" t="e">
        <f>'Product info'!#REF!</f>
        <v>#REF!</v>
      </c>
      <c r="B366" t="e">
        <f>'Product info'!#REF!</f>
        <v>#REF!</v>
      </c>
      <c r="C366" t="e">
        <f>'Product info'!#REF!</f>
        <v>#REF!</v>
      </c>
      <c r="D366" s="6" t="e">
        <f>'Product info'!#REF!</f>
        <v>#REF!</v>
      </c>
      <c r="E366" t="e">
        <f t="shared" si="67"/>
        <v>#REF!</v>
      </c>
      <c r="F366" s="50" t="e">
        <f>'Product info'!#REF!</f>
        <v>#REF!</v>
      </c>
      <c r="G366" s="50" t="e">
        <f>'Product info'!#REF!</f>
        <v>#REF!</v>
      </c>
      <c r="H366" s="50" t="e">
        <f>'Product info'!#REF!</f>
        <v>#REF!</v>
      </c>
      <c r="I366" s="50" t="e">
        <f>'Product info'!#REF!</f>
        <v>#REF!</v>
      </c>
      <c r="J366" s="51" t="e">
        <f>'Product info'!#REF!</f>
        <v>#REF!</v>
      </c>
      <c r="K366" s="52" t="e">
        <f t="shared" si="68"/>
        <v>#REF!</v>
      </c>
      <c r="L366" s="50" t="e">
        <f t="shared" si="69"/>
        <v>#REF!</v>
      </c>
      <c r="M366" s="50" t="e">
        <f t="shared" si="70"/>
        <v>#REF!</v>
      </c>
      <c r="N366" s="50" t="e">
        <f t="shared" si="71"/>
        <v>#REF!</v>
      </c>
      <c r="O366" s="50" t="e">
        <f t="shared" si="72"/>
        <v>#REF!</v>
      </c>
      <c r="P366" s="53" t="e">
        <f t="shared" si="73"/>
        <v>#REF!</v>
      </c>
      <c r="Q366" s="54" t="e">
        <f>'Product info'!#REF!</f>
        <v>#REF!</v>
      </c>
      <c r="R366" s="54" t="e">
        <f>'Product info'!#REF!</f>
        <v>#REF!</v>
      </c>
      <c r="S366" s="54" t="e">
        <f>'Product info'!#REF!</f>
        <v>#REF!</v>
      </c>
      <c r="T366" s="50" t="e">
        <f>'Product info'!#REF!</f>
        <v>#REF!</v>
      </c>
      <c r="U366" s="52" t="e">
        <f t="shared" si="74"/>
        <v>#REF!</v>
      </c>
      <c r="V366" s="50" t="e">
        <f t="shared" si="75"/>
        <v>#REF!</v>
      </c>
      <c r="W366" s="50" t="e">
        <f t="shared" si="76"/>
        <v>#REF!</v>
      </c>
      <c r="X366" s="50" t="e">
        <f t="shared" si="77"/>
        <v>#REF!</v>
      </c>
      <c r="Y366" s="50" t="e">
        <f t="shared" si="78"/>
        <v>#REF!</v>
      </c>
      <c r="Z366" t="e">
        <f t="shared" si="79"/>
        <v>#REF!</v>
      </c>
    </row>
    <row r="367" spans="1:26" x14ac:dyDescent="0.4">
      <c r="A367" t="e">
        <f>'Product info'!#REF!</f>
        <v>#REF!</v>
      </c>
      <c r="B367" t="e">
        <f>'Product info'!#REF!</f>
        <v>#REF!</v>
      </c>
      <c r="C367" t="e">
        <f>'Product info'!#REF!</f>
        <v>#REF!</v>
      </c>
      <c r="D367" s="6" t="e">
        <f>'Product info'!#REF!</f>
        <v>#REF!</v>
      </c>
      <c r="E367" t="e">
        <f t="shared" si="67"/>
        <v>#REF!</v>
      </c>
      <c r="F367" s="50" t="e">
        <f>'Product info'!#REF!</f>
        <v>#REF!</v>
      </c>
      <c r="G367" s="50" t="e">
        <f>'Product info'!#REF!</f>
        <v>#REF!</v>
      </c>
      <c r="H367" s="50" t="e">
        <f>'Product info'!#REF!</f>
        <v>#REF!</v>
      </c>
      <c r="I367" s="50" t="e">
        <f>'Product info'!#REF!</f>
        <v>#REF!</v>
      </c>
      <c r="J367" s="51" t="e">
        <f>'Product info'!#REF!</f>
        <v>#REF!</v>
      </c>
      <c r="K367" s="52" t="e">
        <f t="shared" si="68"/>
        <v>#REF!</v>
      </c>
      <c r="L367" s="50" t="e">
        <f t="shared" si="69"/>
        <v>#REF!</v>
      </c>
      <c r="M367" s="50" t="e">
        <f t="shared" si="70"/>
        <v>#REF!</v>
      </c>
      <c r="N367" s="50" t="e">
        <f t="shared" si="71"/>
        <v>#REF!</v>
      </c>
      <c r="O367" s="50" t="e">
        <f t="shared" si="72"/>
        <v>#REF!</v>
      </c>
      <c r="P367" s="53" t="e">
        <f t="shared" si="73"/>
        <v>#REF!</v>
      </c>
      <c r="Q367" s="54" t="e">
        <f>'Product info'!#REF!</f>
        <v>#REF!</v>
      </c>
      <c r="R367" s="54" t="e">
        <f>'Product info'!#REF!</f>
        <v>#REF!</v>
      </c>
      <c r="S367" s="54" t="e">
        <f>'Product info'!#REF!</f>
        <v>#REF!</v>
      </c>
      <c r="T367" s="50" t="e">
        <f>'Product info'!#REF!</f>
        <v>#REF!</v>
      </c>
      <c r="U367" s="52" t="e">
        <f t="shared" si="74"/>
        <v>#REF!</v>
      </c>
      <c r="V367" s="50" t="e">
        <f t="shared" si="75"/>
        <v>#REF!</v>
      </c>
      <c r="W367" s="50" t="e">
        <f t="shared" si="76"/>
        <v>#REF!</v>
      </c>
      <c r="X367" s="50" t="e">
        <f t="shared" si="77"/>
        <v>#REF!</v>
      </c>
      <c r="Y367" s="50" t="e">
        <f t="shared" si="78"/>
        <v>#REF!</v>
      </c>
      <c r="Z367" t="e">
        <f t="shared" si="79"/>
        <v>#REF!</v>
      </c>
    </row>
    <row r="368" spans="1:26" x14ac:dyDescent="0.4">
      <c r="A368" t="e">
        <f>'Product info'!#REF!</f>
        <v>#REF!</v>
      </c>
      <c r="B368" t="e">
        <f>'Product info'!#REF!</f>
        <v>#REF!</v>
      </c>
      <c r="C368" t="e">
        <f>'Product info'!#REF!</f>
        <v>#REF!</v>
      </c>
      <c r="D368" s="6" t="e">
        <f>'Product info'!#REF!</f>
        <v>#REF!</v>
      </c>
      <c r="E368" t="e">
        <f t="shared" si="67"/>
        <v>#REF!</v>
      </c>
      <c r="F368" s="50" t="e">
        <f>'Product info'!#REF!</f>
        <v>#REF!</v>
      </c>
      <c r="G368" s="50" t="e">
        <f>'Product info'!#REF!</f>
        <v>#REF!</v>
      </c>
      <c r="H368" s="50" t="e">
        <f>'Product info'!#REF!</f>
        <v>#REF!</v>
      </c>
      <c r="I368" s="50" t="e">
        <f>'Product info'!#REF!</f>
        <v>#REF!</v>
      </c>
      <c r="J368" s="51" t="e">
        <f>'Product info'!#REF!</f>
        <v>#REF!</v>
      </c>
      <c r="K368" s="52" t="e">
        <f t="shared" si="68"/>
        <v>#REF!</v>
      </c>
      <c r="L368" s="50" t="e">
        <f t="shared" si="69"/>
        <v>#REF!</v>
      </c>
      <c r="M368" s="50" t="e">
        <f t="shared" si="70"/>
        <v>#REF!</v>
      </c>
      <c r="N368" s="50" t="e">
        <f t="shared" si="71"/>
        <v>#REF!</v>
      </c>
      <c r="O368" s="50" t="e">
        <f t="shared" si="72"/>
        <v>#REF!</v>
      </c>
      <c r="P368" s="53" t="e">
        <f t="shared" si="73"/>
        <v>#REF!</v>
      </c>
      <c r="Q368" s="54" t="e">
        <f>'Product info'!#REF!</f>
        <v>#REF!</v>
      </c>
      <c r="R368" s="54" t="e">
        <f>'Product info'!#REF!</f>
        <v>#REF!</v>
      </c>
      <c r="S368" s="54" t="e">
        <f>'Product info'!#REF!</f>
        <v>#REF!</v>
      </c>
      <c r="T368" s="50" t="e">
        <f>'Product info'!#REF!</f>
        <v>#REF!</v>
      </c>
      <c r="U368" s="52" t="e">
        <f t="shared" si="74"/>
        <v>#REF!</v>
      </c>
      <c r="V368" s="50" t="e">
        <f t="shared" si="75"/>
        <v>#REF!</v>
      </c>
      <c r="W368" s="50" t="e">
        <f t="shared" si="76"/>
        <v>#REF!</v>
      </c>
      <c r="X368" s="50" t="e">
        <f t="shared" si="77"/>
        <v>#REF!</v>
      </c>
      <c r="Y368" s="50" t="e">
        <f t="shared" si="78"/>
        <v>#REF!</v>
      </c>
      <c r="Z368" t="e">
        <f t="shared" si="79"/>
        <v>#REF!</v>
      </c>
    </row>
    <row r="369" spans="1:26" x14ac:dyDescent="0.4">
      <c r="A369" t="e">
        <f>'Product info'!#REF!</f>
        <v>#REF!</v>
      </c>
      <c r="B369" t="e">
        <f>'Product info'!#REF!</f>
        <v>#REF!</v>
      </c>
      <c r="C369" t="e">
        <f>'Product info'!#REF!</f>
        <v>#REF!</v>
      </c>
      <c r="D369" s="6" t="e">
        <f>'Product info'!#REF!</f>
        <v>#REF!</v>
      </c>
      <c r="E369" t="e">
        <f t="shared" si="67"/>
        <v>#REF!</v>
      </c>
      <c r="F369" s="50" t="e">
        <f>'Product info'!#REF!</f>
        <v>#REF!</v>
      </c>
      <c r="G369" s="50" t="e">
        <f>'Product info'!#REF!</f>
        <v>#REF!</v>
      </c>
      <c r="H369" s="50" t="e">
        <f>'Product info'!#REF!</f>
        <v>#REF!</v>
      </c>
      <c r="I369" s="50" t="e">
        <f>'Product info'!#REF!</f>
        <v>#REF!</v>
      </c>
      <c r="J369" s="51" t="e">
        <f>'Product info'!#REF!</f>
        <v>#REF!</v>
      </c>
      <c r="K369" s="52" t="e">
        <f t="shared" si="68"/>
        <v>#REF!</v>
      </c>
      <c r="L369" s="50" t="e">
        <f t="shared" si="69"/>
        <v>#REF!</v>
      </c>
      <c r="M369" s="50" t="e">
        <f t="shared" si="70"/>
        <v>#REF!</v>
      </c>
      <c r="N369" s="50" t="e">
        <f t="shared" si="71"/>
        <v>#REF!</v>
      </c>
      <c r="O369" s="50" t="e">
        <f t="shared" si="72"/>
        <v>#REF!</v>
      </c>
      <c r="P369" s="53" t="e">
        <f t="shared" si="73"/>
        <v>#REF!</v>
      </c>
      <c r="Q369" s="54" t="e">
        <f>'Product info'!#REF!</f>
        <v>#REF!</v>
      </c>
      <c r="R369" s="54" t="e">
        <f>'Product info'!#REF!</f>
        <v>#REF!</v>
      </c>
      <c r="S369" s="54" t="e">
        <f>'Product info'!#REF!</f>
        <v>#REF!</v>
      </c>
      <c r="T369" s="50" t="e">
        <f>'Product info'!#REF!</f>
        <v>#REF!</v>
      </c>
      <c r="U369" s="52" t="e">
        <f t="shared" si="74"/>
        <v>#REF!</v>
      </c>
      <c r="V369" s="50" t="e">
        <f t="shared" si="75"/>
        <v>#REF!</v>
      </c>
      <c r="W369" s="50" t="e">
        <f t="shared" si="76"/>
        <v>#REF!</v>
      </c>
      <c r="X369" s="50" t="e">
        <f t="shared" si="77"/>
        <v>#REF!</v>
      </c>
      <c r="Y369" s="50" t="e">
        <f t="shared" si="78"/>
        <v>#REF!</v>
      </c>
      <c r="Z369" t="e">
        <f t="shared" si="79"/>
        <v>#REF!</v>
      </c>
    </row>
    <row r="370" spans="1:26" x14ac:dyDescent="0.4">
      <c r="A370" t="e">
        <f>'Product info'!#REF!</f>
        <v>#REF!</v>
      </c>
      <c r="B370" t="e">
        <f>'Product info'!#REF!</f>
        <v>#REF!</v>
      </c>
      <c r="C370" t="e">
        <f>'Product info'!#REF!</f>
        <v>#REF!</v>
      </c>
      <c r="D370" s="6" t="e">
        <f>'Product info'!#REF!</f>
        <v>#REF!</v>
      </c>
      <c r="E370" t="e">
        <f t="shared" si="67"/>
        <v>#REF!</v>
      </c>
      <c r="F370" s="50" t="e">
        <f>'Product info'!#REF!</f>
        <v>#REF!</v>
      </c>
      <c r="G370" s="50" t="e">
        <f>'Product info'!#REF!</f>
        <v>#REF!</v>
      </c>
      <c r="H370" s="50" t="e">
        <f>'Product info'!#REF!</f>
        <v>#REF!</v>
      </c>
      <c r="I370" s="50" t="e">
        <f>'Product info'!#REF!</f>
        <v>#REF!</v>
      </c>
      <c r="J370" s="51" t="e">
        <f>'Product info'!#REF!</f>
        <v>#REF!</v>
      </c>
      <c r="K370" s="52" t="e">
        <f t="shared" si="68"/>
        <v>#REF!</v>
      </c>
      <c r="L370" s="50" t="e">
        <f t="shared" si="69"/>
        <v>#REF!</v>
      </c>
      <c r="M370" s="50" t="e">
        <f t="shared" si="70"/>
        <v>#REF!</v>
      </c>
      <c r="N370" s="50" t="e">
        <f t="shared" si="71"/>
        <v>#REF!</v>
      </c>
      <c r="O370" s="50" t="e">
        <f t="shared" si="72"/>
        <v>#REF!</v>
      </c>
      <c r="P370" s="53" t="e">
        <f t="shared" si="73"/>
        <v>#REF!</v>
      </c>
      <c r="Q370" s="54" t="e">
        <f>'Product info'!#REF!</f>
        <v>#REF!</v>
      </c>
      <c r="R370" s="54" t="e">
        <f>'Product info'!#REF!</f>
        <v>#REF!</v>
      </c>
      <c r="S370" s="54" t="e">
        <f>'Product info'!#REF!</f>
        <v>#REF!</v>
      </c>
      <c r="T370" s="50" t="e">
        <f>'Product info'!#REF!</f>
        <v>#REF!</v>
      </c>
      <c r="U370" s="52" t="e">
        <f t="shared" si="74"/>
        <v>#REF!</v>
      </c>
      <c r="V370" s="50" t="e">
        <f t="shared" si="75"/>
        <v>#REF!</v>
      </c>
      <c r="W370" s="50" t="e">
        <f t="shared" si="76"/>
        <v>#REF!</v>
      </c>
      <c r="X370" s="50" t="e">
        <f t="shared" si="77"/>
        <v>#REF!</v>
      </c>
      <c r="Y370" s="50" t="e">
        <f t="shared" si="78"/>
        <v>#REF!</v>
      </c>
      <c r="Z370" t="e">
        <f t="shared" si="79"/>
        <v>#REF!</v>
      </c>
    </row>
    <row r="371" spans="1:26" x14ac:dyDescent="0.4">
      <c r="A371" t="e">
        <f>'Product info'!#REF!</f>
        <v>#REF!</v>
      </c>
      <c r="B371" t="e">
        <f>'Product info'!#REF!</f>
        <v>#REF!</v>
      </c>
      <c r="C371" t="e">
        <f>'Product info'!#REF!</f>
        <v>#REF!</v>
      </c>
      <c r="D371" s="6" t="e">
        <f>'Product info'!#REF!</f>
        <v>#REF!</v>
      </c>
      <c r="E371" t="e">
        <f t="shared" si="67"/>
        <v>#REF!</v>
      </c>
      <c r="F371" s="50" t="e">
        <f>'Product info'!#REF!</f>
        <v>#REF!</v>
      </c>
      <c r="G371" s="50" t="e">
        <f>'Product info'!#REF!</f>
        <v>#REF!</v>
      </c>
      <c r="H371" s="50" t="e">
        <f>'Product info'!#REF!</f>
        <v>#REF!</v>
      </c>
      <c r="I371" s="50" t="e">
        <f>'Product info'!#REF!</f>
        <v>#REF!</v>
      </c>
      <c r="J371" s="51" t="e">
        <f>'Product info'!#REF!</f>
        <v>#REF!</v>
      </c>
      <c r="K371" s="52" t="e">
        <f t="shared" si="68"/>
        <v>#REF!</v>
      </c>
      <c r="L371" s="50" t="e">
        <f t="shared" si="69"/>
        <v>#REF!</v>
      </c>
      <c r="M371" s="50" t="e">
        <f t="shared" si="70"/>
        <v>#REF!</v>
      </c>
      <c r="N371" s="50" t="e">
        <f t="shared" si="71"/>
        <v>#REF!</v>
      </c>
      <c r="O371" s="50" t="e">
        <f t="shared" si="72"/>
        <v>#REF!</v>
      </c>
      <c r="P371" s="53" t="e">
        <f t="shared" si="73"/>
        <v>#REF!</v>
      </c>
      <c r="Q371" s="54" t="e">
        <f>'Product info'!#REF!</f>
        <v>#REF!</v>
      </c>
      <c r="R371" s="54" t="e">
        <f>'Product info'!#REF!</f>
        <v>#REF!</v>
      </c>
      <c r="S371" s="54" t="e">
        <f>'Product info'!#REF!</f>
        <v>#REF!</v>
      </c>
      <c r="T371" s="50" t="e">
        <f>'Product info'!#REF!</f>
        <v>#REF!</v>
      </c>
      <c r="U371" s="52" t="e">
        <f t="shared" si="74"/>
        <v>#REF!</v>
      </c>
      <c r="V371" s="50" t="e">
        <f t="shared" si="75"/>
        <v>#REF!</v>
      </c>
      <c r="W371" s="50" t="e">
        <f t="shared" si="76"/>
        <v>#REF!</v>
      </c>
      <c r="X371" s="50" t="e">
        <f t="shared" si="77"/>
        <v>#REF!</v>
      </c>
      <c r="Y371" s="50" t="e">
        <f t="shared" si="78"/>
        <v>#REF!</v>
      </c>
      <c r="Z371" t="e">
        <f t="shared" si="79"/>
        <v>#REF!</v>
      </c>
    </row>
    <row r="372" spans="1:26" x14ac:dyDescent="0.4">
      <c r="A372" t="e">
        <f>'Product info'!#REF!</f>
        <v>#REF!</v>
      </c>
      <c r="B372" t="e">
        <f>'Product info'!#REF!</f>
        <v>#REF!</v>
      </c>
      <c r="C372" t="e">
        <f>'Product info'!#REF!</f>
        <v>#REF!</v>
      </c>
      <c r="D372" s="6" t="e">
        <f>'Product info'!#REF!</f>
        <v>#REF!</v>
      </c>
      <c r="E372" t="e">
        <f t="shared" si="67"/>
        <v>#REF!</v>
      </c>
      <c r="F372" s="50" t="e">
        <f>'Product info'!#REF!</f>
        <v>#REF!</v>
      </c>
      <c r="G372" s="50" t="e">
        <f>'Product info'!#REF!</f>
        <v>#REF!</v>
      </c>
      <c r="H372" s="50" t="e">
        <f>'Product info'!#REF!</f>
        <v>#REF!</v>
      </c>
      <c r="I372" s="50" t="e">
        <f>'Product info'!#REF!</f>
        <v>#REF!</v>
      </c>
      <c r="J372" s="51" t="e">
        <f>'Product info'!#REF!</f>
        <v>#REF!</v>
      </c>
      <c r="K372" s="52" t="e">
        <f t="shared" si="68"/>
        <v>#REF!</v>
      </c>
      <c r="L372" s="50" t="e">
        <f t="shared" si="69"/>
        <v>#REF!</v>
      </c>
      <c r="M372" s="50" t="e">
        <f t="shared" si="70"/>
        <v>#REF!</v>
      </c>
      <c r="N372" s="50" t="e">
        <f t="shared" si="71"/>
        <v>#REF!</v>
      </c>
      <c r="O372" s="50" t="e">
        <f t="shared" si="72"/>
        <v>#REF!</v>
      </c>
      <c r="P372" s="53" t="e">
        <f t="shared" si="73"/>
        <v>#REF!</v>
      </c>
      <c r="Q372" s="54" t="e">
        <f>'Product info'!#REF!</f>
        <v>#REF!</v>
      </c>
      <c r="R372" s="54" t="e">
        <f>'Product info'!#REF!</f>
        <v>#REF!</v>
      </c>
      <c r="S372" s="54" t="e">
        <f>'Product info'!#REF!</f>
        <v>#REF!</v>
      </c>
      <c r="T372" s="50" t="e">
        <f>'Product info'!#REF!</f>
        <v>#REF!</v>
      </c>
      <c r="U372" s="52" t="e">
        <f t="shared" si="74"/>
        <v>#REF!</v>
      </c>
      <c r="V372" s="50" t="e">
        <f t="shared" si="75"/>
        <v>#REF!</v>
      </c>
      <c r="W372" s="50" t="e">
        <f t="shared" si="76"/>
        <v>#REF!</v>
      </c>
      <c r="X372" s="50" t="e">
        <f t="shared" si="77"/>
        <v>#REF!</v>
      </c>
      <c r="Y372" s="50" t="e">
        <f t="shared" si="78"/>
        <v>#REF!</v>
      </c>
      <c r="Z372" t="e">
        <f t="shared" si="79"/>
        <v>#REF!</v>
      </c>
    </row>
    <row r="373" spans="1:26" x14ac:dyDescent="0.4">
      <c r="A373" t="e">
        <f>'Product info'!#REF!</f>
        <v>#REF!</v>
      </c>
      <c r="B373" t="e">
        <f>'Product info'!#REF!</f>
        <v>#REF!</v>
      </c>
      <c r="C373" t="e">
        <f>'Product info'!#REF!</f>
        <v>#REF!</v>
      </c>
      <c r="D373" s="6" t="e">
        <f>'Product info'!#REF!</f>
        <v>#REF!</v>
      </c>
      <c r="E373" t="e">
        <f t="shared" si="67"/>
        <v>#REF!</v>
      </c>
      <c r="F373" s="50" t="e">
        <f>'Product info'!#REF!</f>
        <v>#REF!</v>
      </c>
      <c r="G373" s="50" t="e">
        <f>'Product info'!#REF!</f>
        <v>#REF!</v>
      </c>
      <c r="H373" s="50" t="e">
        <f>'Product info'!#REF!</f>
        <v>#REF!</v>
      </c>
      <c r="I373" s="50" t="e">
        <f>'Product info'!#REF!</f>
        <v>#REF!</v>
      </c>
      <c r="J373" s="51" t="e">
        <f>'Product info'!#REF!</f>
        <v>#REF!</v>
      </c>
      <c r="K373" s="52" t="e">
        <f t="shared" si="68"/>
        <v>#REF!</v>
      </c>
      <c r="L373" s="50" t="e">
        <f t="shared" si="69"/>
        <v>#REF!</v>
      </c>
      <c r="M373" s="50" t="e">
        <f t="shared" si="70"/>
        <v>#REF!</v>
      </c>
      <c r="N373" s="50" t="e">
        <f t="shared" si="71"/>
        <v>#REF!</v>
      </c>
      <c r="O373" s="50" t="e">
        <f t="shared" si="72"/>
        <v>#REF!</v>
      </c>
      <c r="P373" s="53" t="e">
        <f t="shared" si="73"/>
        <v>#REF!</v>
      </c>
      <c r="Q373" s="54" t="e">
        <f>'Product info'!#REF!</f>
        <v>#REF!</v>
      </c>
      <c r="R373" s="54" t="e">
        <f>'Product info'!#REF!</f>
        <v>#REF!</v>
      </c>
      <c r="S373" s="54" t="e">
        <f>'Product info'!#REF!</f>
        <v>#REF!</v>
      </c>
      <c r="T373" s="50" t="e">
        <f>'Product info'!#REF!</f>
        <v>#REF!</v>
      </c>
      <c r="U373" s="52" t="e">
        <f t="shared" si="74"/>
        <v>#REF!</v>
      </c>
      <c r="V373" s="50" t="e">
        <f t="shared" si="75"/>
        <v>#REF!</v>
      </c>
      <c r="W373" s="50" t="e">
        <f t="shared" si="76"/>
        <v>#REF!</v>
      </c>
      <c r="X373" s="50" t="e">
        <f t="shared" si="77"/>
        <v>#REF!</v>
      </c>
      <c r="Y373" s="50" t="e">
        <f t="shared" si="78"/>
        <v>#REF!</v>
      </c>
      <c r="Z373" t="e">
        <f t="shared" si="79"/>
        <v>#REF!</v>
      </c>
    </row>
    <row r="374" spans="1:26" x14ac:dyDescent="0.4">
      <c r="A374" t="e">
        <f>'Product info'!#REF!</f>
        <v>#REF!</v>
      </c>
      <c r="B374" t="e">
        <f>'Product info'!#REF!</f>
        <v>#REF!</v>
      </c>
      <c r="C374" t="e">
        <f>'Product info'!#REF!</f>
        <v>#REF!</v>
      </c>
      <c r="D374" s="6" t="e">
        <f>'Product info'!#REF!</f>
        <v>#REF!</v>
      </c>
      <c r="E374" t="e">
        <f t="shared" si="67"/>
        <v>#REF!</v>
      </c>
      <c r="F374" s="50" t="e">
        <f>'Product info'!#REF!</f>
        <v>#REF!</v>
      </c>
      <c r="G374" s="50" t="e">
        <f>'Product info'!#REF!</f>
        <v>#REF!</v>
      </c>
      <c r="H374" s="50" t="e">
        <f>'Product info'!#REF!</f>
        <v>#REF!</v>
      </c>
      <c r="I374" s="50" t="e">
        <f>'Product info'!#REF!</f>
        <v>#REF!</v>
      </c>
      <c r="J374" s="51" t="e">
        <f>'Product info'!#REF!</f>
        <v>#REF!</v>
      </c>
      <c r="K374" s="52" t="e">
        <f t="shared" si="68"/>
        <v>#REF!</v>
      </c>
      <c r="L374" s="50" t="e">
        <f t="shared" si="69"/>
        <v>#REF!</v>
      </c>
      <c r="M374" s="50" t="e">
        <f t="shared" si="70"/>
        <v>#REF!</v>
      </c>
      <c r="N374" s="50" t="e">
        <f t="shared" si="71"/>
        <v>#REF!</v>
      </c>
      <c r="O374" s="50" t="e">
        <f t="shared" si="72"/>
        <v>#REF!</v>
      </c>
      <c r="P374" s="53" t="e">
        <f t="shared" si="73"/>
        <v>#REF!</v>
      </c>
      <c r="Q374" s="54" t="e">
        <f>'Product info'!#REF!</f>
        <v>#REF!</v>
      </c>
      <c r="R374" s="54" t="e">
        <f>'Product info'!#REF!</f>
        <v>#REF!</v>
      </c>
      <c r="S374" s="54" t="e">
        <f>'Product info'!#REF!</f>
        <v>#REF!</v>
      </c>
      <c r="T374" s="50" t="e">
        <f>'Product info'!#REF!</f>
        <v>#REF!</v>
      </c>
      <c r="U374" s="52" t="e">
        <f t="shared" si="74"/>
        <v>#REF!</v>
      </c>
      <c r="V374" s="50" t="e">
        <f t="shared" si="75"/>
        <v>#REF!</v>
      </c>
      <c r="W374" s="50" t="e">
        <f t="shared" si="76"/>
        <v>#REF!</v>
      </c>
      <c r="X374" s="50" t="e">
        <f t="shared" si="77"/>
        <v>#REF!</v>
      </c>
      <c r="Y374" s="50" t="e">
        <f t="shared" si="78"/>
        <v>#REF!</v>
      </c>
      <c r="Z374" t="e">
        <f t="shared" si="79"/>
        <v>#REF!</v>
      </c>
    </row>
    <row r="375" spans="1:26" x14ac:dyDescent="0.4">
      <c r="A375" t="e">
        <f>'Product info'!#REF!</f>
        <v>#REF!</v>
      </c>
      <c r="B375" t="e">
        <f>'Product info'!#REF!</f>
        <v>#REF!</v>
      </c>
      <c r="C375" t="e">
        <f>'Product info'!#REF!</f>
        <v>#REF!</v>
      </c>
      <c r="D375" s="6" t="e">
        <f>'Product info'!#REF!</f>
        <v>#REF!</v>
      </c>
      <c r="E375" t="e">
        <f t="shared" si="67"/>
        <v>#REF!</v>
      </c>
      <c r="F375" s="50" t="e">
        <f>'Product info'!#REF!</f>
        <v>#REF!</v>
      </c>
      <c r="G375" s="50" t="e">
        <f>'Product info'!#REF!</f>
        <v>#REF!</v>
      </c>
      <c r="H375" s="50" t="e">
        <f>'Product info'!#REF!</f>
        <v>#REF!</v>
      </c>
      <c r="I375" s="50" t="e">
        <f>'Product info'!#REF!</f>
        <v>#REF!</v>
      </c>
      <c r="J375" s="51" t="e">
        <f>'Product info'!#REF!</f>
        <v>#REF!</v>
      </c>
      <c r="K375" s="52" t="e">
        <f t="shared" si="68"/>
        <v>#REF!</v>
      </c>
      <c r="L375" s="50" t="e">
        <f t="shared" si="69"/>
        <v>#REF!</v>
      </c>
      <c r="M375" s="50" t="e">
        <f t="shared" si="70"/>
        <v>#REF!</v>
      </c>
      <c r="N375" s="50" t="e">
        <f t="shared" si="71"/>
        <v>#REF!</v>
      </c>
      <c r="O375" s="50" t="e">
        <f t="shared" si="72"/>
        <v>#REF!</v>
      </c>
      <c r="P375" s="53" t="e">
        <f t="shared" si="73"/>
        <v>#REF!</v>
      </c>
      <c r="Q375" s="54" t="e">
        <f>'Product info'!#REF!</f>
        <v>#REF!</v>
      </c>
      <c r="R375" s="54" t="e">
        <f>'Product info'!#REF!</f>
        <v>#REF!</v>
      </c>
      <c r="S375" s="54" t="e">
        <f>'Product info'!#REF!</f>
        <v>#REF!</v>
      </c>
      <c r="T375" s="50" t="e">
        <f>'Product info'!#REF!</f>
        <v>#REF!</v>
      </c>
      <c r="U375" s="52" t="e">
        <f t="shared" si="74"/>
        <v>#REF!</v>
      </c>
      <c r="V375" s="50" t="e">
        <f t="shared" si="75"/>
        <v>#REF!</v>
      </c>
      <c r="W375" s="50" t="e">
        <f t="shared" si="76"/>
        <v>#REF!</v>
      </c>
      <c r="X375" s="50" t="e">
        <f t="shared" si="77"/>
        <v>#REF!</v>
      </c>
      <c r="Y375" s="50" t="e">
        <f t="shared" si="78"/>
        <v>#REF!</v>
      </c>
      <c r="Z375" t="e">
        <f t="shared" si="79"/>
        <v>#REF!</v>
      </c>
    </row>
    <row r="376" spans="1:26" x14ac:dyDescent="0.4">
      <c r="A376" t="e">
        <f>'Product info'!#REF!</f>
        <v>#REF!</v>
      </c>
      <c r="B376" t="e">
        <f>'Product info'!#REF!</f>
        <v>#REF!</v>
      </c>
      <c r="C376" t="e">
        <f>'Product info'!#REF!</f>
        <v>#REF!</v>
      </c>
      <c r="D376" s="6" t="e">
        <f>'Product info'!#REF!</f>
        <v>#REF!</v>
      </c>
      <c r="E376" t="e">
        <f t="shared" si="67"/>
        <v>#REF!</v>
      </c>
      <c r="F376" s="50" t="e">
        <f>'Product info'!#REF!</f>
        <v>#REF!</v>
      </c>
      <c r="G376" s="50" t="e">
        <f>'Product info'!#REF!</f>
        <v>#REF!</v>
      </c>
      <c r="H376" s="50" t="e">
        <f>'Product info'!#REF!</f>
        <v>#REF!</v>
      </c>
      <c r="I376" s="50" t="e">
        <f>'Product info'!#REF!</f>
        <v>#REF!</v>
      </c>
      <c r="J376" s="51" t="e">
        <f>'Product info'!#REF!</f>
        <v>#REF!</v>
      </c>
      <c r="K376" s="52" t="e">
        <f t="shared" si="68"/>
        <v>#REF!</v>
      </c>
      <c r="L376" s="50" t="e">
        <f t="shared" si="69"/>
        <v>#REF!</v>
      </c>
      <c r="M376" s="50" t="e">
        <f t="shared" si="70"/>
        <v>#REF!</v>
      </c>
      <c r="N376" s="50" t="e">
        <f t="shared" si="71"/>
        <v>#REF!</v>
      </c>
      <c r="O376" s="50" t="e">
        <f t="shared" si="72"/>
        <v>#REF!</v>
      </c>
      <c r="P376" s="53" t="e">
        <f t="shared" si="73"/>
        <v>#REF!</v>
      </c>
      <c r="Q376" s="54" t="e">
        <f>'Product info'!#REF!</f>
        <v>#REF!</v>
      </c>
      <c r="R376" s="54" t="e">
        <f>'Product info'!#REF!</f>
        <v>#REF!</v>
      </c>
      <c r="S376" s="54" t="e">
        <f>'Product info'!#REF!</f>
        <v>#REF!</v>
      </c>
      <c r="T376" s="50" t="e">
        <f>'Product info'!#REF!</f>
        <v>#REF!</v>
      </c>
      <c r="U376" s="52" t="e">
        <f t="shared" si="74"/>
        <v>#REF!</v>
      </c>
      <c r="V376" s="50" t="e">
        <f t="shared" si="75"/>
        <v>#REF!</v>
      </c>
      <c r="W376" s="50" t="e">
        <f t="shared" si="76"/>
        <v>#REF!</v>
      </c>
      <c r="X376" s="50" t="e">
        <f t="shared" si="77"/>
        <v>#REF!</v>
      </c>
      <c r="Y376" s="50" t="e">
        <f t="shared" si="78"/>
        <v>#REF!</v>
      </c>
      <c r="Z376" t="e">
        <f t="shared" si="79"/>
        <v>#REF!</v>
      </c>
    </row>
    <row r="377" spans="1:26" x14ac:dyDescent="0.4">
      <c r="A377" t="e">
        <f>'Product info'!#REF!</f>
        <v>#REF!</v>
      </c>
      <c r="B377" t="e">
        <f>'Product info'!#REF!</f>
        <v>#REF!</v>
      </c>
      <c r="C377" t="e">
        <f>'Product info'!#REF!</f>
        <v>#REF!</v>
      </c>
      <c r="D377" s="6" t="e">
        <f>'Product info'!#REF!</f>
        <v>#REF!</v>
      </c>
      <c r="E377" t="e">
        <f t="shared" si="67"/>
        <v>#REF!</v>
      </c>
      <c r="F377" s="50" t="e">
        <f>'Product info'!#REF!</f>
        <v>#REF!</v>
      </c>
      <c r="G377" s="50" t="e">
        <f>'Product info'!#REF!</f>
        <v>#REF!</v>
      </c>
      <c r="H377" s="50" t="e">
        <f>'Product info'!#REF!</f>
        <v>#REF!</v>
      </c>
      <c r="I377" s="50" t="e">
        <f>'Product info'!#REF!</f>
        <v>#REF!</v>
      </c>
      <c r="J377" s="51" t="e">
        <f>'Product info'!#REF!</f>
        <v>#REF!</v>
      </c>
      <c r="K377" s="52" t="e">
        <f t="shared" si="68"/>
        <v>#REF!</v>
      </c>
      <c r="L377" s="50" t="e">
        <f t="shared" si="69"/>
        <v>#REF!</v>
      </c>
      <c r="M377" s="50" t="e">
        <f t="shared" si="70"/>
        <v>#REF!</v>
      </c>
      <c r="N377" s="50" t="e">
        <f t="shared" si="71"/>
        <v>#REF!</v>
      </c>
      <c r="O377" s="50" t="e">
        <f t="shared" si="72"/>
        <v>#REF!</v>
      </c>
      <c r="P377" s="53" t="e">
        <f t="shared" si="73"/>
        <v>#REF!</v>
      </c>
      <c r="Q377" s="54" t="e">
        <f>'Product info'!#REF!</f>
        <v>#REF!</v>
      </c>
      <c r="R377" s="54" t="e">
        <f>'Product info'!#REF!</f>
        <v>#REF!</v>
      </c>
      <c r="S377" s="54" t="e">
        <f>'Product info'!#REF!</f>
        <v>#REF!</v>
      </c>
      <c r="T377" s="50" t="e">
        <f>'Product info'!#REF!</f>
        <v>#REF!</v>
      </c>
      <c r="U377" s="52" t="e">
        <f t="shared" si="74"/>
        <v>#REF!</v>
      </c>
      <c r="V377" s="50" t="e">
        <f t="shared" si="75"/>
        <v>#REF!</v>
      </c>
      <c r="W377" s="50" t="e">
        <f t="shared" si="76"/>
        <v>#REF!</v>
      </c>
      <c r="X377" s="50" t="e">
        <f t="shared" si="77"/>
        <v>#REF!</v>
      </c>
      <c r="Y377" s="50" t="e">
        <f t="shared" si="78"/>
        <v>#REF!</v>
      </c>
      <c r="Z377" t="e">
        <f t="shared" si="79"/>
        <v>#REF!</v>
      </c>
    </row>
    <row r="378" spans="1:26" x14ac:dyDescent="0.4">
      <c r="A378" t="e">
        <f>'Product info'!#REF!</f>
        <v>#REF!</v>
      </c>
      <c r="B378" t="e">
        <f>'Product info'!#REF!</f>
        <v>#REF!</v>
      </c>
      <c r="C378" t="e">
        <f>'Product info'!#REF!</f>
        <v>#REF!</v>
      </c>
      <c r="D378" s="6" t="e">
        <f>'Product info'!#REF!</f>
        <v>#REF!</v>
      </c>
      <c r="E378" t="e">
        <f t="shared" si="67"/>
        <v>#REF!</v>
      </c>
      <c r="F378" s="50" t="e">
        <f>'Product info'!#REF!</f>
        <v>#REF!</v>
      </c>
      <c r="G378" s="50" t="e">
        <f>'Product info'!#REF!</f>
        <v>#REF!</v>
      </c>
      <c r="H378" s="50" t="e">
        <f>'Product info'!#REF!</f>
        <v>#REF!</v>
      </c>
      <c r="I378" s="50" t="e">
        <f>'Product info'!#REF!</f>
        <v>#REF!</v>
      </c>
      <c r="J378" s="51" t="e">
        <f>'Product info'!#REF!</f>
        <v>#REF!</v>
      </c>
      <c r="K378" s="52" t="e">
        <f t="shared" si="68"/>
        <v>#REF!</v>
      </c>
      <c r="L378" s="50" t="e">
        <f t="shared" si="69"/>
        <v>#REF!</v>
      </c>
      <c r="M378" s="50" t="e">
        <f t="shared" si="70"/>
        <v>#REF!</v>
      </c>
      <c r="N378" s="50" t="e">
        <f t="shared" si="71"/>
        <v>#REF!</v>
      </c>
      <c r="O378" s="50" t="e">
        <f t="shared" si="72"/>
        <v>#REF!</v>
      </c>
      <c r="P378" s="53" t="e">
        <f t="shared" si="73"/>
        <v>#REF!</v>
      </c>
      <c r="Q378" s="54" t="e">
        <f>'Product info'!#REF!</f>
        <v>#REF!</v>
      </c>
      <c r="R378" s="54" t="e">
        <f>'Product info'!#REF!</f>
        <v>#REF!</v>
      </c>
      <c r="S378" s="54" t="e">
        <f>'Product info'!#REF!</f>
        <v>#REF!</v>
      </c>
      <c r="T378" s="50" t="e">
        <f>'Product info'!#REF!</f>
        <v>#REF!</v>
      </c>
      <c r="U378" s="52" t="e">
        <f t="shared" si="74"/>
        <v>#REF!</v>
      </c>
      <c r="V378" s="50" t="e">
        <f t="shared" si="75"/>
        <v>#REF!</v>
      </c>
      <c r="W378" s="50" t="e">
        <f t="shared" si="76"/>
        <v>#REF!</v>
      </c>
      <c r="X378" s="50" t="e">
        <f t="shared" si="77"/>
        <v>#REF!</v>
      </c>
      <c r="Y378" s="50" t="e">
        <f t="shared" si="78"/>
        <v>#REF!</v>
      </c>
      <c r="Z378" t="e">
        <f t="shared" si="79"/>
        <v>#REF!</v>
      </c>
    </row>
    <row r="379" spans="1:26" x14ac:dyDescent="0.4">
      <c r="A379" t="e">
        <f>'Product info'!#REF!</f>
        <v>#REF!</v>
      </c>
      <c r="B379" t="e">
        <f>'Product info'!#REF!</f>
        <v>#REF!</v>
      </c>
      <c r="C379" t="e">
        <f>'Product info'!#REF!</f>
        <v>#REF!</v>
      </c>
      <c r="D379" s="6" t="e">
        <f>'Product info'!#REF!</f>
        <v>#REF!</v>
      </c>
      <c r="E379" t="e">
        <f t="shared" si="67"/>
        <v>#REF!</v>
      </c>
      <c r="F379" s="50" t="e">
        <f>'Product info'!#REF!</f>
        <v>#REF!</v>
      </c>
      <c r="G379" s="50" t="e">
        <f>'Product info'!#REF!</f>
        <v>#REF!</v>
      </c>
      <c r="H379" s="50" t="e">
        <f>'Product info'!#REF!</f>
        <v>#REF!</v>
      </c>
      <c r="I379" s="50" t="e">
        <f>'Product info'!#REF!</f>
        <v>#REF!</v>
      </c>
      <c r="J379" s="51" t="e">
        <f>'Product info'!#REF!</f>
        <v>#REF!</v>
      </c>
      <c r="K379" s="52" t="e">
        <f t="shared" si="68"/>
        <v>#REF!</v>
      </c>
      <c r="L379" s="50" t="e">
        <f t="shared" si="69"/>
        <v>#REF!</v>
      </c>
      <c r="M379" s="50" t="e">
        <f t="shared" si="70"/>
        <v>#REF!</v>
      </c>
      <c r="N379" s="50" t="e">
        <f t="shared" si="71"/>
        <v>#REF!</v>
      </c>
      <c r="O379" s="50" t="e">
        <f t="shared" si="72"/>
        <v>#REF!</v>
      </c>
      <c r="P379" s="53" t="e">
        <f t="shared" si="73"/>
        <v>#REF!</v>
      </c>
      <c r="Q379" s="54" t="e">
        <f>'Product info'!#REF!</f>
        <v>#REF!</v>
      </c>
      <c r="R379" s="54" t="e">
        <f>'Product info'!#REF!</f>
        <v>#REF!</v>
      </c>
      <c r="S379" s="54" t="e">
        <f>'Product info'!#REF!</f>
        <v>#REF!</v>
      </c>
      <c r="T379" s="50" t="e">
        <f>'Product info'!#REF!</f>
        <v>#REF!</v>
      </c>
      <c r="U379" s="52" t="e">
        <f t="shared" si="74"/>
        <v>#REF!</v>
      </c>
      <c r="V379" s="50" t="e">
        <f t="shared" si="75"/>
        <v>#REF!</v>
      </c>
      <c r="W379" s="50" t="e">
        <f t="shared" si="76"/>
        <v>#REF!</v>
      </c>
      <c r="X379" s="50" t="e">
        <f t="shared" si="77"/>
        <v>#REF!</v>
      </c>
      <c r="Y379" s="50" t="e">
        <f t="shared" si="78"/>
        <v>#REF!</v>
      </c>
      <c r="Z379" t="e">
        <f t="shared" si="79"/>
        <v>#REF!</v>
      </c>
    </row>
    <row r="380" spans="1:26" x14ac:dyDescent="0.4">
      <c r="A380" t="e">
        <f>'Product info'!#REF!</f>
        <v>#REF!</v>
      </c>
      <c r="B380" t="e">
        <f>'Product info'!#REF!</f>
        <v>#REF!</v>
      </c>
      <c r="C380" t="e">
        <f>'Product info'!#REF!</f>
        <v>#REF!</v>
      </c>
      <c r="D380" s="6" t="e">
        <f>'Product info'!#REF!</f>
        <v>#REF!</v>
      </c>
      <c r="E380" t="e">
        <f t="shared" si="67"/>
        <v>#REF!</v>
      </c>
      <c r="F380" s="50" t="e">
        <f>'Product info'!#REF!</f>
        <v>#REF!</v>
      </c>
      <c r="G380" s="50" t="e">
        <f>'Product info'!#REF!</f>
        <v>#REF!</v>
      </c>
      <c r="H380" s="50" t="e">
        <f>'Product info'!#REF!</f>
        <v>#REF!</v>
      </c>
      <c r="I380" s="50" t="e">
        <f>'Product info'!#REF!</f>
        <v>#REF!</v>
      </c>
      <c r="J380" s="51" t="e">
        <f>'Product info'!#REF!</f>
        <v>#REF!</v>
      </c>
      <c r="K380" s="52" t="e">
        <f t="shared" si="68"/>
        <v>#REF!</v>
      </c>
      <c r="L380" s="50" t="e">
        <f t="shared" si="69"/>
        <v>#REF!</v>
      </c>
      <c r="M380" s="50" t="e">
        <f t="shared" si="70"/>
        <v>#REF!</v>
      </c>
      <c r="N380" s="50" t="e">
        <f t="shared" si="71"/>
        <v>#REF!</v>
      </c>
      <c r="O380" s="50" t="e">
        <f t="shared" si="72"/>
        <v>#REF!</v>
      </c>
      <c r="P380" s="53" t="e">
        <f t="shared" si="73"/>
        <v>#REF!</v>
      </c>
      <c r="Q380" s="54" t="e">
        <f>'Product info'!#REF!</f>
        <v>#REF!</v>
      </c>
      <c r="R380" s="54" t="e">
        <f>'Product info'!#REF!</f>
        <v>#REF!</v>
      </c>
      <c r="S380" s="54" t="e">
        <f>'Product info'!#REF!</f>
        <v>#REF!</v>
      </c>
      <c r="T380" s="50" t="e">
        <f>'Product info'!#REF!</f>
        <v>#REF!</v>
      </c>
      <c r="U380" s="52" t="e">
        <f t="shared" si="74"/>
        <v>#REF!</v>
      </c>
      <c r="V380" s="50" t="e">
        <f t="shared" si="75"/>
        <v>#REF!</v>
      </c>
      <c r="W380" s="50" t="e">
        <f t="shared" si="76"/>
        <v>#REF!</v>
      </c>
      <c r="X380" s="50" t="e">
        <f t="shared" si="77"/>
        <v>#REF!</v>
      </c>
      <c r="Y380" s="50" t="e">
        <f t="shared" si="78"/>
        <v>#REF!</v>
      </c>
      <c r="Z380" t="e">
        <f t="shared" si="79"/>
        <v>#REF!</v>
      </c>
    </row>
    <row r="381" spans="1:26" x14ac:dyDescent="0.4">
      <c r="A381" t="e">
        <f>'Product info'!#REF!</f>
        <v>#REF!</v>
      </c>
      <c r="B381" t="e">
        <f>'Product info'!#REF!</f>
        <v>#REF!</v>
      </c>
      <c r="C381" t="e">
        <f>'Product info'!#REF!</f>
        <v>#REF!</v>
      </c>
      <c r="D381" s="6" t="e">
        <f>'Product info'!#REF!</f>
        <v>#REF!</v>
      </c>
      <c r="E381" t="e">
        <f t="shared" si="67"/>
        <v>#REF!</v>
      </c>
      <c r="F381" s="50" t="e">
        <f>'Product info'!#REF!</f>
        <v>#REF!</v>
      </c>
      <c r="G381" s="50" t="e">
        <f>'Product info'!#REF!</f>
        <v>#REF!</v>
      </c>
      <c r="H381" s="50" t="e">
        <f>'Product info'!#REF!</f>
        <v>#REF!</v>
      </c>
      <c r="I381" s="50" t="e">
        <f>'Product info'!#REF!</f>
        <v>#REF!</v>
      </c>
      <c r="J381" s="51" t="e">
        <f>'Product info'!#REF!</f>
        <v>#REF!</v>
      </c>
      <c r="K381" s="52" t="e">
        <f t="shared" si="68"/>
        <v>#REF!</v>
      </c>
      <c r="L381" s="50" t="e">
        <f t="shared" si="69"/>
        <v>#REF!</v>
      </c>
      <c r="M381" s="50" t="e">
        <f t="shared" si="70"/>
        <v>#REF!</v>
      </c>
      <c r="N381" s="50" t="e">
        <f t="shared" si="71"/>
        <v>#REF!</v>
      </c>
      <c r="O381" s="50" t="e">
        <f t="shared" si="72"/>
        <v>#REF!</v>
      </c>
      <c r="P381" s="53" t="e">
        <f t="shared" si="73"/>
        <v>#REF!</v>
      </c>
      <c r="Q381" s="54" t="e">
        <f>'Product info'!#REF!</f>
        <v>#REF!</v>
      </c>
      <c r="R381" s="54" t="e">
        <f>'Product info'!#REF!</f>
        <v>#REF!</v>
      </c>
      <c r="S381" s="54" t="e">
        <f>'Product info'!#REF!</f>
        <v>#REF!</v>
      </c>
      <c r="T381" s="50" t="e">
        <f>'Product info'!#REF!</f>
        <v>#REF!</v>
      </c>
      <c r="U381" s="52" t="e">
        <f t="shared" si="74"/>
        <v>#REF!</v>
      </c>
      <c r="V381" s="50" t="e">
        <f t="shared" si="75"/>
        <v>#REF!</v>
      </c>
      <c r="W381" s="50" t="e">
        <f t="shared" si="76"/>
        <v>#REF!</v>
      </c>
      <c r="X381" s="50" t="e">
        <f t="shared" si="77"/>
        <v>#REF!</v>
      </c>
      <c r="Y381" s="50" t="e">
        <f t="shared" si="78"/>
        <v>#REF!</v>
      </c>
      <c r="Z381" t="e">
        <f t="shared" si="79"/>
        <v>#REF!</v>
      </c>
    </row>
    <row r="382" spans="1:26" x14ac:dyDescent="0.4">
      <c r="A382" t="e">
        <f>'Product info'!#REF!</f>
        <v>#REF!</v>
      </c>
      <c r="B382" t="e">
        <f>'Product info'!#REF!</f>
        <v>#REF!</v>
      </c>
      <c r="C382" t="e">
        <f>'Product info'!#REF!</f>
        <v>#REF!</v>
      </c>
      <c r="D382" s="6" t="e">
        <f>'Product info'!#REF!</f>
        <v>#REF!</v>
      </c>
      <c r="E382" t="e">
        <f t="shared" si="67"/>
        <v>#REF!</v>
      </c>
      <c r="F382" s="50" t="e">
        <f>'Product info'!#REF!</f>
        <v>#REF!</v>
      </c>
      <c r="G382" s="50" t="e">
        <f>'Product info'!#REF!</f>
        <v>#REF!</v>
      </c>
      <c r="H382" s="50" t="e">
        <f>'Product info'!#REF!</f>
        <v>#REF!</v>
      </c>
      <c r="I382" s="50" t="e">
        <f>'Product info'!#REF!</f>
        <v>#REF!</v>
      </c>
      <c r="J382" s="51" t="e">
        <f>'Product info'!#REF!</f>
        <v>#REF!</v>
      </c>
      <c r="K382" s="52" t="e">
        <f t="shared" si="68"/>
        <v>#REF!</v>
      </c>
      <c r="L382" s="50" t="e">
        <f t="shared" si="69"/>
        <v>#REF!</v>
      </c>
      <c r="M382" s="50" t="e">
        <f t="shared" si="70"/>
        <v>#REF!</v>
      </c>
      <c r="N382" s="50" t="e">
        <f t="shared" si="71"/>
        <v>#REF!</v>
      </c>
      <c r="O382" s="50" t="e">
        <f t="shared" si="72"/>
        <v>#REF!</v>
      </c>
      <c r="P382" s="53" t="e">
        <f t="shared" si="73"/>
        <v>#REF!</v>
      </c>
      <c r="Q382" s="54" t="e">
        <f>'Product info'!#REF!</f>
        <v>#REF!</v>
      </c>
      <c r="R382" s="54" t="e">
        <f>'Product info'!#REF!</f>
        <v>#REF!</v>
      </c>
      <c r="S382" s="54" t="e">
        <f>'Product info'!#REF!</f>
        <v>#REF!</v>
      </c>
      <c r="T382" s="50" t="e">
        <f>'Product info'!#REF!</f>
        <v>#REF!</v>
      </c>
      <c r="U382" s="52" t="e">
        <f t="shared" si="74"/>
        <v>#REF!</v>
      </c>
      <c r="V382" s="50" t="e">
        <f t="shared" si="75"/>
        <v>#REF!</v>
      </c>
      <c r="W382" s="50" t="e">
        <f t="shared" si="76"/>
        <v>#REF!</v>
      </c>
      <c r="X382" s="50" t="e">
        <f t="shared" si="77"/>
        <v>#REF!</v>
      </c>
      <c r="Y382" s="50" t="e">
        <f t="shared" si="78"/>
        <v>#REF!</v>
      </c>
      <c r="Z382" t="e">
        <f t="shared" si="79"/>
        <v>#REF!</v>
      </c>
    </row>
    <row r="383" spans="1:26" x14ac:dyDescent="0.4">
      <c r="A383" t="e">
        <f>'Product info'!#REF!</f>
        <v>#REF!</v>
      </c>
      <c r="B383" t="e">
        <f>'Product info'!#REF!</f>
        <v>#REF!</v>
      </c>
      <c r="C383" t="e">
        <f>'Product info'!#REF!</f>
        <v>#REF!</v>
      </c>
      <c r="D383" s="6" t="e">
        <f>'Product info'!#REF!</f>
        <v>#REF!</v>
      </c>
      <c r="E383" t="e">
        <f t="shared" si="67"/>
        <v>#REF!</v>
      </c>
      <c r="F383" s="50" t="e">
        <f>'Product info'!#REF!</f>
        <v>#REF!</v>
      </c>
      <c r="G383" s="50" t="e">
        <f>'Product info'!#REF!</f>
        <v>#REF!</v>
      </c>
      <c r="H383" s="50" t="e">
        <f>'Product info'!#REF!</f>
        <v>#REF!</v>
      </c>
      <c r="I383" s="50" t="e">
        <f>'Product info'!#REF!</f>
        <v>#REF!</v>
      </c>
      <c r="J383" s="51" t="e">
        <f>'Product info'!#REF!</f>
        <v>#REF!</v>
      </c>
      <c r="K383" s="52" t="e">
        <f t="shared" si="68"/>
        <v>#REF!</v>
      </c>
      <c r="L383" s="50" t="e">
        <f t="shared" si="69"/>
        <v>#REF!</v>
      </c>
      <c r="M383" s="50" t="e">
        <f t="shared" si="70"/>
        <v>#REF!</v>
      </c>
      <c r="N383" s="50" t="e">
        <f t="shared" si="71"/>
        <v>#REF!</v>
      </c>
      <c r="O383" s="50" t="e">
        <f t="shared" si="72"/>
        <v>#REF!</v>
      </c>
      <c r="P383" s="53" t="e">
        <f t="shared" si="73"/>
        <v>#REF!</v>
      </c>
      <c r="Q383" s="54" t="e">
        <f>'Product info'!#REF!</f>
        <v>#REF!</v>
      </c>
      <c r="R383" s="54" t="e">
        <f>'Product info'!#REF!</f>
        <v>#REF!</v>
      </c>
      <c r="S383" s="54" t="e">
        <f>'Product info'!#REF!</f>
        <v>#REF!</v>
      </c>
      <c r="T383" s="50" t="e">
        <f>'Product info'!#REF!</f>
        <v>#REF!</v>
      </c>
      <c r="U383" s="52" t="e">
        <f t="shared" si="74"/>
        <v>#REF!</v>
      </c>
      <c r="V383" s="50" t="e">
        <f t="shared" si="75"/>
        <v>#REF!</v>
      </c>
      <c r="W383" s="50" t="e">
        <f t="shared" si="76"/>
        <v>#REF!</v>
      </c>
      <c r="X383" s="50" t="e">
        <f t="shared" si="77"/>
        <v>#REF!</v>
      </c>
      <c r="Y383" s="50" t="e">
        <f t="shared" si="78"/>
        <v>#REF!</v>
      </c>
      <c r="Z383" t="e">
        <f t="shared" si="79"/>
        <v>#REF!</v>
      </c>
    </row>
    <row r="384" spans="1:26" x14ac:dyDescent="0.4">
      <c r="A384" t="e">
        <f>'Product info'!#REF!</f>
        <v>#REF!</v>
      </c>
      <c r="B384" t="e">
        <f>'Product info'!#REF!</f>
        <v>#REF!</v>
      </c>
      <c r="C384" t="e">
        <f>'Product info'!#REF!</f>
        <v>#REF!</v>
      </c>
      <c r="D384" s="6" t="e">
        <f>'Product info'!#REF!</f>
        <v>#REF!</v>
      </c>
      <c r="E384" t="e">
        <f t="shared" si="67"/>
        <v>#REF!</v>
      </c>
      <c r="F384" s="50" t="e">
        <f>'Product info'!#REF!</f>
        <v>#REF!</v>
      </c>
      <c r="G384" s="50" t="e">
        <f>'Product info'!#REF!</f>
        <v>#REF!</v>
      </c>
      <c r="H384" s="50" t="e">
        <f>'Product info'!#REF!</f>
        <v>#REF!</v>
      </c>
      <c r="I384" s="50" t="e">
        <f>'Product info'!#REF!</f>
        <v>#REF!</v>
      </c>
      <c r="J384" s="51" t="e">
        <f>'Product info'!#REF!</f>
        <v>#REF!</v>
      </c>
      <c r="K384" s="52" t="e">
        <f t="shared" si="68"/>
        <v>#REF!</v>
      </c>
      <c r="L384" s="50" t="e">
        <f t="shared" si="69"/>
        <v>#REF!</v>
      </c>
      <c r="M384" s="50" t="e">
        <f t="shared" si="70"/>
        <v>#REF!</v>
      </c>
      <c r="N384" s="50" t="e">
        <f t="shared" si="71"/>
        <v>#REF!</v>
      </c>
      <c r="O384" s="50" t="e">
        <f t="shared" si="72"/>
        <v>#REF!</v>
      </c>
      <c r="P384" s="53" t="e">
        <f t="shared" si="73"/>
        <v>#REF!</v>
      </c>
      <c r="Q384" s="54" t="e">
        <f>'Product info'!#REF!</f>
        <v>#REF!</v>
      </c>
      <c r="R384" s="54" t="e">
        <f>'Product info'!#REF!</f>
        <v>#REF!</v>
      </c>
      <c r="S384" s="54" t="e">
        <f>'Product info'!#REF!</f>
        <v>#REF!</v>
      </c>
      <c r="T384" s="50" t="e">
        <f>'Product info'!#REF!</f>
        <v>#REF!</v>
      </c>
      <c r="U384" s="52" t="e">
        <f t="shared" si="74"/>
        <v>#REF!</v>
      </c>
      <c r="V384" s="50" t="e">
        <f t="shared" si="75"/>
        <v>#REF!</v>
      </c>
      <c r="W384" s="50" t="e">
        <f t="shared" si="76"/>
        <v>#REF!</v>
      </c>
      <c r="X384" s="50" t="e">
        <f t="shared" si="77"/>
        <v>#REF!</v>
      </c>
      <c r="Y384" s="50" t="e">
        <f t="shared" si="78"/>
        <v>#REF!</v>
      </c>
      <c r="Z384" t="e">
        <f t="shared" si="79"/>
        <v>#REF!</v>
      </c>
    </row>
    <row r="385" spans="1:26" x14ac:dyDescent="0.4">
      <c r="A385" t="e">
        <f>'Product info'!#REF!</f>
        <v>#REF!</v>
      </c>
      <c r="B385" t="e">
        <f>'Product info'!#REF!</f>
        <v>#REF!</v>
      </c>
      <c r="C385" t="e">
        <f>'Product info'!#REF!</f>
        <v>#REF!</v>
      </c>
      <c r="D385" s="6" t="e">
        <f>'Product info'!#REF!</f>
        <v>#REF!</v>
      </c>
      <c r="E385" t="e">
        <f t="shared" si="67"/>
        <v>#REF!</v>
      </c>
      <c r="F385" s="50" t="e">
        <f>'Product info'!#REF!</f>
        <v>#REF!</v>
      </c>
      <c r="G385" s="50" t="e">
        <f>'Product info'!#REF!</f>
        <v>#REF!</v>
      </c>
      <c r="H385" s="50" t="e">
        <f>'Product info'!#REF!</f>
        <v>#REF!</v>
      </c>
      <c r="I385" s="50" t="e">
        <f>'Product info'!#REF!</f>
        <v>#REF!</v>
      </c>
      <c r="J385" s="51" t="e">
        <f>'Product info'!#REF!</f>
        <v>#REF!</v>
      </c>
      <c r="K385" s="52" t="e">
        <f t="shared" si="68"/>
        <v>#REF!</v>
      </c>
      <c r="L385" s="50" t="e">
        <f t="shared" si="69"/>
        <v>#REF!</v>
      </c>
      <c r="M385" s="50" t="e">
        <f t="shared" si="70"/>
        <v>#REF!</v>
      </c>
      <c r="N385" s="50" t="e">
        <f t="shared" si="71"/>
        <v>#REF!</v>
      </c>
      <c r="O385" s="50" t="e">
        <f t="shared" si="72"/>
        <v>#REF!</v>
      </c>
      <c r="P385" s="53" t="e">
        <f t="shared" si="73"/>
        <v>#REF!</v>
      </c>
      <c r="Q385" s="54" t="e">
        <f>'Product info'!#REF!</f>
        <v>#REF!</v>
      </c>
      <c r="R385" s="54" t="e">
        <f>'Product info'!#REF!</f>
        <v>#REF!</v>
      </c>
      <c r="S385" s="54" t="e">
        <f>'Product info'!#REF!</f>
        <v>#REF!</v>
      </c>
      <c r="T385" s="50" t="e">
        <f>'Product info'!#REF!</f>
        <v>#REF!</v>
      </c>
      <c r="U385" s="52" t="e">
        <f t="shared" si="74"/>
        <v>#REF!</v>
      </c>
      <c r="V385" s="50" t="e">
        <f t="shared" si="75"/>
        <v>#REF!</v>
      </c>
      <c r="W385" s="50" t="e">
        <f t="shared" si="76"/>
        <v>#REF!</v>
      </c>
      <c r="X385" s="50" t="e">
        <f t="shared" si="77"/>
        <v>#REF!</v>
      </c>
      <c r="Y385" s="50" t="e">
        <f t="shared" si="78"/>
        <v>#REF!</v>
      </c>
      <c r="Z385" t="e">
        <f t="shared" si="79"/>
        <v>#REF!</v>
      </c>
    </row>
    <row r="386" spans="1:26" x14ac:dyDescent="0.4">
      <c r="A386" t="e">
        <f>'Product info'!#REF!</f>
        <v>#REF!</v>
      </c>
      <c r="B386" t="e">
        <f>'Product info'!#REF!</f>
        <v>#REF!</v>
      </c>
      <c r="C386" t="e">
        <f>'Product info'!#REF!</f>
        <v>#REF!</v>
      </c>
      <c r="D386" s="6" t="e">
        <f>'Product info'!#REF!</f>
        <v>#REF!</v>
      </c>
      <c r="E386" t="e">
        <f t="shared" si="67"/>
        <v>#REF!</v>
      </c>
      <c r="F386" s="50" t="e">
        <f>'Product info'!#REF!</f>
        <v>#REF!</v>
      </c>
      <c r="G386" s="50" t="e">
        <f>'Product info'!#REF!</f>
        <v>#REF!</v>
      </c>
      <c r="H386" s="50" t="e">
        <f>'Product info'!#REF!</f>
        <v>#REF!</v>
      </c>
      <c r="I386" s="50" t="e">
        <f>'Product info'!#REF!</f>
        <v>#REF!</v>
      </c>
      <c r="J386" s="51" t="e">
        <f>'Product info'!#REF!</f>
        <v>#REF!</v>
      </c>
      <c r="K386" s="52" t="e">
        <f t="shared" si="68"/>
        <v>#REF!</v>
      </c>
      <c r="L386" s="50" t="e">
        <f t="shared" si="69"/>
        <v>#REF!</v>
      </c>
      <c r="M386" s="50" t="e">
        <f t="shared" si="70"/>
        <v>#REF!</v>
      </c>
      <c r="N386" s="50" t="e">
        <f t="shared" si="71"/>
        <v>#REF!</v>
      </c>
      <c r="O386" s="50" t="e">
        <f t="shared" si="72"/>
        <v>#REF!</v>
      </c>
      <c r="P386" s="53" t="e">
        <f t="shared" si="73"/>
        <v>#REF!</v>
      </c>
      <c r="Q386" s="54" t="e">
        <f>'Product info'!#REF!</f>
        <v>#REF!</v>
      </c>
      <c r="R386" s="54" t="e">
        <f>'Product info'!#REF!</f>
        <v>#REF!</v>
      </c>
      <c r="S386" s="54" t="e">
        <f>'Product info'!#REF!</f>
        <v>#REF!</v>
      </c>
      <c r="T386" s="50" t="e">
        <f>'Product info'!#REF!</f>
        <v>#REF!</v>
      </c>
      <c r="U386" s="52" t="e">
        <f t="shared" si="74"/>
        <v>#REF!</v>
      </c>
      <c r="V386" s="50" t="e">
        <f t="shared" si="75"/>
        <v>#REF!</v>
      </c>
      <c r="W386" s="50" t="e">
        <f t="shared" si="76"/>
        <v>#REF!</v>
      </c>
      <c r="X386" s="50" t="e">
        <f t="shared" si="77"/>
        <v>#REF!</v>
      </c>
      <c r="Y386" s="50" t="e">
        <f t="shared" si="78"/>
        <v>#REF!</v>
      </c>
      <c r="Z386" t="e">
        <f t="shared" si="79"/>
        <v>#REF!</v>
      </c>
    </row>
    <row r="387" spans="1:26" x14ac:dyDescent="0.4">
      <c r="A387" t="e">
        <f>'Product info'!#REF!</f>
        <v>#REF!</v>
      </c>
      <c r="B387" t="e">
        <f>'Product info'!#REF!</f>
        <v>#REF!</v>
      </c>
      <c r="C387" t="e">
        <f>'Product info'!#REF!</f>
        <v>#REF!</v>
      </c>
      <c r="D387" s="6" t="e">
        <f>'Product info'!#REF!</f>
        <v>#REF!</v>
      </c>
      <c r="E387" t="e">
        <f t="shared" si="67"/>
        <v>#REF!</v>
      </c>
      <c r="F387" s="50" t="e">
        <f>'Product info'!#REF!</f>
        <v>#REF!</v>
      </c>
      <c r="G387" s="50" t="e">
        <f>'Product info'!#REF!</f>
        <v>#REF!</v>
      </c>
      <c r="H387" s="50" t="e">
        <f>'Product info'!#REF!</f>
        <v>#REF!</v>
      </c>
      <c r="I387" s="50" t="e">
        <f>'Product info'!#REF!</f>
        <v>#REF!</v>
      </c>
      <c r="J387" s="51" t="e">
        <f>'Product info'!#REF!</f>
        <v>#REF!</v>
      </c>
      <c r="K387" s="52" t="e">
        <f t="shared" si="68"/>
        <v>#REF!</v>
      </c>
      <c r="L387" s="50" t="e">
        <f t="shared" si="69"/>
        <v>#REF!</v>
      </c>
      <c r="M387" s="50" t="e">
        <f t="shared" si="70"/>
        <v>#REF!</v>
      </c>
      <c r="N387" s="50" t="e">
        <f t="shared" si="71"/>
        <v>#REF!</v>
      </c>
      <c r="O387" s="50" t="e">
        <f t="shared" si="72"/>
        <v>#REF!</v>
      </c>
      <c r="P387" s="53" t="e">
        <f t="shared" si="73"/>
        <v>#REF!</v>
      </c>
      <c r="Q387" s="54" t="e">
        <f>'Product info'!#REF!</f>
        <v>#REF!</v>
      </c>
      <c r="R387" s="54" t="e">
        <f>'Product info'!#REF!</f>
        <v>#REF!</v>
      </c>
      <c r="S387" s="54" t="e">
        <f>'Product info'!#REF!</f>
        <v>#REF!</v>
      </c>
      <c r="T387" s="50" t="e">
        <f>'Product info'!#REF!</f>
        <v>#REF!</v>
      </c>
      <c r="U387" s="52" t="e">
        <f t="shared" si="74"/>
        <v>#REF!</v>
      </c>
      <c r="V387" s="50" t="e">
        <f t="shared" si="75"/>
        <v>#REF!</v>
      </c>
      <c r="W387" s="50" t="e">
        <f t="shared" si="76"/>
        <v>#REF!</v>
      </c>
      <c r="X387" s="50" t="e">
        <f t="shared" si="77"/>
        <v>#REF!</v>
      </c>
      <c r="Y387" s="50" t="e">
        <f t="shared" si="78"/>
        <v>#REF!</v>
      </c>
      <c r="Z387" t="e">
        <f t="shared" si="79"/>
        <v>#REF!</v>
      </c>
    </row>
    <row r="388" spans="1:26" x14ac:dyDescent="0.4">
      <c r="A388" t="e">
        <f>'Product info'!#REF!</f>
        <v>#REF!</v>
      </c>
      <c r="B388" t="e">
        <f>'Product info'!#REF!</f>
        <v>#REF!</v>
      </c>
      <c r="C388" t="e">
        <f>'Product info'!#REF!</f>
        <v>#REF!</v>
      </c>
      <c r="D388" s="6" t="e">
        <f>'Product info'!#REF!</f>
        <v>#REF!</v>
      </c>
      <c r="E388" t="e">
        <f t="shared" ref="E388:E451" si="80">F388&amp;"*"&amp;G388&amp;"*"&amp;H388</f>
        <v>#REF!</v>
      </c>
      <c r="F388" s="50" t="e">
        <f>'Product info'!#REF!</f>
        <v>#REF!</v>
      </c>
      <c r="G388" s="50" t="e">
        <f>'Product info'!#REF!</f>
        <v>#REF!</v>
      </c>
      <c r="H388" s="50" t="e">
        <f>'Product info'!#REF!</f>
        <v>#REF!</v>
      </c>
      <c r="I388" s="50" t="e">
        <f>'Product info'!#REF!</f>
        <v>#REF!</v>
      </c>
      <c r="J388" s="51" t="e">
        <f>'Product info'!#REF!</f>
        <v>#REF!</v>
      </c>
      <c r="K388" s="52" t="e">
        <f t="shared" ref="K388:K451" si="81">F388*G388*H388/(100*100*100)</f>
        <v>#REF!</v>
      </c>
      <c r="L388" s="50" t="e">
        <f t="shared" ref="L388:L451" si="82">F388*0.393701</f>
        <v>#REF!</v>
      </c>
      <c r="M388" s="50" t="e">
        <f t="shared" ref="M388:M451" si="83">G388*0.393701</f>
        <v>#REF!</v>
      </c>
      <c r="N388" s="50" t="e">
        <f t="shared" ref="N388:N451" si="84">H388*0.393701</f>
        <v>#REF!</v>
      </c>
      <c r="O388" s="50" t="e">
        <f t="shared" ref="O388:O451" si="85">I388*2.20462</f>
        <v>#REF!</v>
      </c>
      <c r="P388" s="53" t="e">
        <f t="shared" ref="P388:P451" si="86">Q388&amp;"*"&amp;R388&amp;"*"&amp;S388</f>
        <v>#REF!</v>
      </c>
      <c r="Q388" s="54" t="e">
        <f>'Product info'!#REF!</f>
        <v>#REF!</v>
      </c>
      <c r="R388" s="54" t="e">
        <f>'Product info'!#REF!</f>
        <v>#REF!</v>
      </c>
      <c r="S388" s="54" t="e">
        <f>'Product info'!#REF!</f>
        <v>#REF!</v>
      </c>
      <c r="T388" s="50" t="e">
        <f>'Product info'!#REF!</f>
        <v>#REF!</v>
      </c>
      <c r="U388" s="52" t="e">
        <f t="shared" ref="U388:U451" si="87">Q388*R388*S388/(100*100*100)</f>
        <v>#REF!</v>
      </c>
      <c r="V388" s="50" t="e">
        <f t="shared" ref="V388:V451" si="88">Q388*0.393701</f>
        <v>#REF!</v>
      </c>
      <c r="W388" s="50" t="e">
        <f t="shared" ref="W388:W451" si="89">R388*0.393701</f>
        <v>#REF!</v>
      </c>
      <c r="X388" s="50" t="e">
        <f t="shared" ref="X388:X451" si="90">S388*0.393701</f>
        <v>#REF!</v>
      </c>
      <c r="Y388" s="50" t="e">
        <f t="shared" ref="Y388:Y451" si="91">T388*2.20462</f>
        <v>#REF!</v>
      </c>
      <c r="Z388" t="e">
        <f t="shared" ref="Z388:Z451" si="92">K388/J388</f>
        <v>#REF!</v>
      </c>
    </row>
    <row r="389" spans="1:26" x14ac:dyDescent="0.4">
      <c r="A389" t="e">
        <f>'Product info'!#REF!</f>
        <v>#REF!</v>
      </c>
      <c r="B389" t="e">
        <f>'Product info'!#REF!</f>
        <v>#REF!</v>
      </c>
      <c r="C389" t="e">
        <f>'Product info'!#REF!</f>
        <v>#REF!</v>
      </c>
      <c r="D389" s="6" t="e">
        <f>'Product info'!#REF!</f>
        <v>#REF!</v>
      </c>
      <c r="E389" t="e">
        <f t="shared" si="80"/>
        <v>#REF!</v>
      </c>
      <c r="F389" s="50" t="e">
        <f>'Product info'!#REF!</f>
        <v>#REF!</v>
      </c>
      <c r="G389" s="50" t="e">
        <f>'Product info'!#REF!</f>
        <v>#REF!</v>
      </c>
      <c r="H389" s="50" t="e">
        <f>'Product info'!#REF!</f>
        <v>#REF!</v>
      </c>
      <c r="I389" s="50" t="e">
        <f>'Product info'!#REF!</f>
        <v>#REF!</v>
      </c>
      <c r="J389" s="51" t="e">
        <f>'Product info'!#REF!</f>
        <v>#REF!</v>
      </c>
      <c r="K389" s="52" t="e">
        <f t="shared" si="81"/>
        <v>#REF!</v>
      </c>
      <c r="L389" s="50" t="e">
        <f t="shared" si="82"/>
        <v>#REF!</v>
      </c>
      <c r="M389" s="50" t="e">
        <f t="shared" si="83"/>
        <v>#REF!</v>
      </c>
      <c r="N389" s="50" t="e">
        <f t="shared" si="84"/>
        <v>#REF!</v>
      </c>
      <c r="O389" s="50" t="e">
        <f t="shared" si="85"/>
        <v>#REF!</v>
      </c>
      <c r="P389" s="53" t="e">
        <f t="shared" si="86"/>
        <v>#REF!</v>
      </c>
      <c r="Q389" s="54" t="e">
        <f>'Product info'!#REF!</f>
        <v>#REF!</v>
      </c>
      <c r="R389" s="54" t="e">
        <f>'Product info'!#REF!</f>
        <v>#REF!</v>
      </c>
      <c r="S389" s="54" t="e">
        <f>'Product info'!#REF!</f>
        <v>#REF!</v>
      </c>
      <c r="T389" s="50" t="e">
        <f>'Product info'!#REF!</f>
        <v>#REF!</v>
      </c>
      <c r="U389" s="52" t="e">
        <f t="shared" si="87"/>
        <v>#REF!</v>
      </c>
      <c r="V389" s="50" t="e">
        <f t="shared" si="88"/>
        <v>#REF!</v>
      </c>
      <c r="W389" s="50" t="e">
        <f t="shared" si="89"/>
        <v>#REF!</v>
      </c>
      <c r="X389" s="50" t="e">
        <f t="shared" si="90"/>
        <v>#REF!</v>
      </c>
      <c r="Y389" s="50" t="e">
        <f t="shared" si="91"/>
        <v>#REF!</v>
      </c>
      <c r="Z389" t="e">
        <f t="shared" si="92"/>
        <v>#REF!</v>
      </c>
    </row>
    <row r="390" spans="1:26" x14ac:dyDescent="0.4">
      <c r="A390" t="e">
        <f>'Product info'!#REF!</f>
        <v>#REF!</v>
      </c>
      <c r="B390" t="e">
        <f>'Product info'!#REF!</f>
        <v>#REF!</v>
      </c>
      <c r="C390" t="e">
        <f>'Product info'!#REF!</f>
        <v>#REF!</v>
      </c>
      <c r="D390" s="6" t="e">
        <f>'Product info'!#REF!</f>
        <v>#REF!</v>
      </c>
      <c r="E390" t="e">
        <f t="shared" si="80"/>
        <v>#REF!</v>
      </c>
      <c r="F390" s="50" t="e">
        <f>'Product info'!#REF!</f>
        <v>#REF!</v>
      </c>
      <c r="G390" s="50" t="e">
        <f>'Product info'!#REF!</f>
        <v>#REF!</v>
      </c>
      <c r="H390" s="50" t="e">
        <f>'Product info'!#REF!</f>
        <v>#REF!</v>
      </c>
      <c r="I390" s="50" t="e">
        <f>'Product info'!#REF!</f>
        <v>#REF!</v>
      </c>
      <c r="J390" s="51" t="e">
        <f>'Product info'!#REF!</f>
        <v>#REF!</v>
      </c>
      <c r="K390" s="52" t="e">
        <f t="shared" si="81"/>
        <v>#REF!</v>
      </c>
      <c r="L390" s="50" t="e">
        <f t="shared" si="82"/>
        <v>#REF!</v>
      </c>
      <c r="M390" s="50" t="e">
        <f t="shared" si="83"/>
        <v>#REF!</v>
      </c>
      <c r="N390" s="50" t="e">
        <f t="shared" si="84"/>
        <v>#REF!</v>
      </c>
      <c r="O390" s="50" t="e">
        <f t="shared" si="85"/>
        <v>#REF!</v>
      </c>
      <c r="P390" s="53" t="e">
        <f t="shared" si="86"/>
        <v>#REF!</v>
      </c>
      <c r="Q390" s="54" t="e">
        <f>'Product info'!#REF!</f>
        <v>#REF!</v>
      </c>
      <c r="R390" s="54" t="e">
        <f>'Product info'!#REF!</f>
        <v>#REF!</v>
      </c>
      <c r="S390" s="54" t="e">
        <f>'Product info'!#REF!</f>
        <v>#REF!</v>
      </c>
      <c r="T390" s="50" t="e">
        <f>'Product info'!#REF!</f>
        <v>#REF!</v>
      </c>
      <c r="U390" s="52" t="e">
        <f t="shared" si="87"/>
        <v>#REF!</v>
      </c>
      <c r="V390" s="50" t="e">
        <f t="shared" si="88"/>
        <v>#REF!</v>
      </c>
      <c r="W390" s="50" t="e">
        <f t="shared" si="89"/>
        <v>#REF!</v>
      </c>
      <c r="X390" s="50" t="e">
        <f t="shared" si="90"/>
        <v>#REF!</v>
      </c>
      <c r="Y390" s="50" t="e">
        <f t="shared" si="91"/>
        <v>#REF!</v>
      </c>
      <c r="Z390" t="e">
        <f t="shared" si="92"/>
        <v>#REF!</v>
      </c>
    </row>
    <row r="391" spans="1:26" x14ac:dyDescent="0.4">
      <c r="A391" t="e">
        <f>'Product info'!#REF!</f>
        <v>#REF!</v>
      </c>
      <c r="B391" t="e">
        <f>'Product info'!#REF!</f>
        <v>#REF!</v>
      </c>
      <c r="C391" t="e">
        <f>'Product info'!#REF!</f>
        <v>#REF!</v>
      </c>
      <c r="D391" s="6" t="e">
        <f>'Product info'!#REF!</f>
        <v>#REF!</v>
      </c>
      <c r="E391" t="e">
        <f t="shared" si="80"/>
        <v>#REF!</v>
      </c>
      <c r="F391" s="50" t="e">
        <f>'Product info'!#REF!</f>
        <v>#REF!</v>
      </c>
      <c r="G391" s="50" t="e">
        <f>'Product info'!#REF!</f>
        <v>#REF!</v>
      </c>
      <c r="H391" s="50" t="e">
        <f>'Product info'!#REF!</f>
        <v>#REF!</v>
      </c>
      <c r="I391" s="50" t="e">
        <f>'Product info'!#REF!</f>
        <v>#REF!</v>
      </c>
      <c r="J391" s="51" t="e">
        <f>'Product info'!#REF!</f>
        <v>#REF!</v>
      </c>
      <c r="K391" s="52" t="e">
        <f t="shared" si="81"/>
        <v>#REF!</v>
      </c>
      <c r="L391" s="50" t="e">
        <f t="shared" si="82"/>
        <v>#REF!</v>
      </c>
      <c r="M391" s="50" t="e">
        <f t="shared" si="83"/>
        <v>#REF!</v>
      </c>
      <c r="N391" s="50" t="e">
        <f t="shared" si="84"/>
        <v>#REF!</v>
      </c>
      <c r="O391" s="50" t="e">
        <f t="shared" si="85"/>
        <v>#REF!</v>
      </c>
      <c r="P391" s="53" t="e">
        <f t="shared" si="86"/>
        <v>#REF!</v>
      </c>
      <c r="Q391" s="54" t="e">
        <f>'Product info'!#REF!</f>
        <v>#REF!</v>
      </c>
      <c r="R391" s="54" t="e">
        <f>'Product info'!#REF!</f>
        <v>#REF!</v>
      </c>
      <c r="S391" s="54" t="e">
        <f>'Product info'!#REF!</f>
        <v>#REF!</v>
      </c>
      <c r="T391" s="50" t="e">
        <f>'Product info'!#REF!</f>
        <v>#REF!</v>
      </c>
      <c r="U391" s="52" t="e">
        <f t="shared" si="87"/>
        <v>#REF!</v>
      </c>
      <c r="V391" s="50" t="e">
        <f t="shared" si="88"/>
        <v>#REF!</v>
      </c>
      <c r="W391" s="50" t="e">
        <f t="shared" si="89"/>
        <v>#REF!</v>
      </c>
      <c r="X391" s="50" t="e">
        <f t="shared" si="90"/>
        <v>#REF!</v>
      </c>
      <c r="Y391" s="50" t="e">
        <f t="shared" si="91"/>
        <v>#REF!</v>
      </c>
      <c r="Z391" t="e">
        <f t="shared" si="92"/>
        <v>#REF!</v>
      </c>
    </row>
    <row r="392" spans="1:26" x14ac:dyDescent="0.4">
      <c r="A392" t="e">
        <f>'Product info'!#REF!</f>
        <v>#REF!</v>
      </c>
      <c r="B392" t="e">
        <f>'Product info'!#REF!</f>
        <v>#REF!</v>
      </c>
      <c r="C392" t="e">
        <f>'Product info'!#REF!</f>
        <v>#REF!</v>
      </c>
      <c r="D392" s="6" t="e">
        <f>'Product info'!#REF!</f>
        <v>#REF!</v>
      </c>
      <c r="E392" t="e">
        <f t="shared" si="80"/>
        <v>#REF!</v>
      </c>
      <c r="F392" s="50" t="e">
        <f>'Product info'!#REF!</f>
        <v>#REF!</v>
      </c>
      <c r="G392" s="50" t="e">
        <f>'Product info'!#REF!</f>
        <v>#REF!</v>
      </c>
      <c r="H392" s="50" t="e">
        <f>'Product info'!#REF!</f>
        <v>#REF!</v>
      </c>
      <c r="I392" s="50" t="e">
        <f>'Product info'!#REF!</f>
        <v>#REF!</v>
      </c>
      <c r="J392" s="51" t="e">
        <f>'Product info'!#REF!</f>
        <v>#REF!</v>
      </c>
      <c r="K392" s="52" t="e">
        <f t="shared" si="81"/>
        <v>#REF!</v>
      </c>
      <c r="L392" s="50" t="e">
        <f t="shared" si="82"/>
        <v>#REF!</v>
      </c>
      <c r="M392" s="50" t="e">
        <f t="shared" si="83"/>
        <v>#REF!</v>
      </c>
      <c r="N392" s="50" t="e">
        <f t="shared" si="84"/>
        <v>#REF!</v>
      </c>
      <c r="O392" s="50" t="e">
        <f t="shared" si="85"/>
        <v>#REF!</v>
      </c>
      <c r="P392" s="53" t="e">
        <f t="shared" si="86"/>
        <v>#REF!</v>
      </c>
      <c r="Q392" s="54" t="e">
        <f>'Product info'!#REF!</f>
        <v>#REF!</v>
      </c>
      <c r="R392" s="54" t="e">
        <f>'Product info'!#REF!</f>
        <v>#REF!</v>
      </c>
      <c r="S392" s="54" t="e">
        <f>'Product info'!#REF!</f>
        <v>#REF!</v>
      </c>
      <c r="T392" s="50" t="e">
        <f>'Product info'!#REF!</f>
        <v>#REF!</v>
      </c>
      <c r="U392" s="52" t="e">
        <f t="shared" si="87"/>
        <v>#REF!</v>
      </c>
      <c r="V392" s="50" t="e">
        <f t="shared" si="88"/>
        <v>#REF!</v>
      </c>
      <c r="W392" s="50" t="e">
        <f t="shared" si="89"/>
        <v>#REF!</v>
      </c>
      <c r="X392" s="50" t="e">
        <f t="shared" si="90"/>
        <v>#REF!</v>
      </c>
      <c r="Y392" s="50" t="e">
        <f t="shared" si="91"/>
        <v>#REF!</v>
      </c>
      <c r="Z392" t="e">
        <f t="shared" si="92"/>
        <v>#REF!</v>
      </c>
    </row>
    <row r="393" spans="1:26" x14ac:dyDescent="0.4">
      <c r="A393" t="e">
        <f>'Product info'!#REF!</f>
        <v>#REF!</v>
      </c>
      <c r="B393" t="e">
        <f>'Product info'!#REF!</f>
        <v>#REF!</v>
      </c>
      <c r="C393" t="e">
        <f>'Product info'!#REF!</f>
        <v>#REF!</v>
      </c>
      <c r="D393" s="6" t="e">
        <f>'Product info'!#REF!</f>
        <v>#REF!</v>
      </c>
      <c r="E393" t="e">
        <f t="shared" si="80"/>
        <v>#REF!</v>
      </c>
      <c r="F393" s="50" t="e">
        <f>'Product info'!#REF!</f>
        <v>#REF!</v>
      </c>
      <c r="G393" s="50" t="e">
        <f>'Product info'!#REF!</f>
        <v>#REF!</v>
      </c>
      <c r="H393" s="50" t="e">
        <f>'Product info'!#REF!</f>
        <v>#REF!</v>
      </c>
      <c r="I393" s="50" t="e">
        <f>'Product info'!#REF!</f>
        <v>#REF!</v>
      </c>
      <c r="J393" s="51" t="e">
        <f>'Product info'!#REF!</f>
        <v>#REF!</v>
      </c>
      <c r="K393" s="52" t="e">
        <f t="shared" si="81"/>
        <v>#REF!</v>
      </c>
      <c r="L393" s="50" t="e">
        <f t="shared" si="82"/>
        <v>#REF!</v>
      </c>
      <c r="M393" s="50" t="e">
        <f t="shared" si="83"/>
        <v>#REF!</v>
      </c>
      <c r="N393" s="50" t="e">
        <f t="shared" si="84"/>
        <v>#REF!</v>
      </c>
      <c r="O393" s="50" t="e">
        <f t="shared" si="85"/>
        <v>#REF!</v>
      </c>
      <c r="P393" s="53" t="e">
        <f t="shared" si="86"/>
        <v>#REF!</v>
      </c>
      <c r="Q393" s="54" t="e">
        <f>'Product info'!#REF!</f>
        <v>#REF!</v>
      </c>
      <c r="R393" s="54" t="e">
        <f>'Product info'!#REF!</f>
        <v>#REF!</v>
      </c>
      <c r="S393" s="54" t="e">
        <f>'Product info'!#REF!</f>
        <v>#REF!</v>
      </c>
      <c r="T393" s="50" t="e">
        <f>'Product info'!#REF!</f>
        <v>#REF!</v>
      </c>
      <c r="U393" s="52" t="e">
        <f t="shared" si="87"/>
        <v>#REF!</v>
      </c>
      <c r="V393" s="50" t="e">
        <f t="shared" si="88"/>
        <v>#REF!</v>
      </c>
      <c r="W393" s="50" t="e">
        <f t="shared" si="89"/>
        <v>#REF!</v>
      </c>
      <c r="X393" s="50" t="e">
        <f t="shared" si="90"/>
        <v>#REF!</v>
      </c>
      <c r="Y393" s="50" t="e">
        <f t="shared" si="91"/>
        <v>#REF!</v>
      </c>
      <c r="Z393" t="e">
        <f t="shared" si="92"/>
        <v>#REF!</v>
      </c>
    </row>
    <row r="394" spans="1:26" x14ac:dyDescent="0.4">
      <c r="A394" t="e">
        <f>'Product info'!#REF!</f>
        <v>#REF!</v>
      </c>
      <c r="B394" t="e">
        <f>'Product info'!#REF!</f>
        <v>#REF!</v>
      </c>
      <c r="C394" t="e">
        <f>'Product info'!#REF!</f>
        <v>#REF!</v>
      </c>
      <c r="D394" s="6" t="e">
        <f>'Product info'!#REF!</f>
        <v>#REF!</v>
      </c>
      <c r="E394" t="e">
        <f t="shared" si="80"/>
        <v>#REF!</v>
      </c>
      <c r="F394" s="50" t="e">
        <f>'Product info'!#REF!</f>
        <v>#REF!</v>
      </c>
      <c r="G394" s="50" t="e">
        <f>'Product info'!#REF!</f>
        <v>#REF!</v>
      </c>
      <c r="H394" s="50" t="e">
        <f>'Product info'!#REF!</f>
        <v>#REF!</v>
      </c>
      <c r="I394" s="50" t="e">
        <f>'Product info'!#REF!</f>
        <v>#REF!</v>
      </c>
      <c r="J394" s="51" t="e">
        <f>'Product info'!#REF!</f>
        <v>#REF!</v>
      </c>
      <c r="K394" s="52" t="e">
        <f t="shared" si="81"/>
        <v>#REF!</v>
      </c>
      <c r="L394" s="50" t="e">
        <f t="shared" si="82"/>
        <v>#REF!</v>
      </c>
      <c r="M394" s="50" t="e">
        <f t="shared" si="83"/>
        <v>#REF!</v>
      </c>
      <c r="N394" s="50" t="e">
        <f t="shared" si="84"/>
        <v>#REF!</v>
      </c>
      <c r="O394" s="50" t="e">
        <f t="shared" si="85"/>
        <v>#REF!</v>
      </c>
      <c r="P394" s="53" t="e">
        <f t="shared" si="86"/>
        <v>#REF!</v>
      </c>
      <c r="Q394" s="54" t="e">
        <f>'Product info'!#REF!</f>
        <v>#REF!</v>
      </c>
      <c r="R394" s="54" t="e">
        <f>'Product info'!#REF!</f>
        <v>#REF!</v>
      </c>
      <c r="S394" s="54" t="e">
        <f>'Product info'!#REF!</f>
        <v>#REF!</v>
      </c>
      <c r="T394" s="50" t="e">
        <f>'Product info'!#REF!</f>
        <v>#REF!</v>
      </c>
      <c r="U394" s="52" t="e">
        <f t="shared" si="87"/>
        <v>#REF!</v>
      </c>
      <c r="V394" s="50" t="e">
        <f t="shared" si="88"/>
        <v>#REF!</v>
      </c>
      <c r="W394" s="50" t="e">
        <f t="shared" si="89"/>
        <v>#REF!</v>
      </c>
      <c r="X394" s="50" t="e">
        <f t="shared" si="90"/>
        <v>#REF!</v>
      </c>
      <c r="Y394" s="50" t="e">
        <f t="shared" si="91"/>
        <v>#REF!</v>
      </c>
      <c r="Z394" t="e">
        <f t="shared" si="92"/>
        <v>#REF!</v>
      </c>
    </row>
    <row r="395" spans="1:26" x14ac:dyDescent="0.4">
      <c r="A395" t="e">
        <f>'Product info'!#REF!</f>
        <v>#REF!</v>
      </c>
      <c r="B395" t="e">
        <f>'Product info'!#REF!</f>
        <v>#REF!</v>
      </c>
      <c r="C395" t="e">
        <f>'Product info'!#REF!</f>
        <v>#REF!</v>
      </c>
      <c r="D395" s="6" t="e">
        <f>'Product info'!#REF!</f>
        <v>#REF!</v>
      </c>
      <c r="E395" t="e">
        <f t="shared" si="80"/>
        <v>#REF!</v>
      </c>
      <c r="F395" s="50" t="e">
        <f>'Product info'!#REF!</f>
        <v>#REF!</v>
      </c>
      <c r="G395" s="50" t="e">
        <f>'Product info'!#REF!</f>
        <v>#REF!</v>
      </c>
      <c r="H395" s="50" t="e">
        <f>'Product info'!#REF!</f>
        <v>#REF!</v>
      </c>
      <c r="I395" s="50" t="e">
        <f>'Product info'!#REF!</f>
        <v>#REF!</v>
      </c>
      <c r="J395" s="51" t="e">
        <f>'Product info'!#REF!</f>
        <v>#REF!</v>
      </c>
      <c r="K395" s="52" t="e">
        <f t="shared" si="81"/>
        <v>#REF!</v>
      </c>
      <c r="L395" s="50" t="e">
        <f t="shared" si="82"/>
        <v>#REF!</v>
      </c>
      <c r="M395" s="50" t="e">
        <f t="shared" si="83"/>
        <v>#REF!</v>
      </c>
      <c r="N395" s="50" t="e">
        <f t="shared" si="84"/>
        <v>#REF!</v>
      </c>
      <c r="O395" s="50" t="e">
        <f t="shared" si="85"/>
        <v>#REF!</v>
      </c>
      <c r="P395" s="53" t="e">
        <f t="shared" si="86"/>
        <v>#REF!</v>
      </c>
      <c r="Q395" s="54" t="e">
        <f>'Product info'!#REF!</f>
        <v>#REF!</v>
      </c>
      <c r="R395" s="54" t="e">
        <f>'Product info'!#REF!</f>
        <v>#REF!</v>
      </c>
      <c r="S395" s="54" t="e">
        <f>'Product info'!#REF!</f>
        <v>#REF!</v>
      </c>
      <c r="T395" s="50" t="e">
        <f>'Product info'!#REF!</f>
        <v>#REF!</v>
      </c>
      <c r="U395" s="52" t="e">
        <f t="shared" si="87"/>
        <v>#REF!</v>
      </c>
      <c r="V395" s="50" t="e">
        <f t="shared" si="88"/>
        <v>#REF!</v>
      </c>
      <c r="W395" s="50" t="e">
        <f t="shared" si="89"/>
        <v>#REF!</v>
      </c>
      <c r="X395" s="50" t="e">
        <f t="shared" si="90"/>
        <v>#REF!</v>
      </c>
      <c r="Y395" s="50" t="e">
        <f t="shared" si="91"/>
        <v>#REF!</v>
      </c>
      <c r="Z395" t="e">
        <f t="shared" si="92"/>
        <v>#REF!</v>
      </c>
    </row>
    <row r="396" spans="1:26" x14ac:dyDescent="0.4">
      <c r="A396" t="e">
        <f>'Product info'!#REF!</f>
        <v>#REF!</v>
      </c>
      <c r="B396" t="e">
        <f>'Product info'!#REF!</f>
        <v>#REF!</v>
      </c>
      <c r="C396" t="e">
        <f>'Product info'!#REF!</f>
        <v>#REF!</v>
      </c>
      <c r="D396" s="6" t="e">
        <f>'Product info'!#REF!</f>
        <v>#REF!</v>
      </c>
      <c r="E396" t="e">
        <f t="shared" si="80"/>
        <v>#REF!</v>
      </c>
      <c r="F396" s="50" t="e">
        <f>'Product info'!#REF!</f>
        <v>#REF!</v>
      </c>
      <c r="G396" s="50" t="e">
        <f>'Product info'!#REF!</f>
        <v>#REF!</v>
      </c>
      <c r="H396" s="50" t="e">
        <f>'Product info'!#REF!</f>
        <v>#REF!</v>
      </c>
      <c r="I396" s="50" t="e">
        <f>'Product info'!#REF!</f>
        <v>#REF!</v>
      </c>
      <c r="J396" s="51" t="e">
        <f>'Product info'!#REF!</f>
        <v>#REF!</v>
      </c>
      <c r="K396" s="52" t="e">
        <f t="shared" si="81"/>
        <v>#REF!</v>
      </c>
      <c r="L396" s="50" t="e">
        <f t="shared" si="82"/>
        <v>#REF!</v>
      </c>
      <c r="M396" s="50" t="e">
        <f t="shared" si="83"/>
        <v>#REF!</v>
      </c>
      <c r="N396" s="50" t="e">
        <f t="shared" si="84"/>
        <v>#REF!</v>
      </c>
      <c r="O396" s="50" t="e">
        <f t="shared" si="85"/>
        <v>#REF!</v>
      </c>
      <c r="P396" s="53" t="e">
        <f t="shared" si="86"/>
        <v>#REF!</v>
      </c>
      <c r="Q396" s="54" t="e">
        <f>'Product info'!#REF!</f>
        <v>#REF!</v>
      </c>
      <c r="R396" s="54" t="e">
        <f>'Product info'!#REF!</f>
        <v>#REF!</v>
      </c>
      <c r="S396" s="54" t="e">
        <f>'Product info'!#REF!</f>
        <v>#REF!</v>
      </c>
      <c r="T396" s="50" t="e">
        <f>'Product info'!#REF!</f>
        <v>#REF!</v>
      </c>
      <c r="U396" s="52" t="e">
        <f t="shared" si="87"/>
        <v>#REF!</v>
      </c>
      <c r="V396" s="50" t="e">
        <f t="shared" si="88"/>
        <v>#REF!</v>
      </c>
      <c r="W396" s="50" t="e">
        <f t="shared" si="89"/>
        <v>#REF!</v>
      </c>
      <c r="X396" s="50" t="e">
        <f t="shared" si="90"/>
        <v>#REF!</v>
      </c>
      <c r="Y396" s="50" t="e">
        <f t="shared" si="91"/>
        <v>#REF!</v>
      </c>
      <c r="Z396" t="e">
        <f t="shared" si="92"/>
        <v>#REF!</v>
      </c>
    </row>
    <row r="397" spans="1:26" x14ac:dyDescent="0.4">
      <c r="A397" t="e">
        <f>'Product info'!#REF!</f>
        <v>#REF!</v>
      </c>
      <c r="B397" t="e">
        <f>'Product info'!#REF!</f>
        <v>#REF!</v>
      </c>
      <c r="C397" t="e">
        <f>'Product info'!#REF!</f>
        <v>#REF!</v>
      </c>
      <c r="D397" s="6" t="e">
        <f>'Product info'!#REF!</f>
        <v>#REF!</v>
      </c>
      <c r="E397" t="e">
        <f t="shared" si="80"/>
        <v>#REF!</v>
      </c>
      <c r="F397" s="50" t="e">
        <f>'Product info'!#REF!</f>
        <v>#REF!</v>
      </c>
      <c r="G397" s="50" t="e">
        <f>'Product info'!#REF!</f>
        <v>#REF!</v>
      </c>
      <c r="H397" s="50" t="e">
        <f>'Product info'!#REF!</f>
        <v>#REF!</v>
      </c>
      <c r="I397" s="50" t="e">
        <f>'Product info'!#REF!</f>
        <v>#REF!</v>
      </c>
      <c r="J397" s="51" t="e">
        <f>'Product info'!#REF!</f>
        <v>#REF!</v>
      </c>
      <c r="K397" s="52" t="e">
        <f t="shared" si="81"/>
        <v>#REF!</v>
      </c>
      <c r="L397" s="50" t="e">
        <f t="shared" si="82"/>
        <v>#REF!</v>
      </c>
      <c r="M397" s="50" t="e">
        <f t="shared" si="83"/>
        <v>#REF!</v>
      </c>
      <c r="N397" s="50" t="e">
        <f t="shared" si="84"/>
        <v>#REF!</v>
      </c>
      <c r="O397" s="50" t="e">
        <f t="shared" si="85"/>
        <v>#REF!</v>
      </c>
      <c r="P397" s="53" t="e">
        <f t="shared" si="86"/>
        <v>#REF!</v>
      </c>
      <c r="Q397" s="54" t="e">
        <f>'Product info'!#REF!</f>
        <v>#REF!</v>
      </c>
      <c r="R397" s="54" t="e">
        <f>'Product info'!#REF!</f>
        <v>#REF!</v>
      </c>
      <c r="S397" s="54" t="e">
        <f>'Product info'!#REF!</f>
        <v>#REF!</v>
      </c>
      <c r="T397" s="50" t="e">
        <f>'Product info'!#REF!</f>
        <v>#REF!</v>
      </c>
      <c r="U397" s="52" t="e">
        <f t="shared" si="87"/>
        <v>#REF!</v>
      </c>
      <c r="V397" s="50" t="e">
        <f t="shared" si="88"/>
        <v>#REF!</v>
      </c>
      <c r="W397" s="50" t="e">
        <f t="shared" si="89"/>
        <v>#REF!</v>
      </c>
      <c r="X397" s="50" t="e">
        <f t="shared" si="90"/>
        <v>#REF!</v>
      </c>
      <c r="Y397" s="50" t="e">
        <f t="shared" si="91"/>
        <v>#REF!</v>
      </c>
      <c r="Z397" t="e">
        <f t="shared" si="92"/>
        <v>#REF!</v>
      </c>
    </row>
    <row r="398" spans="1:26" x14ac:dyDescent="0.4">
      <c r="A398" t="e">
        <f>'Product info'!#REF!</f>
        <v>#REF!</v>
      </c>
      <c r="B398" t="e">
        <f>'Product info'!#REF!</f>
        <v>#REF!</v>
      </c>
      <c r="C398" t="e">
        <f>'Product info'!#REF!</f>
        <v>#REF!</v>
      </c>
      <c r="D398" s="6" t="e">
        <f>'Product info'!#REF!</f>
        <v>#REF!</v>
      </c>
      <c r="E398" t="e">
        <f t="shared" si="80"/>
        <v>#REF!</v>
      </c>
      <c r="F398" s="50" t="e">
        <f>'Product info'!#REF!</f>
        <v>#REF!</v>
      </c>
      <c r="G398" s="50" t="e">
        <f>'Product info'!#REF!</f>
        <v>#REF!</v>
      </c>
      <c r="H398" s="50" t="e">
        <f>'Product info'!#REF!</f>
        <v>#REF!</v>
      </c>
      <c r="I398" s="50" t="e">
        <f>'Product info'!#REF!</f>
        <v>#REF!</v>
      </c>
      <c r="J398" s="51" t="e">
        <f>'Product info'!#REF!</f>
        <v>#REF!</v>
      </c>
      <c r="K398" s="52" t="e">
        <f t="shared" si="81"/>
        <v>#REF!</v>
      </c>
      <c r="L398" s="50" t="e">
        <f t="shared" si="82"/>
        <v>#REF!</v>
      </c>
      <c r="M398" s="50" t="e">
        <f t="shared" si="83"/>
        <v>#REF!</v>
      </c>
      <c r="N398" s="50" t="e">
        <f t="shared" si="84"/>
        <v>#REF!</v>
      </c>
      <c r="O398" s="50" t="e">
        <f t="shared" si="85"/>
        <v>#REF!</v>
      </c>
      <c r="P398" s="53" t="e">
        <f t="shared" si="86"/>
        <v>#REF!</v>
      </c>
      <c r="Q398" s="54" t="e">
        <f>'Product info'!#REF!</f>
        <v>#REF!</v>
      </c>
      <c r="R398" s="54" t="e">
        <f>'Product info'!#REF!</f>
        <v>#REF!</v>
      </c>
      <c r="S398" s="54" t="e">
        <f>'Product info'!#REF!</f>
        <v>#REF!</v>
      </c>
      <c r="T398" s="50" t="e">
        <f>'Product info'!#REF!</f>
        <v>#REF!</v>
      </c>
      <c r="U398" s="52" t="e">
        <f t="shared" si="87"/>
        <v>#REF!</v>
      </c>
      <c r="V398" s="50" t="e">
        <f t="shared" si="88"/>
        <v>#REF!</v>
      </c>
      <c r="W398" s="50" t="e">
        <f t="shared" si="89"/>
        <v>#REF!</v>
      </c>
      <c r="X398" s="50" t="e">
        <f t="shared" si="90"/>
        <v>#REF!</v>
      </c>
      <c r="Y398" s="50" t="e">
        <f t="shared" si="91"/>
        <v>#REF!</v>
      </c>
      <c r="Z398" t="e">
        <f t="shared" si="92"/>
        <v>#REF!</v>
      </c>
    </row>
    <row r="399" spans="1:26" x14ac:dyDescent="0.4">
      <c r="A399" t="e">
        <f>'Product info'!#REF!</f>
        <v>#REF!</v>
      </c>
      <c r="B399" t="e">
        <f>'Product info'!#REF!</f>
        <v>#REF!</v>
      </c>
      <c r="C399" t="e">
        <f>'Product info'!#REF!</f>
        <v>#REF!</v>
      </c>
      <c r="D399" s="6" t="e">
        <f>'Product info'!#REF!</f>
        <v>#REF!</v>
      </c>
      <c r="E399" t="e">
        <f t="shared" si="80"/>
        <v>#REF!</v>
      </c>
      <c r="F399" s="50" t="e">
        <f>'Product info'!#REF!</f>
        <v>#REF!</v>
      </c>
      <c r="G399" s="50" t="e">
        <f>'Product info'!#REF!</f>
        <v>#REF!</v>
      </c>
      <c r="H399" s="50" t="e">
        <f>'Product info'!#REF!</f>
        <v>#REF!</v>
      </c>
      <c r="I399" s="50" t="e">
        <f>'Product info'!#REF!</f>
        <v>#REF!</v>
      </c>
      <c r="J399" s="51" t="e">
        <f>'Product info'!#REF!</f>
        <v>#REF!</v>
      </c>
      <c r="K399" s="52" t="e">
        <f t="shared" si="81"/>
        <v>#REF!</v>
      </c>
      <c r="L399" s="50" t="e">
        <f t="shared" si="82"/>
        <v>#REF!</v>
      </c>
      <c r="M399" s="50" t="e">
        <f t="shared" si="83"/>
        <v>#REF!</v>
      </c>
      <c r="N399" s="50" t="e">
        <f t="shared" si="84"/>
        <v>#REF!</v>
      </c>
      <c r="O399" s="50" t="e">
        <f t="shared" si="85"/>
        <v>#REF!</v>
      </c>
      <c r="P399" s="53" t="e">
        <f t="shared" si="86"/>
        <v>#REF!</v>
      </c>
      <c r="Q399" s="54" t="e">
        <f>'Product info'!#REF!</f>
        <v>#REF!</v>
      </c>
      <c r="R399" s="54" t="e">
        <f>'Product info'!#REF!</f>
        <v>#REF!</v>
      </c>
      <c r="S399" s="54" t="e">
        <f>'Product info'!#REF!</f>
        <v>#REF!</v>
      </c>
      <c r="T399" s="50" t="e">
        <f>'Product info'!#REF!</f>
        <v>#REF!</v>
      </c>
      <c r="U399" s="52" t="e">
        <f t="shared" si="87"/>
        <v>#REF!</v>
      </c>
      <c r="V399" s="50" t="e">
        <f t="shared" si="88"/>
        <v>#REF!</v>
      </c>
      <c r="W399" s="50" t="e">
        <f t="shared" si="89"/>
        <v>#REF!</v>
      </c>
      <c r="X399" s="50" t="e">
        <f t="shared" si="90"/>
        <v>#REF!</v>
      </c>
      <c r="Y399" s="50" t="e">
        <f t="shared" si="91"/>
        <v>#REF!</v>
      </c>
      <c r="Z399" t="e">
        <f t="shared" si="92"/>
        <v>#REF!</v>
      </c>
    </row>
    <row r="400" spans="1:26" x14ac:dyDescent="0.4">
      <c r="A400" t="e">
        <f>'Product info'!#REF!</f>
        <v>#REF!</v>
      </c>
      <c r="B400" t="e">
        <f>'Product info'!#REF!</f>
        <v>#REF!</v>
      </c>
      <c r="C400" t="e">
        <f>'Product info'!#REF!</f>
        <v>#REF!</v>
      </c>
      <c r="D400" s="6" t="e">
        <f>'Product info'!#REF!</f>
        <v>#REF!</v>
      </c>
      <c r="E400" t="e">
        <f t="shared" si="80"/>
        <v>#REF!</v>
      </c>
      <c r="F400" s="50" t="e">
        <f>'Product info'!#REF!</f>
        <v>#REF!</v>
      </c>
      <c r="G400" s="50" t="e">
        <f>'Product info'!#REF!</f>
        <v>#REF!</v>
      </c>
      <c r="H400" s="50" t="e">
        <f>'Product info'!#REF!</f>
        <v>#REF!</v>
      </c>
      <c r="I400" s="50" t="e">
        <f>'Product info'!#REF!</f>
        <v>#REF!</v>
      </c>
      <c r="J400" s="51" t="e">
        <f>'Product info'!#REF!</f>
        <v>#REF!</v>
      </c>
      <c r="K400" s="52" t="e">
        <f t="shared" si="81"/>
        <v>#REF!</v>
      </c>
      <c r="L400" s="50" t="e">
        <f t="shared" si="82"/>
        <v>#REF!</v>
      </c>
      <c r="M400" s="50" t="e">
        <f t="shared" si="83"/>
        <v>#REF!</v>
      </c>
      <c r="N400" s="50" t="e">
        <f t="shared" si="84"/>
        <v>#REF!</v>
      </c>
      <c r="O400" s="50" t="e">
        <f t="shared" si="85"/>
        <v>#REF!</v>
      </c>
      <c r="P400" s="53" t="e">
        <f t="shared" si="86"/>
        <v>#REF!</v>
      </c>
      <c r="Q400" s="54" t="e">
        <f>'Product info'!#REF!</f>
        <v>#REF!</v>
      </c>
      <c r="R400" s="54" t="e">
        <f>'Product info'!#REF!</f>
        <v>#REF!</v>
      </c>
      <c r="S400" s="54" t="e">
        <f>'Product info'!#REF!</f>
        <v>#REF!</v>
      </c>
      <c r="T400" s="50" t="e">
        <f>'Product info'!#REF!</f>
        <v>#REF!</v>
      </c>
      <c r="U400" s="52" t="e">
        <f t="shared" si="87"/>
        <v>#REF!</v>
      </c>
      <c r="V400" s="50" t="e">
        <f t="shared" si="88"/>
        <v>#REF!</v>
      </c>
      <c r="W400" s="50" t="e">
        <f t="shared" si="89"/>
        <v>#REF!</v>
      </c>
      <c r="X400" s="50" t="e">
        <f t="shared" si="90"/>
        <v>#REF!</v>
      </c>
      <c r="Y400" s="50" t="e">
        <f t="shared" si="91"/>
        <v>#REF!</v>
      </c>
      <c r="Z400" t="e">
        <f t="shared" si="92"/>
        <v>#REF!</v>
      </c>
    </row>
    <row r="401" spans="1:26" x14ac:dyDescent="0.4">
      <c r="A401" t="e">
        <f>'Product info'!#REF!</f>
        <v>#REF!</v>
      </c>
      <c r="B401" t="e">
        <f>'Product info'!#REF!</f>
        <v>#REF!</v>
      </c>
      <c r="C401" t="e">
        <f>'Product info'!#REF!</f>
        <v>#REF!</v>
      </c>
      <c r="D401" s="6" t="e">
        <f>'Product info'!#REF!</f>
        <v>#REF!</v>
      </c>
      <c r="E401" t="e">
        <f t="shared" si="80"/>
        <v>#REF!</v>
      </c>
      <c r="F401" s="50" t="e">
        <f>'Product info'!#REF!</f>
        <v>#REF!</v>
      </c>
      <c r="G401" s="50" t="e">
        <f>'Product info'!#REF!</f>
        <v>#REF!</v>
      </c>
      <c r="H401" s="50" t="e">
        <f>'Product info'!#REF!</f>
        <v>#REF!</v>
      </c>
      <c r="I401" s="50" t="e">
        <f>'Product info'!#REF!</f>
        <v>#REF!</v>
      </c>
      <c r="J401" s="51" t="e">
        <f>'Product info'!#REF!</f>
        <v>#REF!</v>
      </c>
      <c r="K401" s="52" t="e">
        <f t="shared" si="81"/>
        <v>#REF!</v>
      </c>
      <c r="L401" s="50" t="e">
        <f t="shared" si="82"/>
        <v>#REF!</v>
      </c>
      <c r="M401" s="50" t="e">
        <f t="shared" si="83"/>
        <v>#REF!</v>
      </c>
      <c r="N401" s="50" t="e">
        <f t="shared" si="84"/>
        <v>#REF!</v>
      </c>
      <c r="O401" s="50" t="e">
        <f t="shared" si="85"/>
        <v>#REF!</v>
      </c>
      <c r="P401" s="53" t="e">
        <f t="shared" si="86"/>
        <v>#REF!</v>
      </c>
      <c r="Q401" s="54" t="e">
        <f>'Product info'!#REF!</f>
        <v>#REF!</v>
      </c>
      <c r="R401" s="54" t="e">
        <f>'Product info'!#REF!</f>
        <v>#REF!</v>
      </c>
      <c r="S401" s="54" t="e">
        <f>'Product info'!#REF!</f>
        <v>#REF!</v>
      </c>
      <c r="T401" s="50" t="e">
        <f>'Product info'!#REF!</f>
        <v>#REF!</v>
      </c>
      <c r="U401" s="52" t="e">
        <f t="shared" si="87"/>
        <v>#REF!</v>
      </c>
      <c r="V401" s="50" t="e">
        <f t="shared" si="88"/>
        <v>#REF!</v>
      </c>
      <c r="W401" s="50" t="e">
        <f t="shared" si="89"/>
        <v>#REF!</v>
      </c>
      <c r="X401" s="50" t="e">
        <f t="shared" si="90"/>
        <v>#REF!</v>
      </c>
      <c r="Y401" s="50" t="e">
        <f t="shared" si="91"/>
        <v>#REF!</v>
      </c>
      <c r="Z401" t="e">
        <f t="shared" si="92"/>
        <v>#REF!</v>
      </c>
    </row>
    <row r="402" spans="1:26" x14ac:dyDescent="0.4">
      <c r="A402" t="e">
        <f>'Product info'!#REF!</f>
        <v>#REF!</v>
      </c>
      <c r="B402" t="e">
        <f>'Product info'!#REF!</f>
        <v>#REF!</v>
      </c>
      <c r="C402" t="e">
        <f>'Product info'!#REF!</f>
        <v>#REF!</v>
      </c>
      <c r="D402" s="6" t="e">
        <f>'Product info'!#REF!</f>
        <v>#REF!</v>
      </c>
      <c r="E402" t="e">
        <f t="shared" si="80"/>
        <v>#REF!</v>
      </c>
      <c r="F402" s="50" t="e">
        <f>'Product info'!#REF!</f>
        <v>#REF!</v>
      </c>
      <c r="G402" s="50" t="e">
        <f>'Product info'!#REF!</f>
        <v>#REF!</v>
      </c>
      <c r="H402" s="50" t="e">
        <f>'Product info'!#REF!</f>
        <v>#REF!</v>
      </c>
      <c r="I402" s="50" t="e">
        <f>'Product info'!#REF!</f>
        <v>#REF!</v>
      </c>
      <c r="J402" s="51" t="e">
        <f>'Product info'!#REF!</f>
        <v>#REF!</v>
      </c>
      <c r="K402" s="52" t="e">
        <f t="shared" si="81"/>
        <v>#REF!</v>
      </c>
      <c r="L402" s="50" t="e">
        <f t="shared" si="82"/>
        <v>#REF!</v>
      </c>
      <c r="M402" s="50" t="e">
        <f t="shared" si="83"/>
        <v>#REF!</v>
      </c>
      <c r="N402" s="50" t="e">
        <f t="shared" si="84"/>
        <v>#REF!</v>
      </c>
      <c r="O402" s="50" t="e">
        <f t="shared" si="85"/>
        <v>#REF!</v>
      </c>
      <c r="P402" s="53" t="e">
        <f t="shared" si="86"/>
        <v>#REF!</v>
      </c>
      <c r="Q402" s="54" t="e">
        <f>'Product info'!#REF!</f>
        <v>#REF!</v>
      </c>
      <c r="R402" s="54" t="e">
        <f>'Product info'!#REF!</f>
        <v>#REF!</v>
      </c>
      <c r="S402" s="54" t="e">
        <f>'Product info'!#REF!</f>
        <v>#REF!</v>
      </c>
      <c r="T402" s="50" t="e">
        <f>'Product info'!#REF!</f>
        <v>#REF!</v>
      </c>
      <c r="U402" s="52" t="e">
        <f t="shared" si="87"/>
        <v>#REF!</v>
      </c>
      <c r="V402" s="50" t="e">
        <f t="shared" si="88"/>
        <v>#REF!</v>
      </c>
      <c r="W402" s="50" t="e">
        <f t="shared" si="89"/>
        <v>#REF!</v>
      </c>
      <c r="X402" s="50" t="e">
        <f t="shared" si="90"/>
        <v>#REF!</v>
      </c>
      <c r="Y402" s="50" t="e">
        <f t="shared" si="91"/>
        <v>#REF!</v>
      </c>
      <c r="Z402" t="e">
        <f t="shared" si="92"/>
        <v>#REF!</v>
      </c>
    </row>
    <row r="403" spans="1:26" x14ac:dyDescent="0.4">
      <c r="A403" t="e">
        <f>'Product info'!#REF!</f>
        <v>#REF!</v>
      </c>
      <c r="B403" t="e">
        <f>'Product info'!#REF!</f>
        <v>#REF!</v>
      </c>
      <c r="C403" t="e">
        <f>'Product info'!#REF!</f>
        <v>#REF!</v>
      </c>
      <c r="D403" s="6" t="e">
        <f>'Product info'!#REF!</f>
        <v>#REF!</v>
      </c>
      <c r="E403" t="e">
        <f t="shared" si="80"/>
        <v>#REF!</v>
      </c>
      <c r="F403" s="50" t="e">
        <f>'Product info'!#REF!</f>
        <v>#REF!</v>
      </c>
      <c r="G403" s="50" t="e">
        <f>'Product info'!#REF!</f>
        <v>#REF!</v>
      </c>
      <c r="H403" s="50" t="e">
        <f>'Product info'!#REF!</f>
        <v>#REF!</v>
      </c>
      <c r="I403" s="50" t="e">
        <f>'Product info'!#REF!</f>
        <v>#REF!</v>
      </c>
      <c r="J403" s="51" t="e">
        <f>'Product info'!#REF!</f>
        <v>#REF!</v>
      </c>
      <c r="K403" s="52" t="e">
        <f t="shared" si="81"/>
        <v>#REF!</v>
      </c>
      <c r="L403" s="50" t="e">
        <f t="shared" si="82"/>
        <v>#REF!</v>
      </c>
      <c r="M403" s="50" t="e">
        <f t="shared" si="83"/>
        <v>#REF!</v>
      </c>
      <c r="N403" s="50" t="e">
        <f t="shared" si="84"/>
        <v>#REF!</v>
      </c>
      <c r="O403" s="50" t="e">
        <f t="shared" si="85"/>
        <v>#REF!</v>
      </c>
      <c r="P403" s="53" t="e">
        <f t="shared" si="86"/>
        <v>#REF!</v>
      </c>
      <c r="Q403" s="54" t="e">
        <f>'Product info'!#REF!</f>
        <v>#REF!</v>
      </c>
      <c r="R403" s="54" t="e">
        <f>'Product info'!#REF!</f>
        <v>#REF!</v>
      </c>
      <c r="S403" s="54" t="e">
        <f>'Product info'!#REF!</f>
        <v>#REF!</v>
      </c>
      <c r="T403" s="50" t="e">
        <f>'Product info'!#REF!</f>
        <v>#REF!</v>
      </c>
      <c r="U403" s="52" t="e">
        <f t="shared" si="87"/>
        <v>#REF!</v>
      </c>
      <c r="V403" s="50" t="e">
        <f t="shared" si="88"/>
        <v>#REF!</v>
      </c>
      <c r="W403" s="50" t="e">
        <f t="shared" si="89"/>
        <v>#REF!</v>
      </c>
      <c r="X403" s="50" t="e">
        <f t="shared" si="90"/>
        <v>#REF!</v>
      </c>
      <c r="Y403" s="50" t="e">
        <f t="shared" si="91"/>
        <v>#REF!</v>
      </c>
      <c r="Z403" t="e">
        <f t="shared" si="92"/>
        <v>#REF!</v>
      </c>
    </row>
    <row r="404" spans="1:26" x14ac:dyDescent="0.4">
      <c r="A404" t="e">
        <f>'Product info'!#REF!</f>
        <v>#REF!</v>
      </c>
      <c r="B404" t="e">
        <f>'Product info'!#REF!</f>
        <v>#REF!</v>
      </c>
      <c r="C404" t="e">
        <f>'Product info'!#REF!</f>
        <v>#REF!</v>
      </c>
      <c r="D404" s="6" t="e">
        <f>'Product info'!#REF!</f>
        <v>#REF!</v>
      </c>
      <c r="E404" t="e">
        <f t="shared" si="80"/>
        <v>#REF!</v>
      </c>
      <c r="F404" s="50" t="e">
        <f>'Product info'!#REF!</f>
        <v>#REF!</v>
      </c>
      <c r="G404" s="50" t="e">
        <f>'Product info'!#REF!</f>
        <v>#REF!</v>
      </c>
      <c r="H404" s="50" t="e">
        <f>'Product info'!#REF!</f>
        <v>#REF!</v>
      </c>
      <c r="I404" s="50" t="e">
        <f>'Product info'!#REF!</f>
        <v>#REF!</v>
      </c>
      <c r="J404" s="51" t="e">
        <f>'Product info'!#REF!</f>
        <v>#REF!</v>
      </c>
      <c r="K404" s="52" t="e">
        <f t="shared" si="81"/>
        <v>#REF!</v>
      </c>
      <c r="L404" s="50" t="e">
        <f t="shared" si="82"/>
        <v>#REF!</v>
      </c>
      <c r="M404" s="50" t="e">
        <f t="shared" si="83"/>
        <v>#REF!</v>
      </c>
      <c r="N404" s="50" t="e">
        <f t="shared" si="84"/>
        <v>#REF!</v>
      </c>
      <c r="O404" s="50" t="e">
        <f t="shared" si="85"/>
        <v>#REF!</v>
      </c>
      <c r="P404" s="53" t="e">
        <f t="shared" si="86"/>
        <v>#REF!</v>
      </c>
      <c r="Q404" s="54" t="e">
        <f>'Product info'!#REF!</f>
        <v>#REF!</v>
      </c>
      <c r="R404" s="54" t="e">
        <f>'Product info'!#REF!</f>
        <v>#REF!</v>
      </c>
      <c r="S404" s="54" t="e">
        <f>'Product info'!#REF!</f>
        <v>#REF!</v>
      </c>
      <c r="T404" s="50" t="e">
        <f>'Product info'!#REF!</f>
        <v>#REF!</v>
      </c>
      <c r="U404" s="52" t="e">
        <f t="shared" si="87"/>
        <v>#REF!</v>
      </c>
      <c r="V404" s="50" t="e">
        <f t="shared" si="88"/>
        <v>#REF!</v>
      </c>
      <c r="W404" s="50" t="e">
        <f t="shared" si="89"/>
        <v>#REF!</v>
      </c>
      <c r="X404" s="50" t="e">
        <f t="shared" si="90"/>
        <v>#REF!</v>
      </c>
      <c r="Y404" s="50" t="e">
        <f t="shared" si="91"/>
        <v>#REF!</v>
      </c>
      <c r="Z404" t="e">
        <f t="shared" si="92"/>
        <v>#REF!</v>
      </c>
    </row>
    <row r="405" spans="1:26" x14ac:dyDescent="0.4">
      <c r="A405" t="e">
        <f>'Product info'!#REF!</f>
        <v>#REF!</v>
      </c>
      <c r="B405" t="e">
        <f>'Product info'!#REF!</f>
        <v>#REF!</v>
      </c>
      <c r="C405" t="e">
        <f>'Product info'!#REF!</f>
        <v>#REF!</v>
      </c>
      <c r="D405" s="6" t="e">
        <f>'Product info'!#REF!</f>
        <v>#REF!</v>
      </c>
      <c r="E405" t="e">
        <f t="shared" si="80"/>
        <v>#REF!</v>
      </c>
      <c r="F405" s="50" t="e">
        <f>'Product info'!#REF!</f>
        <v>#REF!</v>
      </c>
      <c r="G405" s="50" t="e">
        <f>'Product info'!#REF!</f>
        <v>#REF!</v>
      </c>
      <c r="H405" s="50" t="e">
        <f>'Product info'!#REF!</f>
        <v>#REF!</v>
      </c>
      <c r="I405" s="50" t="e">
        <f>'Product info'!#REF!</f>
        <v>#REF!</v>
      </c>
      <c r="J405" s="51" t="e">
        <f>'Product info'!#REF!</f>
        <v>#REF!</v>
      </c>
      <c r="K405" s="52" t="e">
        <f t="shared" si="81"/>
        <v>#REF!</v>
      </c>
      <c r="L405" s="50" t="e">
        <f t="shared" si="82"/>
        <v>#REF!</v>
      </c>
      <c r="M405" s="50" t="e">
        <f t="shared" si="83"/>
        <v>#REF!</v>
      </c>
      <c r="N405" s="50" t="e">
        <f t="shared" si="84"/>
        <v>#REF!</v>
      </c>
      <c r="O405" s="50" t="e">
        <f t="shared" si="85"/>
        <v>#REF!</v>
      </c>
      <c r="P405" s="53" t="e">
        <f t="shared" si="86"/>
        <v>#REF!</v>
      </c>
      <c r="Q405" s="54" t="e">
        <f>'Product info'!#REF!</f>
        <v>#REF!</v>
      </c>
      <c r="R405" s="54" t="e">
        <f>'Product info'!#REF!</f>
        <v>#REF!</v>
      </c>
      <c r="S405" s="54" t="e">
        <f>'Product info'!#REF!</f>
        <v>#REF!</v>
      </c>
      <c r="T405" s="50" t="e">
        <f>'Product info'!#REF!</f>
        <v>#REF!</v>
      </c>
      <c r="U405" s="52" t="e">
        <f t="shared" si="87"/>
        <v>#REF!</v>
      </c>
      <c r="V405" s="50" t="e">
        <f t="shared" si="88"/>
        <v>#REF!</v>
      </c>
      <c r="W405" s="50" t="e">
        <f t="shared" si="89"/>
        <v>#REF!</v>
      </c>
      <c r="X405" s="50" t="e">
        <f t="shared" si="90"/>
        <v>#REF!</v>
      </c>
      <c r="Y405" s="50" t="e">
        <f t="shared" si="91"/>
        <v>#REF!</v>
      </c>
      <c r="Z405" t="e">
        <f t="shared" si="92"/>
        <v>#REF!</v>
      </c>
    </row>
    <row r="406" spans="1:26" x14ac:dyDescent="0.4">
      <c r="A406" t="e">
        <f>'Product info'!#REF!</f>
        <v>#REF!</v>
      </c>
      <c r="B406" t="e">
        <f>'Product info'!#REF!</f>
        <v>#REF!</v>
      </c>
      <c r="C406" t="e">
        <f>'Product info'!#REF!</f>
        <v>#REF!</v>
      </c>
      <c r="D406" s="6" t="e">
        <f>'Product info'!#REF!</f>
        <v>#REF!</v>
      </c>
      <c r="E406" t="e">
        <f t="shared" si="80"/>
        <v>#REF!</v>
      </c>
      <c r="F406" s="50" t="e">
        <f>'Product info'!#REF!</f>
        <v>#REF!</v>
      </c>
      <c r="G406" s="50" t="e">
        <f>'Product info'!#REF!</f>
        <v>#REF!</v>
      </c>
      <c r="H406" s="50" t="e">
        <f>'Product info'!#REF!</f>
        <v>#REF!</v>
      </c>
      <c r="I406" s="50" t="e">
        <f>'Product info'!#REF!</f>
        <v>#REF!</v>
      </c>
      <c r="J406" s="51" t="e">
        <f>'Product info'!#REF!</f>
        <v>#REF!</v>
      </c>
      <c r="K406" s="52" t="e">
        <f t="shared" si="81"/>
        <v>#REF!</v>
      </c>
      <c r="L406" s="50" t="e">
        <f t="shared" si="82"/>
        <v>#REF!</v>
      </c>
      <c r="M406" s="50" t="e">
        <f t="shared" si="83"/>
        <v>#REF!</v>
      </c>
      <c r="N406" s="50" t="e">
        <f t="shared" si="84"/>
        <v>#REF!</v>
      </c>
      <c r="O406" s="50" t="e">
        <f t="shared" si="85"/>
        <v>#REF!</v>
      </c>
      <c r="P406" s="53" t="e">
        <f t="shared" si="86"/>
        <v>#REF!</v>
      </c>
      <c r="Q406" s="54" t="e">
        <f>'Product info'!#REF!</f>
        <v>#REF!</v>
      </c>
      <c r="R406" s="54" t="e">
        <f>'Product info'!#REF!</f>
        <v>#REF!</v>
      </c>
      <c r="S406" s="54" t="e">
        <f>'Product info'!#REF!</f>
        <v>#REF!</v>
      </c>
      <c r="T406" s="50" t="e">
        <f>'Product info'!#REF!</f>
        <v>#REF!</v>
      </c>
      <c r="U406" s="52" t="e">
        <f t="shared" si="87"/>
        <v>#REF!</v>
      </c>
      <c r="V406" s="50" t="e">
        <f t="shared" si="88"/>
        <v>#REF!</v>
      </c>
      <c r="W406" s="50" t="e">
        <f t="shared" si="89"/>
        <v>#REF!</v>
      </c>
      <c r="X406" s="50" t="e">
        <f t="shared" si="90"/>
        <v>#REF!</v>
      </c>
      <c r="Y406" s="50" t="e">
        <f t="shared" si="91"/>
        <v>#REF!</v>
      </c>
      <c r="Z406" t="e">
        <f t="shared" si="92"/>
        <v>#REF!</v>
      </c>
    </row>
    <row r="407" spans="1:26" x14ac:dyDescent="0.4">
      <c r="A407" t="e">
        <f>'Product info'!#REF!</f>
        <v>#REF!</v>
      </c>
      <c r="B407" t="e">
        <f>'Product info'!#REF!</f>
        <v>#REF!</v>
      </c>
      <c r="C407" t="e">
        <f>'Product info'!#REF!</f>
        <v>#REF!</v>
      </c>
      <c r="D407" s="6" t="e">
        <f>'Product info'!#REF!</f>
        <v>#REF!</v>
      </c>
      <c r="E407" t="e">
        <f t="shared" si="80"/>
        <v>#REF!</v>
      </c>
      <c r="F407" s="50" t="e">
        <f>'Product info'!#REF!</f>
        <v>#REF!</v>
      </c>
      <c r="G407" s="50" t="e">
        <f>'Product info'!#REF!</f>
        <v>#REF!</v>
      </c>
      <c r="H407" s="50" t="e">
        <f>'Product info'!#REF!</f>
        <v>#REF!</v>
      </c>
      <c r="I407" s="50" t="e">
        <f>'Product info'!#REF!</f>
        <v>#REF!</v>
      </c>
      <c r="J407" s="51" t="e">
        <f>'Product info'!#REF!</f>
        <v>#REF!</v>
      </c>
      <c r="K407" s="52" t="e">
        <f t="shared" si="81"/>
        <v>#REF!</v>
      </c>
      <c r="L407" s="50" t="e">
        <f t="shared" si="82"/>
        <v>#REF!</v>
      </c>
      <c r="M407" s="50" t="e">
        <f t="shared" si="83"/>
        <v>#REF!</v>
      </c>
      <c r="N407" s="50" t="e">
        <f t="shared" si="84"/>
        <v>#REF!</v>
      </c>
      <c r="O407" s="50" t="e">
        <f t="shared" si="85"/>
        <v>#REF!</v>
      </c>
      <c r="P407" s="53" t="e">
        <f t="shared" si="86"/>
        <v>#REF!</v>
      </c>
      <c r="Q407" s="54" t="e">
        <f>'Product info'!#REF!</f>
        <v>#REF!</v>
      </c>
      <c r="R407" s="54" t="e">
        <f>'Product info'!#REF!</f>
        <v>#REF!</v>
      </c>
      <c r="S407" s="54" t="e">
        <f>'Product info'!#REF!</f>
        <v>#REF!</v>
      </c>
      <c r="T407" s="50" t="e">
        <f>'Product info'!#REF!</f>
        <v>#REF!</v>
      </c>
      <c r="U407" s="52" t="e">
        <f t="shared" si="87"/>
        <v>#REF!</v>
      </c>
      <c r="V407" s="50" t="e">
        <f t="shared" si="88"/>
        <v>#REF!</v>
      </c>
      <c r="W407" s="50" t="e">
        <f t="shared" si="89"/>
        <v>#REF!</v>
      </c>
      <c r="X407" s="50" t="e">
        <f t="shared" si="90"/>
        <v>#REF!</v>
      </c>
      <c r="Y407" s="50" t="e">
        <f t="shared" si="91"/>
        <v>#REF!</v>
      </c>
      <c r="Z407" t="e">
        <f t="shared" si="92"/>
        <v>#REF!</v>
      </c>
    </row>
    <row r="408" spans="1:26" x14ac:dyDescent="0.4">
      <c r="A408" t="e">
        <f>'Product info'!#REF!</f>
        <v>#REF!</v>
      </c>
      <c r="B408" t="e">
        <f>'Product info'!#REF!</f>
        <v>#REF!</v>
      </c>
      <c r="C408" t="e">
        <f>'Product info'!#REF!</f>
        <v>#REF!</v>
      </c>
      <c r="D408" s="6" t="e">
        <f>'Product info'!#REF!</f>
        <v>#REF!</v>
      </c>
      <c r="E408" t="e">
        <f t="shared" si="80"/>
        <v>#REF!</v>
      </c>
      <c r="F408" s="50" t="e">
        <f>'Product info'!#REF!</f>
        <v>#REF!</v>
      </c>
      <c r="G408" s="50" t="e">
        <f>'Product info'!#REF!</f>
        <v>#REF!</v>
      </c>
      <c r="H408" s="50" t="e">
        <f>'Product info'!#REF!</f>
        <v>#REF!</v>
      </c>
      <c r="I408" s="50" t="e">
        <f>'Product info'!#REF!</f>
        <v>#REF!</v>
      </c>
      <c r="J408" s="51" t="e">
        <f>'Product info'!#REF!</f>
        <v>#REF!</v>
      </c>
      <c r="K408" s="52" t="e">
        <f t="shared" si="81"/>
        <v>#REF!</v>
      </c>
      <c r="L408" s="50" t="e">
        <f t="shared" si="82"/>
        <v>#REF!</v>
      </c>
      <c r="M408" s="50" t="e">
        <f t="shared" si="83"/>
        <v>#REF!</v>
      </c>
      <c r="N408" s="50" t="e">
        <f t="shared" si="84"/>
        <v>#REF!</v>
      </c>
      <c r="O408" s="50" t="e">
        <f t="shared" si="85"/>
        <v>#REF!</v>
      </c>
      <c r="P408" s="53" t="e">
        <f t="shared" si="86"/>
        <v>#REF!</v>
      </c>
      <c r="Q408" s="54" t="e">
        <f>'Product info'!#REF!</f>
        <v>#REF!</v>
      </c>
      <c r="R408" s="54" t="e">
        <f>'Product info'!#REF!</f>
        <v>#REF!</v>
      </c>
      <c r="S408" s="54" t="e">
        <f>'Product info'!#REF!</f>
        <v>#REF!</v>
      </c>
      <c r="T408" s="50" t="e">
        <f>'Product info'!#REF!</f>
        <v>#REF!</v>
      </c>
      <c r="U408" s="52" t="e">
        <f t="shared" si="87"/>
        <v>#REF!</v>
      </c>
      <c r="V408" s="50" t="e">
        <f t="shared" si="88"/>
        <v>#REF!</v>
      </c>
      <c r="W408" s="50" t="e">
        <f t="shared" si="89"/>
        <v>#REF!</v>
      </c>
      <c r="X408" s="50" t="e">
        <f t="shared" si="90"/>
        <v>#REF!</v>
      </c>
      <c r="Y408" s="50" t="e">
        <f t="shared" si="91"/>
        <v>#REF!</v>
      </c>
      <c r="Z408" t="e">
        <f t="shared" si="92"/>
        <v>#REF!</v>
      </c>
    </row>
    <row r="409" spans="1:26" x14ac:dyDescent="0.4">
      <c r="A409" t="e">
        <f>'Product info'!#REF!</f>
        <v>#REF!</v>
      </c>
      <c r="B409" t="e">
        <f>'Product info'!#REF!</f>
        <v>#REF!</v>
      </c>
      <c r="C409" t="e">
        <f>'Product info'!#REF!</f>
        <v>#REF!</v>
      </c>
      <c r="D409" s="6" t="e">
        <f>'Product info'!#REF!</f>
        <v>#REF!</v>
      </c>
      <c r="E409" t="e">
        <f t="shared" si="80"/>
        <v>#REF!</v>
      </c>
      <c r="F409" s="50" t="e">
        <f>'Product info'!#REF!</f>
        <v>#REF!</v>
      </c>
      <c r="G409" s="50" t="e">
        <f>'Product info'!#REF!</f>
        <v>#REF!</v>
      </c>
      <c r="H409" s="50" t="e">
        <f>'Product info'!#REF!</f>
        <v>#REF!</v>
      </c>
      <c r="I409" s="50" t="e">
        <f>'Product info'!#REF!</f>
        <v>#REF!</v>
      </c>
      <c r="J409" s="51" t="e">
        <f>'Product info'!#REF!</f>
        <v>#REF!</v>
      </c>
      <c r="K409" s="52" t="e">
        <f t="shared" si="81"/>
        <v>#REF!</v>
      </c>
      <c r="L409" s="50" t="e">
        <f t="shared" si="82"/>
        <v>#REF!</v>
      </c>
      <c r="M409" s="50" t="e">
        <f t="shared" si="83"/>
        <v>#REF!</v>
      </c>
      <c r="N409" s="50" t="e">
        <f t="shared" si="84"/>
        <v>#REF!</v>
      </c>
      <c r="O409" s="50" t="e">
        <f t="shared" si="85"/>
        <v>#REF!</v>
      </c>
      <c r="P409" s="53" t="e">
        <f t="shared" si="86"/>
        <v>#REF!</v>
      </c>
      <c r="Q409" s="54" t="e">
        <f>'Product info'!#REF!</f>
        <v>#REF!</v>
      </c>
      <c r="R409" s="54" t="e">
        <f>'Product info'!#REF!</f>
        <v>#REF!</v>
      </c>
      <c r="S409" s="54" t="e">
        <f>'Product info'!#REF!</f>
        <v>#REF!</v>
      </c>
      <c r="T409" s="50" t="e">
        <f>'Product info'!#REF!</f>
        <v>#REF!</v>
      </c>
      <c r="U409" s="52" t="e">
        <f t="shared" si="87"/>
        <v>#REF!</v>
      </c>
      <c r="V409" s="50" t="e">
        <f t="shared" si="88"/>
        <v>#REF!</v>
      </c>
      <c r="W409" s="50" t="e">
        <f t="shared" si="89"/>
        <v>#REF!</v>
      </c>
      <c r="X409" s="50" t="e">
        <f t="shared" si="90"/>
        <v>#REF!</v>
      </c>
      <c r="Y409" s="50" t="e">
        <f t="shared" si="91"/>
        <v>#REF!</v>
      </c>
      <c r="Z409" t="e">
        <f t="shared" si="92"/>
        <v>#REF!</v>
      </c>
    </row>
    <row r="410" spans="1:26" x14ac:dyDescent="0.4">
      <c r="A410" t="e">
        <f>'Product info'!#REF!</f>
        <v>#REF!</v>
      </c>
      <c r="B410" t="e">
        <f>'Product info'!#REF!</f>
        <v>#REF!</v>
      </c>
      <c r="C410" t="e">
        <f>'Product info'!#REF!</f>
        <v>#REF!</v>
      </c>
      <c r="D410" s="6" t="e">
        <f>'Product info'!#REF!</f>
        <v>#REF!</v>
      </c>
      <c r="E410" t="e">
        <f t="shared" si="80"/>
        <v>#REF!</v>
      </c>
      <c r="F410" s="50" t="e">
        <f>'Product info'!#REF!</f>
        <v>#REF!</v>
      </c>
      <c r="G410" s="50" t="e">
        <f>'Product info'!#REF!</f>
        <v>#REF!</v>
      </c>
      <c r="H410" s="50" t="e">
        <f>'Product info'!#REF!</f>
        <v>#REF!</v>
      </c>
      <c r="I410" s="50" t="e">
        <f>'Product info'!#REF!</f>
        <v>#REF!</v>
      </c>
      <c r="J410" s="51" t="e">
        <f>'Product info'!#REF!</f>
        <v>#REF!</v>
      </c>
      <c r="K410" s="52" t="e">
        <f t="shared" si="81"/>
        <v>#REF!</v>
      </c>
      <c r="L410" s="50" t="e">
        <f t="shared" si="82"/>
        <v>#REF!</v>
      </c>
      <c r="M410" s="50" t="e">
        <f t="shared" si="83"/>
        <v>#REF!</v>
      </c>
      <c r="N410" s="50" t="e">
        <f t="shared" si="84"/>
        <v>#REF!</v>
      </c>
      <c r="O410" s="50" t="e">
        <f t="shared" si="85"/>
        <v>#REF!</v>
      </c>
      <c r="P410" s="53" t="e">
        <f t="shared" si="86"/>
        <v>#REF!</v>
      </c>
      <c r="Q410" s="54" t="e">
        <f>'Product info'!#REF!</f>
        <v>#REF!</v>
      </c>
      <c r="R410" s="54" t="e">
        <f>'Product info'!#REF!</f>
        <v>#REF!</v>
      </c>
      <c r="S410" s="54" t="e">
        <f>'Product info'!#REF!</f>
        <v>#REF!</v>
      </c>
      <c r="T410" s="50" t="e">
        <f>'Product info'!#REF!</f>
        <v>#REF!</v>
      </c>
      <c r="U410" s="52" t="e">
        <f t="shared" si="87"/>
        <v>#REF!</v>
      </c>
      <c r="V410" s="50" t="e">
        <f t="shared" si="88"/>
        <v>#REF!</v>
      </c>
      <c r="W410" s="50" t="e">
        <f t="shared" si="89"/>
        <v>#REF!</v>
      </c>
      <c r="X410" s="50" t="e">
        <f t="shared" si="90"/>
        <v>#REF!</v>
      </c>
      <c r="Y410" s="50" t="e">
        <f t="shared" si="91"/>
        <v>#REF!</v>
      </c>
      <c r="Z410" t="e">
        <f t="shared" si="92"/>
        <v>#REF!</v>
      </c>
    </row>
    <row r="411" spans="1:26" x14ac:dyDescent="0.4">
      <c r="A411" t="e">
        <f>'Product info'!#REF!</f>
        <v>#REF!</v>
      </c>
      <c r="B411" t="e">
        <f>'Product info'!#REF!</f>
        <v>#REF!</v>
      </c>
      <c r="C411" t="e">
        <f>'Product info'!#REF!</f>
        <v>#REF!</v>
      </c>
      <c r="D411" s="6" t="e">
        <f>'Product info'!#REF!</f>
        <v>#REF!</v>
      </c>
      <c r="E411" t="e">
        <f t="shared" si="80"/>
        <v>#REF!</v>
      </c>
      <c r="F411" s="50" t="e">
        <f>'Product info'!#REF!</f>
        <v>#REF!</v>
      </c>
      <c r="G411" s="50" t="e">
        <f>'Product info'!#REF!</f>
        <v>#REF!</v>
      </c>
      <c r="H411" s="50" t="e">
        <f>'Product info'!#REF!</f>
        <v>#REF!</v>
      </c>
      <c r="I411" s="50" t="e">
        <f>'Product info'!#REF!</f>
        <v>#REF!</v>
      </c>
      <c r="J411" s="51" t="e">
        <f>'Product info'!#REF!</f>
        <v>#REF!</v>
      </c>
      <c r="K411" s="52" t="e">
        <f t="shared" si="81"/>
        <v>#REF!</v>
      </c>
      <c r="L411" s="50" t="e">
        <f t="shared" si="82"/>
        <v>#REF!</v>
      </c>
      <c r="M411" s="50" t="e">
        <f t="shared" si="83"/>
        <v>#REF!</v>
      </c>
      <c r="N411" s="50" t="e">
        <f t="shared" si="84"/>
        <v>#REF!</v>
      </c>
      <c r="O411" s="50" t="e">
        <f t="shared" si="85"/>
        <v>#REF!</v>
      </c>
      <c r="P411" s="53" t="e">
        <f t="shared" si="86"/>
        <v>#REF!</v>
      </c>
      <c r="Q411" s="54" t="e">
        <f>'Product info'!#REF!</f>
        <v>#REF!</v>
      </c>
      <c r="R411" s="54" t="e">
        <f>'Product info'!#REF!</f>
        <v>#REF!</v>
      </c>
      <c r="S411" s="54" t="e">
        <f>'Product info'!#REF!</f>
        <v>#REF!</v>
      </c>
      <c r="T411" s="50" t="e">
        <f>'Product info'!#REF!</f>
        <v>#REF!</v>
      </c>
      <c r="U411" s="52" t="e">
        <f t="shared" si="87"/>
        <v>#REF!</v>
      </c>
      <c r="V411" s="50" t="e">
        <f t="shared" si="88"/>
        <v>#REF!</v>
      </c>
      <c r="W411" s="50" t="e">
        <f t="shared" si="89"/>
        <v>#REF!</v>
      </c>
      <c r="X411" s="50" t="e">
        <f t="shared" si="90"/>
        <v>#REF!</v>
      </c>
      <c r="Y411" s="50" t="e">
        <f t="shared" si="91"/>
        <v>#REF!</v>
      </c>
      <c r="Z411" t="e">
        <f t="shared" si="92"/>
        <v>#REF!</v>
      </c>
    </row>
    <row r="412" spans="1:26" x14ac:dyDescent="0.4">
      <c r="A412" t="e">
        <f>'Product info'!#REF!</f>
        <v>#REF!</v>
      </c>
      <c r="B412" t="e">
        <f>'Product info'!#REF!</f>
        <v>#REF!</v>
      </c>
      <c r="C412" t="e">
        <f>'Product info'!#REF!</f>
        <v>#REF!</v>
      </c>
      <c r="D412" s="6" t="e">
        <f>'Product info'!#REF!</f>
        <v>#REF!</v>
      </c>
      <c r="E412" t="e">
        <f t="shared" si="80"/>
        <v>#REF!</v>
      </c>
      <c r="F412" s="50" t="e">
        <f>'Product info'!#REF!</f>
        <v>#REF!</v>
      </c>
      <c r="G412" s="50" t="e">
        <f>'Product info'!#REF!</f>
        <v>#REF!</v>
      </c>
      <c r="H412" s="50" t="e">
        <f>'Product info'!#REF!</f>
        <v>#REF!</v>
      </c>
      <c r="I412" s="50" t="e">
        <f>'Product info'!#REF!</f>
        <v>#REF!</v>
      </c>
      <c r="J412" s="51" t="e">
        <f>'Product info'!#REF!</f>
        <v>#REF!</v>
      </c>
      <c r="K412" s="52" t="e">
        <f t="shared" si="81"/>
        <v>#REF!</v>
      </c>
      <c r="L412" s="50" t="e">
        <f t="shared" si="82"/>
        <v>#REF!</v>
      </c>
      <c r="M412" s="50" t="e">
        <f t="shared" si="83"/>
        <v>#REF!</v>
      </c>
      <c r="N412" s="50" t="e">
        <f t="shared" si="84"/>
        <v>#REF!</v>
      </c>
      <c r="O412" s="50" t="e">
        <f t="shared" si="85"/>
        <v>#REF!</v>
      </c>
      <c r="P412" s="53" t="e">
        <f t="shared" si="86"/>
        <v>#REF!</v>
      </c>
      <c r="Q412" s="54" t="e">
        <f>'Product info'!#REF!</f>
        <v>#REF!</v>
      </c>
      <c r="R412" s="54" t="e">
        <f>'Product info'!#REF!</f>
        <v>#REF!</v>
      </c>
      <c r="S412" s="54" t="e">
        <f>'Product info'!#REF!</f>
        <v>#REF!</v>
      </c>
      <c r="T412" s="50" t="e">
        <f>'Product info'!#REF!</f>
        <v>#REF!</v>
      </c>
      <c r="U412" s="52" t="e">
        <f t="shared" si="87"/>
        <v>#REF!</v>
      </c>
      <c r="V412" s="50" t="e">
        <f t="shared" si="88"/>
        <v>#REF!</v>
      </c>
      <c r="W412" s="50" t="e">
        <f t="shared" si="89"/>
        <v>#REF!</v>
      </c>
      <c r="X412" s="50" t="e">
        <f t="shared" si="90"/>
        <v>#REF!</v>
      </c>
      <c r="Y412" s="50" t="e">
        <f t="shared" si="91"/>
        <v>#REF!</v>
      </c>
      <c r="Z412" t="e">
        <f t="shared" si="92"/>
        <v>#REF!</v>
      </c>
    </row>
    <row r="413" spans="1:26" x14ac:dyDescent="0.4">
      <c r="A413" t="e">
        <f>'Product info'!#REF!</f>
        <v>#REF!</v>
      </c>
      <c r="B413" t="e">
        <f>'Product info'!#REF!</f>
        <v>#REF!</v>
      </c>
      <c r="C413" t="e">
        <f>'Product info'!#REF!</f>
        <v>#REF!</v>
      </c>
      <c r="D413" s="6" t="e">
        <f>'Product info'!#REF!</f>
        <v>#REF!</v>
      </c>
      <c r="E413" t="e">
        <f t="shared" si="80"/>
        <v>#REF!</v>
      </c>
      <c r="F413" s="50" t="e">
        <f>'Product info'!#REF!</f>
        <v>#REF!</v>
      </c>
      <c r="G413" s="50" t="e">
        <f>'Product info'!#REF!</f>
        <v>#REF!</v>
      </c>
      <c r="H413" s="50" t="e">
        <f>'Product info'!#REF!</f>
        <v>#REF!</v>
      </c>
      <c r="I413" s="50" t="e">
        <f>'Product info'!#REF!</f>
        <v>#REF!</v>
      </c>
      <c r="J413" s="51" t="e">
        <f>'Product info'!#REF!</f>
        <v>#REF!</v>
      </c>
      <c r="K413" s="52" t="e">
        <f t="shared" si="81"/>
        <v>#REF!</v>
      </c>
      <c r="L413" s="50" t="e">
        <f t="shared" si="82"/>
        <v>#REF!</v>
      </c>
      <c r="M413" s="50" t="e">
        <f t="shared" si="83"/>
        <v>#REF!</v>
      </c>
      <c r="N413" s="50" t="e">
        <f t="shared" si="84"/>
        <v>#REF!</v>
      </c>
      <c r="O413" s="50" t="e">
        <f t="shared" si="85"/>
        <v>#REF!</v>
      </c>
      <c r="P413" s="53" t="e">
        <f t="shared" si="86"/>
        <v>#REF!</v>
      </c>
      <c r="Q413" s="54" t="e">
        <f>'Product info'!#REF!</f>
        <v>#REF!</v>
      </c>
      <c r="R413" s="54" t="e">
        <f>'Product info'!#REF!</f>
        <v>#REF!</v>
      </c>
      <c r="S413" s="54" t="e">
        <f>'Product info'!#REF!</f>
        <v>#REF!</v>
      </c>
      <c r="T413" s="50" t="e">
        <f>'Product info'!#REF!</f>
        <v>#REF!</v>
      </c>
      <c r="U413" s="52" t="e">
        <f t="shared" si="87"/>
        <v>#REF!</v>
      </c>
      <c r="V413" s="50" t="e">
        <f t="shared" si="88"/>
        <v>#REF!</v>
      </c>
      <c r="W413" s="50" t="e">
        <f t="shared" si="89"/>
        <v>#REF!</v>
      </c>
      <c r="X413" s="50" t="e">
        <f t="shared" si="90"/>
        <v>#REF!</v>
      </c>
      <c r="Y413" s="50" t="e">
        <f t="shared" si="91"/>
        <v>#REF!</v>
      </c>
      <c r="Z413" t="e">
        <f t="shared" si="92"/>
        <v>#REF!</v>
      </c>
    </row>
    <row r="414" spans="1:26" x14ac:dyDescent="0.4">
      <c r="A414" t="e">
        <f>'Product info'!#REF!</f>
        <v>#REF!</v>
      </c>
      <c r="B414" t="e">
        <f>'Product info'!#REF!</f>
        <v>#REF!</v>
      </c>
      <c r="C414" t="e">
        <f>'Product info'!#REF!</f>
        <v>#REF!</v>
      </c>
      <c r="D414" s="6" t="e">
        <f>'Product info'!#REF!</f>
        <v>#REF!</v>
      </c>
      <c r="E414" t="e">
        <f t="shared" si="80"/>
        <v>#REF!</v>
      </c>
      <c r="F414" s="50" t="e">
        <f>'Product info'!#REF!</f>
        <v>#REF!</v>
      </c>
      <c r="G414" s="50" t="e">
        <f>'Product info'!#REF!</f>
        <v>#REF!</v>
      </c>
      <c r="H414" s="50" t="e">
        <f>'Product info'!#REF!</f>
        <v>#REF!</v>
      </c>
      <c r="I414" s="50" t="e">
        <f>'Product info'!#REF!</f>
        <v>#REF!</v>
      </c>
      <c r="J414" s="51" t="e">
        <f>'Product info'!#REF!</f>
        <v>#REF!</v>
      </c>
      <c r="K414" s="52" t="e">
        <f t="shared" si="81"/>
        <v>#REF!</v>
      </c>
      <c r="L414" s="50" t="e">
        <f t="shared" si="82"/>
        <v>#REF!</v>
      </c>
      <c r="M414" s="50" t="e">
        <f t="shared" si="83"/>
        <v>#REF!</v>
      </c>
      <c r="N414" s="50" t="e">
        <f t="shared" si="84"/>
        <v>#REF!</v>
      </c>
      <c r="O414" s="50" t="e">
        <f t="shared" si="85"/>
        <v>#REF!</v>
      </c>
      <c r="P414" s="53" t="e">
        <f t="shared" si="86"/>
        <v>#REF!</v>
      </c>
      <c r="Q414" s="54" t="e">
        <f>'Product info'!#REF!</f>
        <v>#REF!</v>
      </c>
      <c r="R414" s="54" t="e">
        <f>'Product info'!#REF!</f>
        <v>#REF!</v>
      </c>
      <c r="S414" s="54" t="e">
        <f>'Product info'!#REF!</f>
        <v>#REF!</v>
      </c>
      <c r="T414" s="50" t="e">
        <f>'Product info'!#REF!</f>
        <v>#REF!</v>
      </c>
      <c r="U414" s="52" t="e">
        <f t="shared" si="87"/>
        <v>#REF!</v>
      </c>
      <c r="V414" s="50" t="e">
        <f t="shared" si="88"/>
        <v>#REF!</v>
      </c>
      <c r="W414" s="50" t="e">
        <f t="shared" si="89"/>
        <v>#REF!</v>
      </c>
      <c r="X414" s="50" t="e">
        <f t="shared" si="90"/>
        <v>#REF!</v>
      </c>
      <c r="Y414" s="50" t="e">
        <f t="shared" si="91"/>
        <v>#REF!</v>
      </c>
      <c r="Z414" t="e">
        <f t="shared" si="92"/>
        <v>#REF!</v>
      </c>
    </row>
    <row r="415" spans="1:26" x14ac:dyDescent="0.4">
      <c r="A415" t="e">
        <f>'Product info'!#REF!</f>
        <v>#REF!</v>
      </c>
      <c r="B415" t="e">
        <f>'Product info'!#REF!</f>
        <v>#REF!</v>
      </c>
      <c r="C415" t="e">
        <f>'Product info'!#REF!</f>
        <v>#REF!</v>
      </c>
      <c r="D415" s="6" t="e">
        <f>'Product info'!#REF!</f>
        <v>#REF!</v>
      </c>
      <c r="E415" t="e">
        <f t="shared" si="80"/>
        <v>#REF!</v>
      </c>
      <c r="F415" s="50" t="e">
        <f>'Product info'!#REF!</f>
        <v>#REF!</v>
      </c>
      <c r="G415" s="50" t="e">
        <f>'Product info'!#REF!</f>
        <v>#REF!</v>
      </c>
      <c r="H415" s="50" t="e">
        <f>'Product info'!#REF!</f>
        <v>#REF!</v>
      </c>
      <c r="I415" s="50" t="e">
        <f>'Product info'!#REF!</f>
        <v>#REF!</v>
      </c>
      <c r="J415" s="51" t="e">
        <f>'Product info'!#REF!</f>
        <v>#REF!</v>
      </c>
      <c r="K415" s="52" t="e">
        <f t="shared" si="81"/>
        <v>#REF!</v>
      </c>
      <c r="L415" s="50" t="e">
        <f t="shared" si="82"/>
        <v>#REF!</v>
      </c>
      <c r="M415" s="50" t="e">
        <f t="shared" si="83"/>
        <v>#REF!</v>
      </c>
      <c r="N415" s="50" t="e">
        <f t="shared" si="84"/>
        <v>#REF!</v>
      </c>
      <c r="O415" s="50" t="e">
        <f t="shared" si="85"/>
        <v>#REF!</v>
      </c>
      <c r="P415" s="53" t="e">
        <f t="shared" si="86"/>
        <v>#REF!</v>
      </c>
      <c r="Q415" s="54" t="e">
        <f>'Product info'!#REF!</f>
        <v>#REF!</v>
      </c>
      <c r="R415" s="54" t="e">
        <f>'Product info'!#REF!</f>
        <v>#REF!</v>
      </c>
      <c r="S415" s="54" t="e">
        <f>'Product info'!#REF!</f>
        <v>#REF!</v>
      </c>
      <c r="T415" s="50" t="e">
        <f>'Product info'!#REF!</f>
        <v>#REF!</v>
      </c>
      <c r="U415" s="52" t="e">
        <f t="shared" si="87"/>
        <v>#REF!</v>
      </c>
      <c r="V415" s="50" t="e">
        <f t="shared" si="88"/>
        <v>#REF!</v>
      </c>
      <c r="W415" s="50" t="e">
        <f t="shared" si="89"/>
        <v>#REF!</v>
      </c>
      <c r="X415" s="50" t="e">
        <f t="shared" si="90"/>
        <v>#REF!</v>
      </c>
      <c r="Y415" s="50" t="e">
        <f t="shared" si="91"/>
        <v>#REF!</v>
      </c>
      <c r="Z415" t="e">
        <f t="shared" si="92"/>
        <v>#REF!</v>
      </c>
    </row>
    <row r="416" spans="1:26" x14ac:dyDescent="0.4">
      <c r="A416" t="e">
        <f>'Product info'!#REF!</f>
        <v>#REF!</v>
      </c>
      <c r="B416" t="e">
        <f>'Product info'!#REF!</f>
        <v>#REF!</v>
      </c>
      <c r="C416" t="e">
        <f>'Product info'!#REF!</f>
        <v>#REF!</v>
      </c>
      <c r="D416" s="6" t="e">
        <f>'Product info'!#REF!</f>
        <v>#REF!</v>
      </c>
      <c r="E416" t="e">
        <f t="shared" si="80"/>
        <v>#REF!</v>
      </c>
      <c r="F416" s="50" t="e">
        <f>'Product info'!#REF!</f>
        <v>#REF!</v>
      </c>
      <c r="G416" s="50" t="e">
        <f>'Product info'!#REF!</f>
        <v>#REF!</v>
      </c>
      <c r="H416" s="50" t="e">
        <f>'Product info'!#REF!</f>
        <v>#REF!</v>
      </c>
      <c r="I416" s="50" t="e">
        <f>'Product info'!#REF!</f>
        <v>#REF!</v>
      </c>
      <c r="J416" s="51" t="e">
        <f>'Product info'!#REF!</f>
        <v>#REF!</v>
      </c>
      <c r="K416" s="52" t="e">
        <f t="shared" si="81"/>
        <v>#REF!</v>
      </c>
      <c r="L416" s="50" t="e">
        <f t="shared" si="82"/>
        <v>#REF!</v>
      </c>
      <c r="M416" s="50" t="e">
        <f t="shared" si="83"/>
        <v>#REF!</v>
      </c>
      <c r="N416" s="50" t="e">
        <f t="shared" si="84"/>
        <v>#REF!</v>
      </c>
      <c r="O416" s="50" t="e">
        <f t="shared" si="85"/>
        <v>#REF!</v>
      </c>
      <c r="P416" s="53" t="e">
        <f t="shared" si="86"/>
        <v>#REF!</v>
      </c>
      <c r="Q416" s="54" t="e">
        <f>'Product info'!#REF!</f>
        <v>#REF!</v>
      </c>
      <c r="R416" s="54" t="e">
        <f>'Product info'!#REF!</f>
        <v>#REF!</v>
      </c>
      <c r="S416" s="54" t="e">
        <f>'Product info'!#REF!</f>
        <v>#REF!</v>
      </c>
      <c r="T416" s="50" t="e">
        <f>'Product info'!#REF!</f>
        <v>#REF!</v>
      </c>
      <c r="U416" s="52" t="e">
        <f t="shared" si="87"/>
        <v>#REF!</v>
      </c>
      <c r="V416" s="50" t="e">
        <f t="shared" si="88"/>
        <v>#REF!</v>
      </c>
      <c r="W416" s="50" t="e">
        <f t="shared" si="89"/>
        <v>#REF!</v>
      </c>
      <c r="X416" s="50" t="e">
        <f t="shared" si="90"/>
        <v>#REF!</v>
      </c>
      <c r="Y416" s="50" t="e">
        <f t="shared" si="91"/>
        <v>#REF!</v>
      </c>
      <c r="Z416" t="e">
        <f t="shared" si="92"/>
        <v>#REF!</v>
      </c>
    </row>
    <row r="417" spans="1:26" x14ac:dyDescent="0.4">
      <c r="A417" t="e">
        <f>'Product info'!#REF!</f>
        <v>#REF!</v>
      </c>
      <c r="B417" t="e">
        <f>'Product info'!#REF!</f>
        <v>#REF!</v>
      </c>
      <c r="C417" t="e">
        <f>'Product info'!#REF!</f>
        <v>#REF!</v>
      </c>
      <c r="D417" s="6" t="e">
        <f>'Product info'!#REF!</f>
        <v>#REF!</v>
      </c>
      <c r="E417" t="e">
        <f t="shared" si="80"/>
        <v>#REF!</v>
      </c>
      <c r="F417" s="50" t="e">
        <f>'Product info'!#REF!</f>
        <v>#REF!</v>
      </c>
      <c r="G417" s="50" t="e">
        <f>'Product info'!#REF!</f>
        <v>#REF!</v>
      </c>
      <c r="H417" s="50" t="e">
        <f>'Product info'!#REF!</f>
        <v>#REF!</v>
      </c>
      <c r="I417" s="50" t="e">
        <f>'Product info'!#REF!</f>
        <v>#REF!</v>
      </c>
      <c r="J417" s="51" t="e">
        <f>'Product info'!#REF!</f>
        <v>#REF!</v>
      </c>
      <c r="K417" s="52" t="e">
        <f t="shared" si="81"/>
        <v>#REF!</v>
      </c>
      <c r="L417" s="50" t="e">
        <f t="shared" si="82"/>
        <v>#REF!</v>
      </c>
      <c r="M417" s="50" t="e">
        <f t="shared" si="83"/>
        <v>#REF!</v>
      </c>
      <c r="N417" s="50" t="e">
        <f t="shared" si="84"/>
        <v>#REF!</v>
      </c>
      <c r="O417" s="50" t="e">
        <f t="shared" si="85"/>
        <v>#REF!</v>
      </c>
      <c r="P417" s="53" t="e">
        <f t="shared" si="86"/>
        <v>#REF!</v>
      </c>
      <c r="Q417" s="54" t="e">
        <f>'Product info'!#REF!</f>
        <v>#REF!</v>
      </c>
      <c r="R417" s="54" t="e">
        <f>'Product info'!#REF!</f>
        <v>#REF!</v>
      </c>
      <c r="S417" s="54" t="e">
        <f>'Product info'!#REF!</f>
        <v>#REF!</v>
      </c>
      <c r="T417" s="50" t="e">
        <f>'Product info'!#REF!</f>
        <v>#REF!</v>
      </c>
      <c r="U417" s="52" t="e">
        <f t="shared" si="87"/>
        <v>#REF!</v>
      </c>
      <c r="V417" s="50" t="e">
        <f t="shared" si="88"/>
        <v>#REF!</v>
      </c>
      <c r="W417" s="50" t="e">
        <f t="shared" si="89"/>
        <v>#REF!</v>
      </c>
      <c r="X417" s="50" t="e">
        <f t="shared" si="90"/>
        <v>#REF!</v>
      </c>
      <c r="Y417" s="50" t="e">
        <f t="shared" si="91"/>
        <v>#REF!</v>
      </c>
      <c r="Z417" t="e">
        <f t="shared" si="92"/>
        <v>#REF!</v>
      </c>
    </row>
    <row r="418" spans="1:26" x14ac:dyDescent="0.4">
      <c r="A418" t="e">
        <f>'Product info'!#REF!</f>
        <v>#REF!</v>
      </c>
      <c r="B418" t="e">
        <f>'Product info'!#REF!</f>
        <v>#REF!</v>
      </c>
      <c r="C418" t="e">
        <f>'Product info'!#REF!</f>
        <v>#REF!</v>
      </c>
      <c r="D418" s="6" t="e">
        <f>'Product info'!#REF!</f>
        <v>#REF!</v>
      </c>
      <c r="E418" t="e">
        <f t="shared" si="80"/>
        <v>#REF!</v>
      </c>
      <c r="F418" s="50" t="e">
        <f>'Product info'!#REF!</f>
        <v>#REF!</v>
      </c>
      <c r="G418" s="50" t="e">
        <f>'Product info'!#REF!</f>
        <v>#REF!</v>
      </c>
      <c r="H418" s="50" t="e">
        <f>'Product info'!#REF!</f>
        <v>#REF!</v>
      </c>
      <c r="I418" s="50" t="e">
        <f>'Product info'!#REF!</f>
        <v>#REF!</v>
      </c>
      <c r="J418" s="51" t="e">
        <f>'Product info'!#REF!</f>
        <v>#REF!</v>
      </c>
      <c r="K418" s="52" t="e">
        <f t="shared" si="81"/>
        <v>#REF!</v>
      </c>
      <c r="L418" s="50" t="e">
        <f t="shared" si="82"/>
        <v>#REF!</v>
      </c>
      <c r="M418" s="50" t="e">
        <f t="shared" si="83"/>
        <v>#REF!</v>
      </c>
      <c r="N418" s="50" t="e">
        <f t="shared" si="84"/>
        <v>#REF!</v>
      </c>
      <c r="O418" s="50" t="e">
        <f t="shared" si="85"/>
        <v>#REF!</v>
      </c>
      <c r="P418" s="53" t="e">
        <f t="shared" si="86"/>
        <v>#REF!</v>
      </c>
      <c r="Q418" s="54" t="e">
        <f>'Product info'!#REF!</f>
        <v>#REF!</v>
      </c>
      <c r="R418" s="54" t="e">
        <f>'Product info'!#REF!</f>
        <v>#REF!</v>
      </c>
      <c r="S418" s="54" t="e">
        <f>'Product info'!#REF!</f>
        <v>#REF!</v>
      </c>
      <c r="T418" s="50" t="e">
        <f>'Product info'!#REF!</f>
        <v>#REF!</v>
      </c>
      <c r="U418" s="52" t="e">
        <f t="shared" si="87"/>
        <v>#REF!</v>
      </c>
      <c r="V418" s="50" t="e">
        <f t="shared" si="88"/>
        <v>#REF!</v>
      </c>
      <c r="W418" s="50" t="e">
        <f t="shared" si="89"/>
        <v>#REF!</v>
      </c>
      <c r="X418" s="50" t="e">
        <f t="shared" si="90"/>
        <v>#REF!</v>
      </c>
      <c r="Y418" s="50" t="e">
        <f t="shared" si="91"/>
        <v>#REF!</v>
      </c>
      <c r="Z418" t="e">
        <f t="shared" si="92"/>
        <v>#REF!</v>
      </c>
    </row>
    <row r="419" spans="1:26" x14ac:dyDescent="0.4">
      <c r="A419" t="e">
        <f>'Product info'!#REF!</f>
        <v>#REF!</v>
      </c>
      <c r="B419" t="e">
        <f>'Product info'!#REF!</f>
        <v>#REF!</v>
      </c>
      <c r="C419" t="e">
        <f>'Product info'!#REF!</f>
        <v>#REF!</v>
      </c>
      <c r="D419" s="6" t="e">
        <f>'Product info'!#REF!</f>
        <v>#REF!</v>
      </c>
      <c r="E419" t="e">
        <f t="shared" si="80"/>
        <v>#REF!</v>
      </c>
      <c r="F419" s="50" t="e">
        <f>'Product info'!#REF!</f>
        <v>#REF!</v>
      </c>
      <c r="G419" s="50" t="e">
        <f>'Product info'!#REF!</f>
        <v>#REF!</v>
      </c>
      <c r="H419" s="50" t="e">
        <f>'Product info'!#REF!</f>
        <v>#REF!</v>
      </c>
      <c r="I419" s="50" t="e">
        <f>'Product info'!#REF!</f>
        <v>#REF!</v>
      </c>
      <c r="J419" s="51" t="e">
        <f>'Product info'!#REF!</f>
        <v>#REF!</v>
      </c>
      <c r="K419" s="52" t="e">
        <f t="shared" si="81"/>
        <v>#REF!</v>
      </c>
      <c r="L419" s="50" t="e">
        <f t="shared" si="82"/>
        <v>#REF!</v>
      </c>
      <c r="M419" s="50" t="e">
        <f t="shared" si="83"/>
        <v>#REF!</v>
      </c>
      <c r="N419" s="50" t="e">
        <f t="shared" si="84"/>
        <v>#REF!</v>
      </c>
      <c r="O419" s="50" t="e">
        <f t="shared" si="85"/>
        <v>#REF!</v>
      </c>
      <c r="P419" s="53" t="e">
        <f t="shared" si="86"/>
        <v>#REF!</v>
      </c>
      <c r="Q419" s="54" t="e">
        <f>'Product info'!#REF!</f>
        <v>#REF!</v>
      </c>
      <c r="R419" s="54" t="e">
        <f>'Product info'!#REF!</f>
        <v>#REF!</v>
      </c>
      <c r="S419" s="54" t="e">
        <f>'Product info'!#REF!</f>
        <v>#REF!</v>
      </c>
      <c r="T419" s="50" t="e">
        <f>'Product info'!#REF!</f>
        <v>#REF!</v>
      </c>
      <c r="U419" s="52" t="e">
        <f t="shared" si="87"/>
        <v>#REF!</v>
      </c>
      <c r="V419" s="50" t="e">
        <f t="shared" si="88"/>
        <v>#REF!</v>
      </c>
      <c r="W419" s="50" t="e">
        <f t="shared" si="89"/>
        <v>#REF!</v>
      </c>
      <c r="X419" s="50" t="e">
        <f t="shared" si="90"/>
        <v>#REF!</v>
      </c>
      <c r="Y419" s="50" t="e">
        <f t="shared" si="91"/>
        <v>#REF!</v>
      </c>
      <c r="Z419" t="e">
        <f t="shared" si="92"/>
        <v>#REF!</v>
      </c>
    </row>
    <row r="420" spans="1:26" x14ac:dyDescent="0.4">
      <c r="A420" t="e">
        <f>'Product info'!#REF!</f>
        <v>#REF!</v>
      </c>
      <c r="B420" t="e">
        <f>'Product info'!#REF!</f>
        <v>#REF!</v>
      </c>
      <c r="C420" t="e">
        <f>'Product info'!#REF!</f>
        <v>#REF!</v>
      </c>
      <c r="D420" s="6" t="e">
        <f>'Product info'!#REF!</f>
        <v>#REF!</v>
      </c>
      <c r="E420" t="e">
        <f t="shared" si="80"/>
        <v>#REF!</v>
      </c>
      <c r="F420" s="50" t="e">
        <f>'Product info'!#REF!</f>
        <v>#REF!</v>
      </c>
      <c r="G420" s="50" t="e">
        <f>'Product info'!#REF!</f>
        <v>#REF!</v>
      </c>
      <c r="H420" s="50" t="e">
        <f>'Product info'!#REF!</f>
        <v>#REF!</v>
      </c>
      <c r="I420" s="50" t="e">
        <f>'Product info'!#REF!</f>
        <v>#REF!</v>
      </c>
      <c r="J420" s="51" t="e">
        <f>'Product info'!#REF!</f>
        <v>#REF!</v>
      </c>
      <c r="K420" s="52" t="e">
        <f t="shared" si="81"/>
        <v>#REF!</v>
      </c>
      <c r="L420" s="50" t="e">
        <f t="shared" si="82"/>
        <v>#REF!</v>
      </c>
      <c r="M420" s="50" t="e">
        <f t="shared" si="83"/>
        <v>#REF!</v>
      </c>
      <c r="N420" s="50" t="e">
        <f t="shared" si="84"/>
        <v>#REF!</v>
      </c>
      <c r="O420" s="50" t="e">
        <f t="shared" si="85"/>
        <v>#REF!</v>
      </c>
      <c r="P420" s="53" t="e">
        <f t="shared" si="86"/>
        <v>#REF!</v>
      </c>
      <c r="Q420" s="54" t="e">
        <f>'Product info'!#REF!</f>
        <v>#REF!</v>
      </c>
      <c r="R420" s="54" t="e">
        <f>'Product info'!#REF!</f>
        <v>#REF!</v>
      </c>
      <c r="S420" s="54" t="e">
        <f>'Product info'!#REF!</f>
        <v>#REF!</v>
      </c>
      <c r="T420" s="50" t="e">
        <f>'Product info'!#REF!</f>
        <v>#REF!</v>
      </c>
      <c r="U420" s="52" t="e">
        <f t="shared" si="87"/>
        <v>#REF!</v>
      </c>
      <c r="V420" s="50" t="e">
        <f t="shared" si="88"/>
        <v>#REF!</v>
      </c>
      <c r="W420" s="50" t="e">
        <f t="shared" si="89"/>
        <v>#REF!</v>
      </c>
      <c r="X420" s="50" t="e">
        <f t="shared" si="90"/>
        <v>#REF!</v>
      </c>
      <c r="Y420" s="50" t="e">
        <f t="shared" si="91"/>
        <v>#REF!</v>
      </c>
      <c r="Z420" t="e">
        <f t="shared" si="92"/>
        <v>#REF!</v>
      </c>
    </row>
    <row r="421" spans="1:26" x14ac:dyDescent="0.4">
      <c r="A421" t="e">
        <f>'Product info'!#REF!</f>
        <v>#REF!</v>
      </c>
      <c r="B421" t="e">
        <f>'Product info'!#REF!</f>
        <v>#REF!</v>
      </c>
      <c r="C421" t="e">
        <f>'Product info'!#REF!</f>
        <v>#REF!</v>
      </c>
      <c r="D421" s="6" t="e">
        <f>'Product info'!#REF!</f>
        <v>#REF!</v>
      </c>
      <c r="E421" t="e">
        <f t="shared" si="80"/>
        <v>#REF!</v>
      </c>
      <c r="F421" s="50" t="e">
        <f>'Product info'!#REF!</f>
        <v>#REF!</v>
      </c>
      <c r="G421" s="50" t="e">
        <f>'Product info'!#REF!</f>
        <v>#REF!</v>
      </c>
      <c r="H421" s="50" t="e">
        <f>'Product info'!#REF!</f>
        <v>#REF!</v>
      </c>
      <c r="I421" s="50" t="e">
        <f>'Product info'!#REF!</f>
        <v>#REF!</v>
      </c>
      <c r="J421" s="51" t="e">
        <f>'Product info'!#REF!</f>
        <v>#REF!</v>
      </c>
      <c r="K421" s="52" t="e">
        <f t="shared" si="81"/>
        <v>#REF!</v>
      </c>
      <c r="L421" s="50" t="e">
        <f t="shared" si="82"/>
        <v>#REF!</v>
      </c>
      <c r="M421" s="50" t="e">
        <f t="shared" si="83"/>
        <v>#REF!</v>
      </c>
      <c r="N421" s="50" t="e">
        <f t="shared" si="84"/>
        <v>#REF!</v>
      </c>
      <c r="O421" s="50" t="e">
        <f t="shared" si="85"/>
        <v>#REF!</v>
      </c>
      <c r="P421" s="53" t="e">
        <f t="shared" si="86"/>
        <v>#REF!</v>
      </c>
      <c r="Q421" s="54" t="e">
        <f>'Product info'!#REF!</f>
        <v>#REF!</v>
      </c>
      <c r="R421" s="54" t="e">
        <f>'Product info'!#REF!</f>
        <v>#REF!</v>
      </c>
      <c r="S421" s="54" t="e">
        <f>'Product info'!#REF!</f>
        <v>#REF!</v>
      </c>
      <c r="T421" s="50" t="e">
        <f>'Product info'!#REF!</f>
        <v>#REF!</v>
      </c>
      <c r="U421" s="52" t="e">
        <f t="shared" si="87"/>
        <v>#REF!</v>
      </c>
      <c r="V421" s="50" t="e">
        <f t="shared" si="88"/>
        <v>#REF!</v>
      </c>
      <c r="W421" s="50" t="e">
        <f t="shared" si="89"/>
        <v>#REF!</v>
      </c>
      <c r="X421" s="50" t="e">
        <f t="shared" si="90"/>
        <v>#REF!</v>
      </c>
      <c r="Y421" s="50" t="e">
        <f t="shared" si="91"/>
        <v>#REF!</v>
      </c>
      <c r="Z421" t="e">
        <f t="shared" si="92"/>
        <v>#REF!</v>
      </c>
    </row>
    <row r="422" spans="1:26" x14ac:dyDescent="0.4">
      <c r="A422" t="e">
        <f>'Product info'!#REF!</f>
        <v>#REF!</v>
      </c>
      <c r="B422" t="e">
        <f>'Product info'!#REF!</f>
        <v>#REF!</v>
      </c>
      <c r="C422" t="e">
        <f>'Product info'!#REF!</f>
        <v>#REF!</v>
      </c>
      <c r="D422" s="6" t="e">
        <f>'Product info'!#REF!</f>
        <v>#REF!</v>
      </c>
      <c r="E422" t="e">
        <f t="shared" si="80"/>
        <v>#REF!</v>
      </c>
      <c r="F422" s="50" t="e">
        <f>'Product info'!#REF!</f>
        <v>#REF!</v>
      </c>
      <c r="G422" s="50" t="e">
        <f>'Product info'!#REF!</f>
        <v>#REF!</v>
      </c>
      <c r="H422" s="50" t="e">
        <f>'Product info'!#REF!</f>
        <v>#REF!</v>
      </c>
      <c r="I422" s="50" t="e">
        <f>'Product info'!#REF!</f>
        <v>#REF!</v>
      </c>
      <c r="J422" s="51" t="e">
        <f>'Product info'!#REF!</f>
        <v>#REF!</v>
      </c>
      <c r="K422" s="52" t="e">
        <f t="shared" si="81"/>
        <v>#REF!</v>
      </c>
      <c r="L422" s="50" t="e">
        <f t="shared" si="82"/>
        <v>#REF!</v>
      </c>
      <c r="M422" s="50" t="e">
        <f t="shared" si="83"/>
        <v>#REF!</v>
      </c>
      <c r="N422" s="50" t="e">
        <f t="shared" si="84"/>
        <v>#REF!</v>
      </c>
      <c r="O422" s="50" t="e">
        <f t="shared" si="85"/>
        <v>#REF!</v>
      </c>
      <c r="P422" s="53" t="e">
        <f t="shared" si="86"/>
        <v>#REF!</v>
      </c>
      <c r="Q422" s="54" t="e">
        <f>'Product info'!#REF!</f>
        <v>#REF!</v>
      </c>
      <c r="R422" s="54" t="e">
        <f>'Product info'!#REF!</f>
        <v>#REF!</v>
      </c>
      <c r="S422" s="54" t="e">
        <f>'Product info'!#REF!</f>
        <v>#REF!</v>
      </c>
      <c r="T422" s="50" t="e">
        <f>'Product info'!#REF!</f>
        <v>#REF!</v>
      </c>
      <c r="U422" s="52" t="e">
        <f t="shared" si="87"/>
        <v>#REF!</v>
      </c>
      <c r="V422" s="50" t="e">
        <f t="shared" si="88"/>
        <v>#REF!</v>
      </c>
      <c r="W422" s="50" t="e">
        <f t="shared" si="89"/>
        <v>#REF!</v>
      </c>
      <c r="X422" s="50" t="e">
        <f t="shared" si="90"/>
        <v>#REF!</v>
      </c>
      <c r="Y422" s="50" t="e">
        <f t="shared" si="91"/>
        <v>#REF!</v>
      </c>
      <c r="Z422" t="e">
        <f t="shared" si="92"/>
        <v>#REF!</v>
      </c>
    </row>
    <row r="423" spans="1:26" x14ac:dyDescent="0.4">
      <c r="A423" t="e">
        <f>'Product info'!#REF!</f>
        <v>#REF!</v>
      </c>
      <c r="B423" t="e">
        <f>'Product info'!#REF!</f>
        <v>#REF!</v>
      </c>
      <c r="C423" t="e">
        <f>'Product info'!#REF!</f>
        <v>#REF!</v>
      </c>
      <c r="D423" s="6" t="e">
        <f>'Product info'!#REF!</f>
        <v>#REF!</v>
      </c>
      <c r="E423" t="e">
        <f t="shared" si="80"/>
        <v>#REF!</v>
      </c>
      <c r="F423" s="50" t="e">
        <f>'Product info'!#REF!</f>
        <v>#REF!</v>
      </c>
      <c r="G423" s="50" t="e">
        <f>'Product info'!#REF!</f>
        <v>#REF!</v>
      </c>
      <c r="H423" s="50" t="e">
        <f>'Product info'!#REF!</f>
        <v>#REF!</v>
      </c>
      <c r="I423" s="50" t="e">
        <f>'Product info'!#REF!</f>
        <v>#REF!</v>
      </c>
      <c r="J423" s="51" t="e">
        <f>'Product info'!#REF!</f>
        <v>#REF!</v>
      </c>
      <c r="K423" s="52" t="e">
        <f t="shared" si="81"/>
        <v>#REF!</v>
      </c>
      <c r="L423" s="50" t="e">
        <f t="shared" si="82"/>
        <v>#REF!</v>
      </c>
      <c r="M423" s="50" t="e">
        <f t="shared" si="83"/>
        <v>#REF!</v>
      </c>
      <c r="N423" s="50" t="e">
        <f t="shared" si="84"/>
        <v>#REF!</v>
      </c>
      <c r="O423" s="50" t="e">
        <f t="shared" si="85"/>
        <v>#REF!</v>
      </c>
      <c r="P423" s="53" t="e">
        <f t="shared" si="86"/>
        <v>#REF!</v>
      </c>
      <c r="Q423" s="54" t="e">
        <f>'Product info'!#REF!</f>
        <v>#REF!</v>
      </c>
      <c r="R423" s="54" t="e">
        <f>'Product info'!#REF!</f>
        <v>#REF!</v>
      </c>
      <c r="S423" s="54" t="e">
        <f>'Product info'!#REF!</f>
        <v>#REF!</v>
      </c>
      <c r="T423" s="50" t="e">
        <f>'Product info'!#REF!</f>
        <v>#REF!</v>
      </c>
      <c r="U423" s="52" t="e">
        <f t="shared" si="87"/>
        <v>#REF!</v>
      </c>
      <c r="V423" s="50" t="e">
        <f t="shared" si="88"/>
        <v>#REF!</v>
      </c>
      <c r="W423" s="50" t="e">
        <f t="shared" si="89"/>
        <v>#REF!</v>
      </c>
      <c r="X423" s="50" t="e">
        <f t="shared" si="90"/>
        <v>#REF!</v>
      </c>
      <c r="Y423" s="50" t="e">
        <f t="shared" si="91"/>
        <v>#REF!</v>
      </c>
      <c r="Z423" t="e">
        <f t="shared" si="92"/>
        <v>#REF!</v>
      </c>
    </row>
    <row r="424" spans="1:26" x14ac:dyDescent="0.4">
      <c r="A424" t="e">
        <f>'Product info'!#REF!</f>
        <v>#REF!</v>
      </c>
      <c r="B424" t="e">
        <f>'Product info'!#REF!</f>
        <v>#REF!</v>
      </c>
      <c r="C424" t="e">
        <f>'Product info'!#REF!</f>
        <v>#REF!</v>
      </c>
      <c r="D424" s="6" t="e">
        <f>'Product info'!#REF!</f>
        <v>#REF!</v>
      </c>
      <c r="E424" t="e">
        <f t="shared" si="80"/>
        <v>#REF!</v>
      </c>
      <c r="F424" s="50" t="e">
        <f>'Product info'!#REF!</f>
        <v>#REF!</v>
      </c>
      <c r="G424" s="50" t="e">
        <f>'Product info'!#REF!</f>
        <v>#REF!</v>
      </c>
      <c r="H424" s="50" t="e">
        <f>'Product info'!#REF!</f>
        <v>#REF!</v>
      </c>
      <c r="I424" s="50" t="e">
        <f>'Product info'!#REF!</f>
        <v>#REF!</v>
      </c>
      <c r="J424" s="51" t="e">
        <f>'Product info'!#REF!</f>
        <v>#REF!</v>
      </c>
      <c r="K424" s="52" t="e">
        <f t="shared" si="81"/>
        <v>#REF!</v>
      </c>
      <c r="L424" s="50" t="e">
        <f t="shared" si="82"/>
        <v>#REF!</v>
      </c>
      <c r="M424" s="50" t="e">
        <f t="shared" si="83"/>
        <v>#REF!</v>
      </c>
      <c r="N424" s="50" t="e">
        <f t="shared" si="84"/>
        <v>#REF!</v>
      </c>
      <c r="O424" s="50" t="e">
        <f t="shared" si="85"/>
        <v>#REF!</v>
      </c>
      <c r="P424" s="53" t="e">
        <f t="shared" si="86"/>
        <v>#REF!</v>
      </c>
      <c r="Q424" s="54" t="e">
        <f>'Product info'!#REF!</f>
        <v>#REF!</v>
      </c>
      <c r="R424" s="54" t="e">
        <f>'Product info'!#REF!</f>
        <v>#REF!</v>
      </c>
      <c r="S424" s="54" t="e">
        <f>'Product info'!#REF!</f>
        <v>#REF!</v>
      </c>
      <c r="T424" s="50" t="e">
        <f>'Product info'!#REF!</f>
        <v>#REF!</v>
      </c>
      <c r="U424" s="52" t="e">
        <f t="shared" si="87"/>
        <v>#REF!</v>
      </c>
      <c r="V424" s="50" t="e">
        <f t="shared" si="88"/>
        <v>#REF!</v>
      </c>
      <c r="W424" s="50" t="e">
        <f t="shared" si="89"/>
        <v>#REF!</v>
      </c>
      <c r="X424" s="50" t="e">
        <f t="shared" si="90"/>
        <v>#REF!</v>
      </c>
      <c r="Y424" s="50" t="e">
        <f t="shared" si="91"/>
        <v>#REF!</v>
      </c>
      <c r="Z424" t="e">
        <f t="shared" si="92"/>
        <v>#REF!</v>
      </c>
    </row>
    <row r="425" spans="1:26" x14ac:dyDescent="0.4">
      <c r="A425" t="e">
        <f>'Product info'!#REF!</f>
        <v>#REF!</v>
      </c>
      <c r="B425" t="e">
        <f>'Product info'!#REF!</f>
        <v>#REF!</v>
      </c>
      <c r="C425" t="e">
        <f>'Product info'!#REF!</f>
        <v>#REF!</v>
      </c>
      <c r="D425" s="6" t="e">
        <f>'Product info'!#REF!</f>
        <v>#REF!</v>
      </c>
      <c r="E425" t="e">
        <f t="shared" si="80"/>
        <v>#REF!</v>
      </c>
      <c r="F425" s="50" t="e">
        <f>'Product info'!#REF!</f>
        <v>#REF!</v>
      </c>
      <c r="G425" s="50" t="e">
        <f>'Product info'!#REF!</f>
        <v>#REF!</v>
      </c>
      <c r="H425" s="50" t="e">
        <f>'Product info'!#REF!</f>
        <v>#REF!</v>
      </c>
      <c r="I425" s="50" t="e">
        <f>'Product info'!#REF!</f>
        <v>#REF!</v>
      </c>
      <c r="J425" s="51" t="e">
        <f>'Product info'!#REF!</f>
        <v>#REF!</v>
      </c>
      <c r="K425" s="52" t="e">
        <f t="shared" si="81"/>
        <v>#REF!</v>
      </c>
      <c r="L425" s="50" t="e">
        <f t="shared" si="82"/>
        <v>#REF!</v>
      </c>
      <c r="M425" s="50" t="e">
        <f t="shared" si="83"/>
        <v>#REF!</v>
      </c>
      <c r="N425" s="50" t="e">
        <f t="shared" si="84"/>
        <v>#REF!</v>
      </c>
      <c r="O425" s="50" t="e">
        <f t="shared" si="85"/>
        <v>#REF!</v>
      </c>
      <c r="P425" s="53" t="e">
        <f t="shared" si="86"/>
        <v>#REF!</v>
      </c>
      <c r="Q425" s="54" t="e">
        <f>'Product info'!#REF!</f>
        <v>#REF!</v>
      </c>
      <c r="R425" s="54" t="e">
        <f>'Product info'!#REF!</f>
        <v>#REF!</v>
      </c>
      <c r="S425" s="54" t="e">
        <f>'Product info'!#REF!</f>
        <v>#REF!</v>
      </c>
      <c r="T425" s="50" t="e">
        <f>'Product info'!#REF!</f>
        <v>#REF!</v>
      </c>
      <c r="U425" s="52" t="e">
        <f t="shared" si="87"/>
        <v>#REF!</v>
      </c>
      <c r="V425" s="50" t="e">
        <f t="shared" si="88"/>
        <v>#REF!</v>
      </c>
      <c r="W425" s="50" t="e">
        <f t="shared" si="89"/>
        <v>#REF!</v>
      </c>
      <c r="X425" s="50" t="e">
        <f t="shared" si="90"/>
        <v>#REF!</v>
      </c>
      <c r="Y425" s="50" t="e">
        <f t="shared" si="91"/>
        <v>#REF!</v>
      </c>
      <c r="Z425" t="e">
        <f t="shared" si="92"/>
        <v>#REF!</v>
      </c>
    </row>
    <row r="426" spans="1:26" x14ac:dyDescent="0.4">
      <c r="A426" t="e">
        <f>'Product info'!#REF!</f>
        <v>#REF!</v>
      </c>
      <c r="B426" t="e">
        <f>'Product info'!#REF!</f>
        <v>#REF!</v>
      </c>
      <c r="C426" t="e">
        <f>'Product info'!#REF!</f>
        <v>#REF!</v>
      </c>
      <c r="D426" s="6" t="e">
        <f>'Product info'!#REF!</f>
        <v>#REF!</v>
      </c>
      <c r="E426" t="e">
        <f t="shared" si="80"/>
        <v>#REF!</v>
      </c>
      <c r="F426" s="50" t="e">
        <f>'Product info'!#REF!</f>
        <v>#REF!</v>
      </c>
      <c r="G426" s="50" t="e">
        <f>'Product info'!#REF!</f>
        <v>#REF!</v>
      </c>
      <c r="H426" s="50" t="e">
        <f>'Product info'!#REF!</f>
        <v>#REF!</v>
      </c>
      <c r="I426" s="50" t="e">
        <f>'Product info'!#REF!</f>
        <v>#REF!</v>
      </c>
      <c r="J426" s="51" t="e">
        <f>'Product info'!#REF!</f>
        <v>#REF!</v>
      </c>
      <c r="K426" s="52" t="e">
        <f t="shared" si="81"/>
        <v>#REF!</v>
      </c>
      <c r="L426" s="50" t="e">
        <f t="shared" si="82"/>
        <v>#REF!</v>
      </c>
      <c r="M426" s="50" t="e">
        <f t="shared" si="83"/>
        <v>#REF!</v>
      </c>
      <c r="N426" s="50" t="e">
        <f t="shared" si="84"/>
        <v>#REF!</v>
      </c>
      <c r="O426" s="50" t="e">
        <f t="shared" si="85"/>
        <v>#REF!</v>
      </c>
      <c r="P426" s="53" t="e">
        <f t="shared" si="86"/>
        <v>#REF!</v>
      </c>
      <c r="Q426" s="54" t="e">
        <f>'Product info'!#REF!</f>
        <v>#REF!</v>
      </c>
      <c r="R426" s="54" t="e">
        <f>'Product info'!#REF!</f>
        <v>#REF!</v>
      </c>
      <c r="S426" s="54" t="e">
        <f>'Product info'!#REF!</f>
        <v>#REF!</v>
      </c>
      <c r="T426" s="50" t="e">
        <f>'Product info'!#REF!</f>
        <v>#REF!</v>
      </c>
      <c r="U426" s="52" t="e">
        <f t="shared" si="87"/>
        <v>#REF!</v>
      </c>
      <c r="V426" s="50" t="e">
        <f t="shared" si="88"/>
        <v>#REF!</v>
      </c>
      <c r="W426" s="50" t="e">
        <f t="shared" si="89"/>
        <v>#REF!</v>
      </c>
      <c r="X426" s="50" t="e">
        <f t="shared" si="90"/>
        <v>#REF!</v>
      </c>
      <c r="Y426" s="50" t="e">
        <f t="shared" si="91"/>
        <v>#REF!</v>
      </c>
      <c r="Z426" t="e">
        <f t="shared" si="92"/>
        <v>#REF!</v>
      </c>
    </row>
    <row r="427" spans="1:26" x14ac:dyDescent="0.4">
      <c r="A427" t="e">
        <f>'Product info'!#REF!</f>
        <v>#REF!</v>
      </c>
      <c r="B427" t="e">
        <f>'Product info'!#REF!</f>
        <v>#REF!</v>
      </c>
      <c r="C427" t="e">
        <f>'Product info'!#REF!</f>
        <v>#REF!</v>
      </c>
      <c r="D427" s="6" t="e">
        <f>'Product info'!#REF!</f>
        <v>#REF!</v>
      </c>
      <c r="E427" t="e">
        <f t="shared" si="80"/>
        <v>#REF!</v>
      </c>
      <c r="F427" s="50" t="e">
        <f>'Product info'!#REF!</f>
        <v>#REF!</v>
      </c>
      <c r="G427" s="50" t="e">
        <f>'Product info'!#REF!</f>
        <v>#REF!</v>
      </c>
      <c r="H427" s="50" t="e">
        <f>'Product info'!#REF!</f>
        <v>#REF!</v>
      </c>
      <c r="I427" s="50" t="e">
        <f>'Product info'!#REF!</f>
        <v>#REF!</v>
      </c>
      <c r="J427" s="51" t="e">
        <f>'Product info'!#REF!</f>
        <v>#REF!</v>
      </c>
      <c r="K427" s="52" t="e">
        <f t="shared" si="81"/>
        <v>#REF!</v>
      </c>
      <c r="L427" s="50" t="e">
        <f t="shared" si="82"/>
        <v>#REF!</v>
      </c>
      <c r="M427" s="50" t="e">
        <f t="shared" si="83"/>
        <v>#REF!</v>
      </c>
      <c r="N427" s="50" t="e">
        <f t="shared" si="84"/>
        <v>#REF!</v>
      </c>
      <c r="O427" s="50" t="e">
        <f t="shared" si="85"/>
        <v>#REF!</v>
      </c>
      <c r="P427" s="53" t="e">
        <f t="shared" si="86"/>
        <v>#REF!</v>
      </c>
      <c r="Q427" s="54" t="e">
        <f>'Product info'!#REF!</f>
        <v>#REF!</v>
      </c>
      <c r="R427" s="54" t="e">
        <f>'Product info'!#REF!</f>
        <v>#REF!</v>
      </c>
      <c r="S427" s="54" t="e">
        <f>'Product info'!#REF!</f>
        <v>#REF!</v>
      </c>
      <c r="T427" s="50" t="e">
        <f>'Product info'!#REF!</f>
        <v>#REF!</v>
      </c>
      <c r="U427" s="52" t="e">
        <f t="shared" si="87"/>
        <v>#REF!</v>
      </c>
      <c r="V427" s="50" t="e">
        <f t="shared" si="88"/>
        <v>#REF!</v>
      </c>
      <c r="W427" s="50" t="e">
        <f t="shared" si="89"/>
        <v>#REF!</v>
      </c>
      <c r="X427" s="50" t="e">
        <f t="shared" si="90"/>
        <v>#REF!</v>
      </c>
      <c r="Y427" s="50" t="e">
        <f t="shared" si="91"/>
        <v>#REF!</v>
      </c>
      <c r="Z427" t="e">
        <f t="shared" si="92"/>
        <v>#REF!</v>
      </c>
    </row>
    <row r="428" spans="1:26" x14ac:dyDescent="0.4">
      <c r="A428" t="e">
        <f>'Product info'!#REF!</f>
        <v>#REF!</v>
      </c>
      <c r="B428" t="e">
        <f>'Product info'!#REF!</f>
        <v>#REF!</v>
      </c>
      <c r="C428" t="e">
        <f>'Product info'!#REF!</f>
        <v>#REF!</v>
      </c>
      <c r="D428" s="6" t="e">
        <f>'Product info'!#REF!</f>
        <v>#REF!</v>
      </c>
      <c r="E428" t="e">
        <f t="shared" si="80"/>
        <v>#REF!</v>
      </c>
      <c r="F428" s="50" t="e">
        <f>'Product info'!#REF!</f>
        <v>#REF!</v>
      </c>
      <c r="G428" s="50" t="e">
        <f>'Product info'!#REF!</f>
        <v>#REF!</v>
      </c>
      <c r="H428" s="50" t="e">
        <f>'Product info'!#REF!</f>
        <v>#REF!</v>
      </c>
      <c r="I428" s="50" t="e">
        <f>'Product info'!#REF!</f>
        <v>#REF!</v>
      </c>
      <c r="J428" s="51" t="e">
        <f>'Product info'!#REF!</f>
        <v>#REF!</v>
      </c>
      <c r="K428" s="52" t="e">
        <f t="shared" si="81"/>
        <v>#REF!</v>
      </c>
      <c r="L428" s="50" t="e">
        <f t="shared" si="82"/>
        <v>#REF!</v>
      </c>
      <c r="M428" s="50" t="e">
        <f t="shared" si="83"/>
        <v>#REF!</v>
      </c>
      <c r="N428" s="50" t="e">
        <f t="shared" si="84"/>
        <v>#REF!</v>
      </c>
      <c r="O428" s="50" t="e">
        <f t="shared" si="85"/>
        <v>#REF!</v>
      </c>
      <c r="P428" s="53" t="e">
        <f t="shared" si="86"/>
        <v>#REF!</v>
      </c>
      <c r="Q428" s="54" t="e">
        <f>'Product info'!#REF!</f>
        <v>#REF!</v>
      </c>
      <c r="R428" s="54" t="e">
        <f>'Product info'!#REF!</f>
        <v>#REF!</v>
      </c>
      <c r="S428" s="54" t="e">
        <f>'Product info'!#REF!</f>
        <v>#REF!</v>
      </c>
      <c r="T428" s="50" t="e">
        <f>'Product info'!#REF!</f>
        <v>#REF!</v>
      </c>
      <c r="U428" s="52" t="e">
        <f t="shared" si="87"/>
        <v>#REF!</v>
      </c>
      <c r="V428" s="50" t="e">
        <f t="shared" si="88"/>
        <v>#REF!</v>
      </c>
      <c r="W428" s="50" t="e">
        <f t="shared" si="89"/>
        <v>#REF!</v>
      </c>
      <c r="X428" s="50" t="e">
        <f t="shared" si="90"/>
        <v>#REF!</v>
      </c>
      <c r="Y428" s="50" t="e">
        <f t="shared" si="91"/>
        <v>#REF!</v>
      </c>
      <c r="Z428" t="e">
        <f t="shared" si="92"/>
        <v>#REF!</v>
      </c>
    </row>
    <row r="429" spans="1:26" x14ac:dyDescent="0.4">
      <c r="A429" t="e">
        <f>'Product info'!#REF!</f>
        <v>#REF!</v>
      </c>
      <c r="B429" t="e">
        <f>'Product info'!#REF!</f>
        <v>#REF!</v>
      </c>
      <c r="C429" t="e">
        <f>'Product info'!#REF!</f>
        <v>#REF!</v>
      </c>
      <c r="D429" s="6" t="e">
        <f>'Product info'!#REF!</f>
        <v>#REF!</v>
      </c>
      <c r="E429" t="e">
        <f t="shared" si="80"/>
        <v>#REF!</v>
      </c>
      <c r="F429" s="50" t="e">
        <f>'Product info'!#REF!</f>
        <v>#REF!</v>
      </c>
      <c r="G429" s="50" t="e">
        <f>'Product info'!#REF!</f>
        <v>#REF!</v>
      </c>
      <c r="H429" s="50" t="e">
        <f>'Product info'!#REF!</f>
        <v>#REF!</v>
      </c>
      <c r="I429" s="50" t="e">
        <f>'Product info'!#REF!</f>
        <v>#REF!</v>
      </c>
      <c r="J429" s="51" t="e">
        <f>'Product info'!#REF!</f>
        <v>#REF!</v>
      </c>
      <c r="K429" s="52" t="e">
        <f t="shared" si="81"/>
        <v>#REF!</v>
      </c>
      <c r="L429" s="50" t="e">
        <f t="shared" si="82"/>
        <v>#REF!</v>
      </c>
      <c r="M429" s="50" t="e">
        <f t="shared" si="83"/>
        <v>#REF!</v>
      </c>
      <c r="N429" s="50" t="e">
        <f t="shared" si="84"/>
        <v>#REF!</v>
      </c>
      <c r="O429" s="50" t="e">
        <f t="shared" si="85"/>
        <v>#REF!</v>
      </c>
      <c r="P429" s="53" t="e">
        <f t="shared" si="86"/>
        <v>#REF!</v>
      </c>
      <c r="Q429" s="54" t="e">
        <f>'Product info'!#REF!</f>
        <v>#REF!</v>
      </c>
      <c r="R429" s="54" t="e">
        <f>'Product info'!#REF!</f>
        <v>#REF!</v>
      </c>
      <c r="S429" s="54" t="e">
        <f>'Product info'!#REF!</f>
        <v>#REF!</v>
      </c>
      <c r="T429" s="50" t="e">
        <f>'Product info'!#REF!</f>
        <v>#REF!</v>
      </c>
      <c r="U429" s="52" t="e">
        <f t="shared" si="87"/>
        <v>#REF!</v>
      </c>
      <c r="V429" s="50" t="e">
        <f t="shared" si="88"/>
        <v>#REF!</v>
      </c>
      <c r="W429" s="50" t="e">
        <f t="shared" si="89"/>
        <v>#REF!</v>
      </c>
      <c r="X429" s="50" t="e">
        <f t="shared" si="90"/>
        <v>#REF!</v>
      </c>
      <c r="Y429" s="50" t="e">
        <f t="shared" si="91"/>
        <v>#REF!</v>
      </c>
      <c r="Z429" t="e">
        <f t="shared" si="92"/>
        <v>#REF!</v>
      </c>
    </row>
    <row r="430" spans="1:26" x14ac:dyDescent="0.4">
      <c r="A430" t="e">
        <f>'Product info'!#REF!</f>
        <v>#REF!</v>
      </c>
      <c r="B430" t="e">
        <f>'Product info'!#REF!</f>
        <v>#REF!</v>
      </c>
      <c r="C430" t="e">
        <f>'Product info'!#REF!</f>
        <v>#REF!</v>
      </c>
      <c r="D430" s="6" t="e">
        <f>'Product info'!#REF!</f>
        <v>#REF!</v>
      </c>
      <c r="E430" t="e">
        <f t="shared" si="80"/>
        <v>#REF!</v>
      </c>
      <c r="F430" s="50" t="e">
        <f>'Product info'!#REF!</f>
        <v>#REF!</v>
      </c>
      <c r="G430" s="50" t="e">
        <f>'Product info'!#REF!</f>
        <v>#REF!</v>
      </c>
      <c r="H430" s="50" t="e">
        <f>'Product info'!#REF!</f>
        <v>#REF!</v>
      </c>
      <c r="I430" s="50" t="e">
        <f>'Product info'!#REF!</f>
        <v>#REF!</v>
      </c>
      <c r="J430" s="51" t="e">
        <f>'Product info'!#REF!</f>
        <v>#REF!</v>
      </c>
      <c r="K430" s="52" t="e">
        <f t="shared" si="81"/>
        <v>#REF!</v>
      </c>
      <c r="L430" s="50" t="e">
        <f t="shared" si="82"/>
        <v>#REF!</v>
      </c>
      <c r="M430" s="50" t="e">
        <f t="shared" si="83"/>
        <v>#REF!</v>
      </c>
      <c r="N430" s="50" t="e">
        <f t="shared" si="84"/>
        <v>#REF!</v>
      </c>
      <c r="O430" s="50" t="e">
        <f t="shared" si="85"/>
        <v>#REF!</v>
      </c>
      <c r="P430" s="53" t="e">
        <f t="shared" si="86"/>
        <v>#REF!</v>
      </c>
      <c r="Q430" s="54" t="e">
        <f>'Product info'!#REF!</f>
        <v>#REF!</v>
      </c>
      <c r="R430" s="54" t="e">
        <f>'Product info'!#REF!</f>
        <v>#REF!</v>
      </c>
      <c r="S430" s="54" t="e">
        <f>'Product info'!#REF!</f>
        <v>#REF!</v>
      </c>
      <c r="T430" s="50" t="e">
        <f>'Product info'!#REF!</f>
        <v>#REF!</v>
      </c>
      <c r="U430" s="52" t="e">
        <f t="shared" si="87"/>
        <v>#REF!</v>
      </c>
      <c r="V430" s="50" t="e">
        <f t="shared" si="88"/>
        <v>#REF!</v>
      </c>
      <c r="W430" s="50" t="e">
        <f t="shared" si="89"/>
        <v>#REF!</v>
      </c>
      <c r="X430" s="50" t="e">
        <f t="shared" si="90"/>
        <v>#REF!</v>
      </c>
      <c r="Y430" s="50" t="e">
        <f t="shared" si="91"/>
        <v>#REF!</v>
      </c>
      <c r="Z430" t="e">
        <f t="shared" si="92"/>
        <v>#REF!</v>
      </c>
    </row>
    <row r="431" spans="1:26" x14ac:dyDescent="0.4">
      <c r="A431" t="e">
        <f>'Product info'!#REF!</f>
        <v>#REF!</v>
      </c>
      <c r="B431" t="e">
        <f>'Product info'!#REF!</f>
        <v>#REF!</v>
      </c>
      <c r="C431" t="e">
        <f>'Product info'!#REF!</f>
        <v>#REF!</v>
      </c>
      <c r="D431" s="6" t="e">
        <f>'Product info'!#REF!</f>
        <v>#REF!</v>
      </c>
      <c r="E431" t="e">
        <f t="shared" si="80"/>
        <v>#REF!</v>
      </c>
      <c r="F431" s="50" t="e">
        <f>'Product info'!#REF!</f>
        <v>#REF!</v>
      </c>
      <c r="G431" s="50" t="e">
        <f>'Product info'!#REF!</f>
        <v>#REF!</v>
      </c>
      <c r="H431" s="50" t="e">
        <f>'Product info'!#REF!</f>
        <v>#REF!</v>
      </c>
      <c r="I431" s="50" t="e">
        <f>'Product info'!#REF!</f>
        <v>#REF!</v>
      </c>
      <c r="J431" s="51" t="e">
        <f>'Product info'!#REF!</f>
        <v>#REF!</v>
      </c>
      <c r="K431" s="52" t="e">
        <f t="shared" si="81"/>
        <v>#REF!</v>
      </c>
      <c r="L431" s="50" t="e">
        <f t="shared" si="82"/>
        <v>#REF!</v>
      </c>
      <c r="M431" s="50" t="e">
        <f t="shared" si="83"/>
        <v>#REF!</v>
      </c>
      <c r="N431" s="50" t="e">
        <f t="shared" si="84"/>
        <v>#REF!</v>
      </c>
      <c r="O431" s="50" t="e">
        <f t="shared" si="85"/>
        <v>#REF!</v>
      </c>
      <c r="P431" s="53" t="e">
        <f t="shared" si="86"/>
        <v>#REF!</v>
      </c>
      <c r="Q431" s="54" t="e">
        <f>'Product info'!#REF!</f>
        <v>#REF!</v>
      </c>
      <c r="R431" s="54" t="e">
        <f>'Product info'!#REF!</f>
        <v>#REF!</v>
      </c>
      <c r="S431" s="54" t="e">
        <f>'Product info'!#REF!</f>
        <v>#REF!</v>
      </c>
      <c r="T431" s="50" t="e">
        <f>'Product info'!#REF!</f>
        <v>#REF!</v>
      </c>
      <c r="U431" s="52" t="e">
        <f t="shared" si="87"/>
        <v>#REF!</v>
      </c>
      <c r="V431" s="50" t="e">
        <f t="shared" si="88"/>
        <v>#REF!</v>
      </c>
      <c r="W431" s="50" t="e">
        <f t="shared" si="89"/>
        <v>#REF!</v>
      </c>
      <c r="X431" s="50" t="e">
        <f t="shared" si="90"/>
        <v>#REF!</v>
      </c>
      <c r="Y431" s="50" t="e">
        <f t="shared" si="91"/>
        <v>#REF!</v>
      </c>
      <c r="Z431" t="e">
        <f t="shared" si="92"/>
        <v>#REF!</v>
      </c>
    </row>
    <row r="432" spans="1:26" x14ac:dyDescent="0.4">
      <c r="A432" t="e">
        <f>'Product info'!#REF!</f>
        <v>#REF!</v>
      </c>
      <c r="B432" t="e">
        <f>'Product info'!#REF!</f>
        <v>#REF!</v>
      </c>
      <c r="C432" t="e">
        <f>'Product info'!#REF!</f>
        <v>#REF!</v>
      </c>
      <c r="D432" s="6" t="e">
        <f>'Product info'!#REF!</f>
        <v>#REF!</v>
      </c>
      <c r="E432" t="e">
        <f t="shared" si="80"/>
        <v>#REF!</v>
      </c>
      <c r="F432" s="50" t="e">
        <f>'Product info'!#REF!</f>
        <v>#REF!</v>
      </c>
      <c r="G432" s="50" t="e">
        <f>'Product info'!#REF!</f>
        <v>#REF!</v>
      </c>
      <c r="H432" s="50" t="e">
        <f>'Product info'!#REF!</f>
        <v>#REF!</v>
      </c>
      <c r="I432" s="50" t="e">
        <f>'Product info'!#REF!</f>
        <v>#REF!</v>
      </c>
      <c r="J432" s="51" t="e">
        <f>'Product info'!#REF!</f>
        <v>#REF!</v>
      </c>
      <c r="K432" s="52" t="e">
        <f t="shared" si="81"/>
        <v>#REF!</v>
      </c>
      <c r="L432" s="50" t="e">
        <f t="shared" si="82"/>
        <v>#REF!</v>
      </c>
      <c r="M432" s="50" t="e">
        <f t="shared" si="83"/>
        <v>#REF!</v>
      </c>
      <c r="N432" s="50" t="e">
        <f t="shared" si="84"/>
        <v>#REF!</v>
      </c>
      <c r="O432" s="50" t="e">
        <f t="shared" si="85"/>
        <v>#REF!</v>
      </c>
      <c r="P432" s="53" t="e">
        <f t="shared" si="86"/>
        <v>#REF!</v>
      </c>
      <c r="Q432" s="54" t="e">
        <f>'Product info'!#REF!</f>
        <v>#REF!</v>
      </c>
      <c r="R432" s="54" t="e">
        <f>'Product info'!#REF!</f>
        <v>#REF!</v>
      </c>
      <c r="S432" s="54" t="e">
        <f>'Product info'!#REF!</f>
        <v>#REF!</v>
      </c>
      <c r="T432" s="50" t="e">
        <f>'Product info'!#REF!</f>
        <v>#REF!</v>
      </c>
      <c r="U432" s="52" t="e">
        <f t="shared" si="87"/>
        <v>#REF!</v>
      </c>
      <c r="V432" s="50" t="e">
        <f t="shared" si="88"/>
        <v>#REF!</v>
      </c>
      <c r="W432" s="50" t="e">
        <f t="shared" si="89"/>
        <v>#REF!</v>
      </c>
      <c r="X432" s="50" t="e">
        <f t="shared" si="90"/>
        <v>#REF!</v>
      </c>
      <c r="Y432" s="50" t="e">
        <f t="shared" si="91"/>
        <v>#REF!</v>
      </c>
      <c r="Z432" t="e">
        <f t="shared" si="92"/>
        <v>#REF!</v>
      </c>
    </row>
    <row r="433" spans="1:26" x14ac:dyDescent="0.4">
      <c r="A433" t="e">
        <f>'Product info'!#REF!</f>
        <v>#REF!</v>
      </c>
      <c r="B433" t="e">
        <f>'Product info'!#REF!</f>
        <v>#REF!</v>
      </c>
      <c r="C433" t="e">
        <f>'Product info'!#REF!</f>
        <v>#REF!</v>
      </c>
      <c r="D433" s="6" t="e">
        <f>'Product info'!#REF!</f>
        <v>#REF!</v>
      </c>
      <c r="E433" t="e">
        <f t="shared" si="80"/>
        <v>#REF!</v>
      </c>
      <c r="F433" s="50" t="e">
        <f>'Product info'!#REF!</f>
        <v>#REF!</v>
      </c>
      <c r="G433" s="50" t="e">
        <f>'Product info'!#REF!</f>
        <v>#REF!</v>
      </c>
      <c r="H433" s="50" t="e">
        <f>'Product info'!#REF!</f>
        <v>#REF!</v>
      </c>
      <c r="I433" s="50" t="e">
        <f>'Product info'!#REF!</f>
        <v>#REF!</v>
      </c>
      <c r="J433" s="51" t="e">
        <f>'Product info'!#REF!</f>
        <v>#REF!</v>
      </c>
      <c r="K433" s="52" t="e">
        <f t="shared" si="81"/>
        <v>#REF!</v>
      </c>
      <c r="L433" s="50" t="e">
        <f t="shared" si="82"/>
        <v>#REF!</v>
      </c>
      <c r="M433" s="50" t="e">
        <f t="shared" si="83"/>
        <v>#REF!</v>
      </c>
      <c r="N433" s="50" t="e">
        <f t="shared" si="84"/>
        <v>#REF!</v>
      </c>
      <c r="O433" s="50" t="e">
        <f t="shared" si="85"/>
        <v>#REF!</v>
      </c>
      <c r="P433" s="53" t="e">
        <f t="shared" si="86"/>
        <v>#REF!</v>
      </c>
      <c r="Q433" s="54" t="e">
        <f>'Product info'!#REF!</f>
        <v>#REF!</v>
      </c>
      <c r="R433" s="54" t="e">
        <f>'Product info'!#REF!</f>
        <v>#REF!</v>
      </c>
      <c r="S433" s="54" t="e">
        <f>'Product info'!#REF!</f>
        <v>#REF!</v>
      </c>
      <c r="T433" s="50" t="e">
        <f>'Product info'!#REF!</f>
        <v>#REF!</v>
      </c>
      <c r="U433" s="52" t="e">
        <f t="shared" si="87"/>
        <v>#REF!</v>
      </c>
      <c r="V433" s="50" t="e">
        <f t="shared" si="88"/>
        <v>#REF!</v>
      </c>
      <c r="W433" s="50" t="e">
        <f t="shared" si="89"/>
        <v>#REF!</v>
      </c>
      <c r="X433" s="50" t="e">
        <f t="shared" si="90"/>
        <v>#REF!</v>
      </c>
      <c r="Y433" s="50" t="e">
        <f t="shared" si="91"/>
        <v>#REF!</v>
      </c>
      <c r="Z433" t="e">
        <f t="shared" si="92"/>
        <v>#REF!</v>
      </c>
    </row>
    <row r="434" spans="1:26" x14ac:dyDescent="0.4">
      <c r="A434" t="e">
        <f>'Product info'!#REF!</f>
        <v>#REF!</v>
      </c>
      <c r="B434" t="e">
        <f>'Product info'!#REF!</f>
        <v>#REF!</v>
      </c>
      <c r="C434" t="e">
        <f>'Product info'!#REF!</f>
        <v>#REF!</v>
      </c>
      <c r="D434" s="6" t="e">
        <f>'Product info'!#REF!</f>
        <v>#REF!</v>
      </c>
      <c r="E434" t="e">
        <f t="shared" si="80"/>
        <v>#REF!</v>
      </c>
      <c r="F434" s="50" t="e">
        <f>'Product info'!#REF!</f>
        <v>#REF!</v>
      </c>
      <c r="G434" s="50" t="e">
        <f>'Product info'!#REF!</f>
        <v>#REF!</v>
      </c>
      <c r="H434" s="50" t="e">
        <f>'Product info'!#REF!</f>
        <v>#REF!</v>
      </c>
      <c r="I434" s="50" t="e">
        <f>'Product info'!#REF!</f>
        <v>#REF!</v>
      </c>
      <c r="J434" s="51" t="e">
        <f>'Product info'!#REF!</f>
        <v>#REF!</v>
      </c>
      <c r="K434" s="52" t="e">
        <f t="shared" si="81"/>
        <v>#REF!</v>
      </c>
      <c r="L434" s="50" t="e">
        <f t="shared" si="82"/>
        <v>#REF!</v>
      </c>
      <c r="M434" s="50" t="e">
        <f t="shared" si="83"/>
        <v>#REF!</v>
      </c>
      <c r="N434" s="50" t="e">
        <f t="shared" si="84"/>
        <v>#REF!</v>
      </c>
      <c r="O434" s="50" t="e">
        <f t="shared" si="85"/>
        <v>#REF!</v>
      </c>
      <c r="P434" s="53" t="e">
        <f t="shared" si="86"/>
        <v>#REF!</v>
      </c>
      <c r="Q434" s="54" t="e">
        <f>'Product info'!#REF!</f>
        <v>#REF!</v>
      </c>
      <c r="R434" s="54" t="e">
        <f>'Product info'!#REF!</f>
        <v>#REF!</v>
      </c>
      <c r="S434" s="54" t="e">
        <f>'Product info'!#REF!</f>
        <v>#REF!</v>
      </c>
      <c r="T434" s="50" t="e">
        <f>'Product info'!#REF!</f>
        <v>#REF!</v>
      </c>
      <c r="U434" s="52" t="e">
        <f t="shared" si="87"/>
        <v>#REF!</v>
      </c>
      <c r="V434" s="50" t="e">
        <f t="shared" si="88"/>
        <v>#REF!</v>
      </c>
      <c r="W434" s="50" t="e">
        <f t="shared" si="89"/>
        <v>#REF!</v>
      </c>
      <c r="X434" s="50" t="e">
        <f t="shared" si="90"/>
        <v>#REF!</v>
      </c>
      <c r="Y434" s="50" t="e">
        <f t="shared" si="91"/>
        <v>#REF!</v>
      </c>
      <c r="Z434" t="e">
        <f t="shared" si="92"/>
        <v>#REF!</v>
      </c>
    </row>
    <row r="435" spans="1:26" x14ac:dyDescent="0.4">
      <c r="A435" t="e">
        <f>'Product info'!#REF!</f>
        <v>#REF!</v>
      </c>
      <c r="B435" t="e">
        <f>'Product info'!#REF!</f>
        <v>#REF!</v>
      </c>
      <c r="C435" t="e">
        <f>'Product info'!#REF!</f>
        <v>#REF!</v>
      </c>
      <c r="D435" s="6" t="e">
        <f>'Product info'!#REF!</f>
        <v>#REF!</v>
      </c>
      <c r="E435" t="e">
        <f t="shared" si="80"/>
        <v>#REF!</v>
      </c>
      <c r="F435" s="50" t="e">
        <f>'Product info'!#REF!</f>
        <v>#REF!</v>
      </c>
      <c r="G435" s="50" t="e">
        <f>'Product info'!#REF!</f>
        <v>#REF!</v>
      </c>
      <c r="H435" s="50" t="e">
        <f>'Product info'!#REF!</f>
        <v>#REF!</v>
      </c>
      <c r="I435" s="50" t="e">
        <f>'Product info'!#REF!</f>
        <v>#REF!</v>
      </c>
      <c r="J435" s="51" t="e">
        <f>'Product info'!#REF!</f>
        <v>#REF!</v>
      </c>
      <c r="K435" s="52" t="e">
        <f t="shared" si="81"/>
        <v>#REF!</v>
      </c>
      <c r="L435" s="50" t="e">
        <f t="shared" si="82"/>
        <v>#REF!</v>
      </c>
      <c r="M435" s="50" t="e">
        <f t="shared" si="83"/>
        <v>#REF!</v>
      </c>
      <c r="N435" s="50" t="e">
        <f t="shared" si="84"/>
        <v>#REF!</v>
      </c>
      <c r="O435" s="50" t="e">
        <f t="shared" si="85"/>
        <v>#REF!</v>
      </c>
      <c r="P435" s="53" t="e">
        <f t="shared" si="86"/>
        <v>#REF!</v>
      </c>
      <c r="Q435" s="54" t="e">
        <f>'Product info'!#REF!</f>
        <v>#REF!</v>
      </c>
      <c r="R435" s="54" t="e">
        <f>'Product info'!#REF!</f>
        <v>#REF!</v>
      </c>
      <c r="S435" s="54" t="e">
        <f>'Product info'!#REF!</f>
        <v>#REF!</v>
      </c>
      <c r="T435" s="50" t="e">
        <f>'Product info'!#REF!</f>
        <v>#REF!</v>
      </c>
      <c r="U435" s="52" t="e">
        <f t="shared" si="87"/>
        <v>#REF!</v>
      </c>
      <c r="V435" s="50" t="e">
        <f t="shared" si="88"/>
        <v>#REF!</v>
      </c>
      <c r="W435" s="50" t="e">
        <f t="shared" si="89"/>
        <v>#REF!</v>
      </c>
      <c r="X435" s="50" t="e">
        <f t="shared" si="90"/>
        <v>#REF!</v>
      </c>
      <c r="Y435" s="50" t="e">
        <f t="shared" si="91"/>
        <v>#REF!</v>
      </c>
      <c r="Z435" t="e">
        <f t="shared" si="92"/>
        <v>#REF!</v>
      </c>
    </row>
    <row r="436" spans="1:26" x14ac:dyDescent="0.4">
      <c r="A436" t="e">
        <f>'Product info'!#REF!</f>
        <v>#REF!</v>
      </c>
      <c r="B436" t="e">
        <f>'Product info'!#REF!</f>
        <v>#REF!</v>
      </c>
      <c r="C436" t="e">
        <f>'Product info'!#REF!</f>
        <v>#REF!</v>
      </c>
      <c r="D436" s="6" t="e">
        <f>'Product info'!#REF!</f>
        <v>#REF!</v>
      </c>
      <c r="E436" t="e">
        <f t="shared" si="80"/>
        <v>#REF!</v>
      </c>
      <c r="F436" s="50" t="e">
        <f>'Product info'!#REF!</f>
        <v>#REF!</v>
      </c>
      <c r="G436" s="50" t="e">
        <f>'Product info'!#REF!</f>
        <v>#REF!</v>
      </c>
      <c r="H436" s="50" t="e">
        <f>'Product info'!#REF!</f>
        <v>#REF!</v>
      </c>
      <c r="I436" s="50" t="e">
        <f>'Product info'!#REF!</f>
        <v>#REF!</v>
      </c>
      <c r="J436" s="51" t="e">
        <f>'Product info'!#REF!</f>
        <v>#REF!</v>
      </c>
      <c r="K436" s="52" t="e">
        <f t="shared" si="81"/>
        <v>#REF!</v>
      </c>
      <c r="L436" s="50" t="e">
        <f t="shared" si="82"/>
        <v>#REF!</v>
      </c>
      <c r="M436" s="50" t="e">
        <f t="shared" si="83"/>
        <v>#REF!</v>
      </c>
      <c r="N436" s="50" t="e">
        <f t="shared" si="84"/>
        <v>#REF!</v>
      </c>
      <c r="O436" s="50" t="e">
        <f t="shared" si="85"/>
        <v>#REF!</v>
      </c>
      <c r="P436" s="53" t="e">
        <f t="shared" si="86"/>
        <v>#REF!</v>
      </c>
      <c r="Q436" s="54" t="e">
        <f>'Product info'!#REF!</f>
        <v>#REF!</v>
      </c>
      <c r="R436" s="54" t="e">
        <f>'Product info'!#REF!</f>
        <v>#REF!</v>
      </c>
      <c r="S436" s="54" t="e">
        <f>'Product info'!#REF!</f>
        <v>#REF!</v>
      </c>
      <c r="T436" s="50" t="e">
        <f>'Product info'!#REF!</f>
        <v>#REF!</v>
      </c>
      <c r="U436" s="52" t="e">
        <f t="shared" si="87"/>
        <v>#REF!</v>
      </c>
      <c r="V436" s="50" t="e">
        <f t="shared" si="88"/>
        <v>#REF!</v>
      </c>
      <c r="W436" s="50" t="e">
        <f t="shared" si="89"/>
        <v>#REF!</v>
      </c>
      <c r="X436" s="50" t="e">
        <f t="shared" si="90"/>
        <v>#REF!</v>
      </c>
      <c r="Y436" s="50" t="e">
        <f t="shared" si="91"/>
        <v>#REF!</v>
      </c>
      <c r="Z436" t="e">
        <f t="shared" si="92"/>
        <v>#REF!</v>
      </c>
    </row>
    <row r="437" spans="1:26" x14ac:dyDescent="0.4">
      <c r="A437" t="e">
        <f>'Product info'!#REF!</f>
        <v>#REF!</v>
      </c>
      <c r="B437" t="e">
        <f>'Product info'!#REF!</f>
        <v>#REF!</v>
      </c>
      <c r="C437" t="e">
        <f>'Product info'!#REF!</f>
        <v>#REF!</v>
      </c>
      <c r="D437" s="6" t="e">
        <f>'Product info'!#REF!</f>
        <v>#REF!</v>
      </c>
      <c r="E437" t="e">
        <f t="shared" si="80"/>
        <v>#REF!</v>
      </c>
      <c r="F437" s="50" t="e">
        <f>'Product info'!#REF!</f>
        <v>#REF!</v>
      </c>
      <c r="G437" s="50" t="e">
        <f>'Product info'!#REF!</f>
        <v>#REF!</v>
      </c>
      <c r="H437" s="50" t="e">
        <f>'Product info'!#REF!</f>
        <v>#REF!</v>
      </c>
      <c r="I437" s="50" t="e">
        <f>'Product info'!#REF!</f>
        <v>#REF!</v>
      </c>
      <c r="J437" s="51" t="e">
        <f>'Product info'!#REF!</f>
        <v>#REF!</v>
      </c>
      <c r="K437" s="52" t="e">
        <f t="shared" si="81"/>
        <v>#REF!</v>
      </c>
      <c r="L437" s="50" t="e">
        <f t="shared" si="82"/>
        <v>#REF!</v>
      </c>
      <c r="M437" s="50" t="e">
        <f t="shared" si="83"/>
        <v>#REF!</v>
      </c>
      <c r="N437" s="50" t="e">
        <f t="shared" si="84"/>
        <v>#REF!</v>
      </c>
      <c r="O437" s="50" t="e">
        <f t="shared" si="85"/>
        <v>#REF!</v>
      </c>
      <c r="P437" s="53" t="e">
        <f t="shared" si="86"/>
        <v>#REF!</v>
      </c>
      <c r="Q437" s="54" t="e">
        <f>'Product info'!#REF!</f>
        <v>#REF!</v>
      </c>
      <c r="R437" s="54" t="e">
        <f>'Product info'!#REF!</f>
        <v>#REF!</v>
      </c>
      <c r="S437" s="54" t="e">
        <f>'Product info'!#REF!</f>
        <v>#REF!</v>
      </c>
      <c r="T437" s="50" t="e">
        <f>'Product info'!#REF!</f>
        <v>#REF!</v>
      </c>
      <c r="U437" s="52" t="e">
        <f t="shared" si="87"/>
        <v>#REF!</v>
      </c>
      <c r="V437" s="50" t="e">
        <f t="shared" si="88"/>
        <v>#REF!</v>
      </c>
      <c r="W437" s="50" t="e">
        <f t="shared" si="89"/>
        <v>#REF!</v>
      </c>
      <c r="X437" s="50" t="e">
        <f t="shared" si="90"/>
        <v>#REF!</v>
      </c>
      <c r="Y437" s="50" t="e">
        <f t="shared" si="91"/>
        <v>#REF!</v>
      </c>
      <c r="Z437" t="e">
        <f t="shared" si="92"/>
        <v>#REF!</v>
      </c>
    </row>
    <row r="438" spans="1:26" x14ac:dyDescent="0.4">
      <c r="A438" t="e">
        <f>'Product info'!#REF!</f>
        <v>#REF!</v>
      </c>
      <c r="B438" t="e">
        <f>'Product info'!#REF!</f>
        <v>#REF!</v>
      </c>
      <c r="C438" t="e">
        <f>'Product info'!#REF!</f>
        <v>#REF!</v>
      </c>
      <c r="D438" s="6" t="e">
        <f>'Product info'!#REF!</f>
        <v>#REF!</v>
      </c>
      <c r="E438" t="e">
        <f t="shared" si="80"/>
        <v>#REF!</v>
      </c>
      <c r="F438" s="50" t="e">
        <f>'Product info'!#REF!</f>
        <v>#REF!</v>
      </c>
      <c r="G438" s="50" t="e">
        <f>'Product info'!#REF!</f>
        <v>#REF!</v>
      </c>
      <c r="H438" s="50" t="e">
        <f>'Product info'!#REF!</f>
        <v>#REF!</v>
      </c>
      <c r="I438" s="50" t="e">
        <f>'Product info'!#REF!</f>
        <v>#REF!</v>
      </c>
      <c r="J438" s="51" t="e">
        <f>'Product info'!#REF!</f>
        <v>#REF!</v>
      </c>
      <c r="K438" s="52" t="e">
        <f t="shared" si="81"/>
        <v>#REF!</v>
      </c>
      <c r="L438" s="50" t="e">
        <f t="shared" si="82"/>
        <v>#REF!</v>
      </c>
      <c r="M438" s="50" t="e">
        <f t="shared" si="83"/>
        <v>#REF!</v>
      </c>
      <c r="N438" s="50" t="e">
        <f t="shared" si="84"/>
        <v>#REF!</v>
      </c>
      <c r="O438" s="50" t="e">
        <f t="shared" si="85"/>
        <v>#REF!</v>
      </c>
      <c r="P438" s="53" t="e">
        <f t="shared" si="86"/>
        <v>#REF!</v>
      </c>
      <c r="Q438" s="54" t="e">
        <f>'Product info'!#REF!</f>
        <v>#REF!</v>
      </c>
      <c r="R438" s="54" t="e">
        <f>'Product info'!#REF!</f>
        <v>#REF!</v>
      </c>
      <c r="S438" s="54" t="e">
        <f>'Product info'!#REF!</f>
        <v>#REF!</v>
      </c>
      <c r="T438" s="50" t="e">
        <f>'Product info'!#REF!</f>
        <v>#REF!</v>
      </c>
      <c r="U438" s="52" t="e">
        <f t="shared" si="87"/>
        <v>#REF!</v>
      </c>
      <c r="V438" s="50" t="e">
        <f t="shared" si="88"/>
        <v>#REF!</v>
      </c>
      <c r="W438" s="50" t="e">
        <f t="shared" si="89"/>
        <v>#REF!</v>
      </c>
      <c r="X438" s="50" t="e">
        <f t="shared" si="90"/>
        <v>#REF!</v>
      </c>
      <c r="Y438" s="50" t="e">
        <f t="shared" si="91"/>
        <v>#REF!</v>
      </c>
      <c r="Z438" t="e">
        <f t="shared" si="92"/>
        <v>#REF!</v>
      </c>
    </row>
    <row r="439" spans="1:26" x14ac:dyDescent="0.4">
      <c r="A439" t="e">
        <f>'Product info'!#REF!</f>
        <v>#REF!</v>
      </c>
      <c r="B439" t="e">
        <f>'Product info'!#REF!</f>
        <v>#REF!</v>
      </c>
      <c r="C439" t="e">
        <f>'Product info'!#REF!</f>
        <v>#REF!</v>
      </c>
      <c r="D439" s="6" t="e">
        <f>'Product info'!#REF!</f>
        <v>#REF!</v>
      </c>
      <c r="E439" t="e">
        <f t="shared" si="80"/>
        <v>#REF!</v>
      </c>
      <c r="F439" s="50" t="e">
        <f>'Product info'!#REF!</f>
        <v>#REF!</v>
      </c>
      <c r="G439" s="50" t="e">
        <f>'Product info'!#REF!</f>
        <v>#REF!</v>
      </c>
      <c r="H439" s="50" t="e">
        <f>'Product info'!#REF!</f>
        <v>#REF!</v>
      </c>
      <c r="I439" s="50" t="e">
        <f>'Product info'!#REF!</f>
        <v>#REF!</v>
      </c>
      <c r="J439" s="51" t="e">
        <f>'Product info'!#REF!</f>
        <v>#REF!</v>
      </c>
      <c r="K439" s="52" t="e">
        <f t="shared" si="81"/>
        <v>#REF!</v>
      </c>
      <c r="L439" s="50" t="e">
        <f t="shared" si="82"/>
        <v>#REF!</v>
      </c>
      <c r="M439" s="50" t="e">
        <f t="shared" si="83"/>
        <v>#REF!</v>
      </c>
      <c r="N439" s="50" t="e">
        <f t="shared" si="84"/>
        <v>#REF!</v>
      </c>
      <c r="O439" s="50" t="e">
        <f t="shared" si="85"/>
        <v>#REF!</v>
      </c>
      <c r="P439" s="53" t="e">
        <f t="shared" si="86"/>
        <v>#REF!</v>
      </c>
      <c r="Q439" s="54" t="e">
        <f>'Product info'!#REF!</f>
        <v>#REF!</v>
      </c>
      <c r="R439" s="54" t="e">
        <f>'Product info'!#REF!</f>
        <v>#REF!</v>
      </c>
      <c r="S439" s="54" t="e">
        <f>'Product info'!#REF!</f>
        <v>#REF!</v>
      </c>
      <c r="T439" s="50" t="e">
        <f>'Product info'!#REF!</f>
        <v>#REF!</v>
      </c>
      <c r="U439" s="52" t="e">
        <f t="shared" si="87"/>
        <v>#REF!</v>
      </c>
      <c r="V439" s="50" t="e">
        <f t="shared" si="88"/>
        <v>#REF!</v>
      </c>
      <c r="W439" s="50" t="e">
        <f t="shared" si="89"/>
        <v>#REF!</v>
      </c>
      <c r="X439" s="50" t="e">
        <f t="shared" si="90"/>
        <v>#REF!</v>
      </c>
      <c r="Y439" s="50" t="e">
        <f t="shared" si="91"/>
        <v>#REF!</v>
      </c>
      <c r="Z439" t="e">
        <f t="shared" si="92"/>
        <v>#REF!</v>
      </c>
    </row>
    <row r="440" spans="1:26" x14ac:dyDescent="0.4">
      <c r="A440" t="e">
        <f>'Product info'!#REF!</f>
        <v>#REF!</v>
      </c>
      <c r="B440" t="e">
        <f>'Product info'!#REF!</f>
        <v>#REF!</v>
      </c>
      <c r="C440" t="e">
        <f>'Product info'!#REF!</f>
        <v>#REF!</v>
      </c>
      <c r="D440" s="6" t="e">
        <f>'Product info'!#REF!</f>
        <v>#REF!</v>
      </c>
      <c r="E440" t="e">
        <f t="shared" si="80"/>
        <v>#REF!</v>
      </c>
      <c r="F440" s="50" t="e">
        <f>'Product info'!#REF!</f>
        <v>#REF!</v>
      </c>
      <c r="G440" s="50" t="e">
        <f>'Product info'!#REF!</f>
        <v>#REF!</v>
      </c>
      <c r="H440" s="50" t="e">
        <f>'Product info'!#REF!</f>
        <v>#REF!</v>
      </c>
      <c r="I440" s="50" t="e">
        <f>'Product info'!#REF!</f>
        <v>#REF!</v>
      </c>
      <c r="J440" s="51" t="e">
        <f>'Product info'!#REF!</f>
        <v>#REF!</v>
      </c>
      <c r="K440" s="52" t="e">
        <f t="shared" si="81"/>
        <v>#REF!</v>
      </c>
      <c r="L440" s="50" t="e">
        <f t="shared" si="82"/>
        <v>#REF!</v>
      </c>
      <c r="M440" s="50" t="e">
        <f t="shared" si="83"/>
        <v>#REF!</v>
      </c>
      <c r="N440" s="50" t="e">
        <f t="shared" si="84"/>
        <v>#REF!</v>
      </c>
      <c r="O440" s="50" t="e">
        <f t="shared" si="85"/>
        <v>#REF!</v>
      </c>
      <c r="P440" s="53" t="e">
        <f t="shared" si="86"/>
        <v>#REF!</v>
      </c>
      <c r="Q440" s="54" t="e">
        <f>'Product info'!#REF!</f>
        <v>#REF!</v>
      </c>
      <c r="R440" s="54" t="e">
        <f>'Product info'!#REF!</f>
        <v>#REF!</v>
      </c>
      <c r="S440" s="54" t="e">
        <f>'Product info'!#REF!</f>
        <v>#REF!</v>
      </c>
      <c r="T440" s="50" t="e">
        <f>'Product info'!#REF!</f>
        <v>#REF!</v>
      </c>
      <c r="U440" s="52" t="e">
        <f t="shared" si="87"/>
        <v>#REF!</v>
      </c>
      <c r="V440" s="50" t="e">
        <f t="shared" si="88"/>
        <v>#REF!</v>
      </c>
      <c r="W440" s="50" t="e">
        <f t="shared" si="89"/>
        <v>#REF!</v>
      </c>
      <c r="X440" s="50" t="e">
        <f t="shared" si="90"/>
        <v>#REF!</v>
      </c>
      <c r="Y440" s="50" t="e">
        <f t="shared" si="91"/>
        <v>#REF!</v>
      </c>
      <c r="Z440" t="e">
        <f t="shared" si="92"/>
        <v>#REF!</v>
      </c>
    </row>
    <row r="441" spans="1:26" x14ac:dyDescent="0.4">
      <c r="A441" t="e">
        <f>'Product info'!#REF!</f>
        <v>#REF!</v>
      </c>
      <c r="B441" t="e">
        <f>'Product info'!#REF!</f>
        <v>#REF!</v>
      </c>
      <c r="C441" t="e">
        <f>'Product info'!#REF!</f>
        <v>#REF!</v>
      </c>
      <c r="D441" s="6" t="e">
        <f>'Product info'!#REF!</f>
        <v>#REF!</v>
      </c>
      <c r="E441" t="e">
        <f t="shared" si="80"/>
        <v>#REF!</v>
      </c>
      <c r="F441" s="50" t="e">
        <f>'Product info'!#REF!</f>
        <v>#REF!</v>
      </c>
      <c r="G441" s="50" t="e">
        <f>'Product info'!#REF!</f>
        <v>#REF!</v>
      </c>
      <c r="H441" s="50" t="e">
        <f>'Product info'!#REF!</f>
        <v>#REF!</v>
      </c>
      <c r="I441" s="50" t="e">
        <f>'Product info'!#REF!</f>
        <v>#REF!</v>
      </c>
      <c r="J441" s="51" t="e">
        <f>'Product info'!#REF!</f>
        <v>#REF!</v>
      </c>
      <c r="K441" s="52" t="e">
        <f t="shared" si="81"/>
        <v>#REF!</v>
      </c>
      <c r="L441" s="50" t="e">
        <f t="shared" si="82"/>
        <v>#REF!</v>
      </c>
      <c r="M441" s="50" t="e">
        <f t="shared" si="83"/>
        <v>#REF!</v>
      </c>
      <c r="N441" s="50" t="e">
        <f t="shared" si="84"/>
        <v>#REF!</v>
      </c>
      <c r="O441" s="50" t="e">
        <f t="shared" si="85"/>
        <v>#REF!</v>
      </c>
      <c r="P441" s="53" t="e">
        <f t="shared" si="86"/>
        <v>#REF!</v>
      </c>
      <c r="Q441" s="54" t="e">
        <f>'Product info'!#REF!</f>
        <v>#REF!</v>
      </c>
      <c r="R441" s="54" t="e">
        <f>'Product info'!#REF!</f>
        <v>#REF!</v>
      </c>
      <c r="S441" s="54" t="e">
        <f>'Product info'!#REF!</f>
        <v>#REF!</v>
      </c>
      <c r="T441" s="50" t="e">
        <f>'Product info'!#REF!</f>
        <v>#REF!</v>
      </c>
      <c r="U441" s="52" t="e">
        <f t="shared" si="87"/>
        <v>#REF!</v>
      </c>
      <c r="V441" s="50" t="e">
        <f t="shared" si="88"/>
        <v>#REF!</v>
      </c>
      <c r="W441" s="50" t="e">
        <f t="shared" si="89"/>
        <v>#REF!</v>
      </c>
      <c r="X441" s="50" t="e">
        <f t="shared" si="90"/>
        <v>#REF!</v>
      </c>
      <c r="Y441" s="50" t="e">
        <f t="shared" si="91"/>
        <v>#REF!</v>
      </c>
      <c r="Z441" t="e">
        <f t="shared" si="92"/>
        <v>#REF!</v>
      </c>
    </row>
    <row r="442" spans="1:26" x14ac:dyDescent="0.4">
      <c r="A442" t="e">
        <f>'Product info'!#REF!</f>
        <v>#REF!</v>
      </c>
      <c r="B442" t="e">
        <f>'Product info'!#REF!</f>
        <v>#REF!</v>
      </c>
      <c r="C442" t="e">
        <f>'Product info'!#REF!</f>
        <v>#REF!</v>
      </c>
      <c r="D442" s="6" t="e">
        <f>'Product info'!#REF!</f>
        <v>#REF!</v>
      </c>
      <c r="E442" t="e">
        <f t="shared" si="80"/>
        <v>#REF!</v>
      </c>
      <c r="F442" s="50" t="e">
        <f>'Product info'!#REF!</f>
        <v>#REF!</v>
      </c>
      <c r="G442" s="50" t="e">
        <f>'Product info'!#REF!</f>
        <v>#REF!</v>
      </c>
      <c r="H442" s="50" t="e">
        <f>'Product info'!#REF!</f>
        <v>#REF!</v>
      </c>
      <c r="I442" s="50" t="e">
        <f>'Product info'!#REF!</f>
        <v>#REF!</v>
      </c>
      <c r="J442" s="51" t="e">
        <f>'Product info'!#REF!</f>
        <v>#REF!</v>
      </c>
      <c r="K442" s="52" t="e">
        <f t="shared" si="81"/>
        <v>#REF!</v>
      </c>
      <c r="L442" s="50" t="e">
        <f t="shared" si="82"/>
        <v>#REF!</v>
      </c>
      <c r="M442" s="50" t="e">
        <f t="shared" si="83"/>
        <v>#REF!</v>
      </c>
      <c r="N442" s="50" t="e">
        <f t="shared" si="84"/>
        <v>#REF!</v>
      </c>
      <c r="O442" s="50" t="e">
        <f t="shared" si="85"/>
        <v>#REF!</v>
      </c>
      <c r="P442" s="53" t="e">
        <f t="shared" si="86"/>
        <v>#REF!</v>
      </c>
      <c r="Q442" s="54" t="e">
        <f>'Product info'!#REF!</f>
        <v>#REF!</v>
      </c>
      <c r="R442" s="54" t="e">
        <f>'Product info'!#REF!</f>
        <v>#REF!</v>
      </c>
      <c r="S442" s="54" t="e">
        <f>'Product info'!#REF!</f>
        <v>#REF!</v>
      </c>
      <c r="T442" s="50" t="e">
        <f>'Product info'!#REF!</f>
        <v>#REF!</v>
      </c>
      <c r="U442" s="52" t="e">
        <f t="shared" si="87"/>
        <v>#REF!</v>
      </c>
      <c r="V442" s="50" t="e">
        <f t="shared" si="88"/>
        <v>#REF!</v>
      </c>
      <c r="W442" s="50" t="e">
        <f t="shared" si="89"/>
        <v>#REF!</v>
      </c>
      <c r="X442" s="50" t="e">
        <f t="shared" si="90"/>
        <v>#REF!</v>
      </c>
      <c r="Y442" s="50" t="e">
        <f t="shared" si="91"/>
        <v>#REF!</v>
      </c>
      <c r="Z442" t="e">
        <f t="shared" si="92"/>
        <v>#REF!</v>
      </c>
    </row>
    <row r="443" spans="1:26" x14ac:dyDescent="0.4">
      <c r="A443" t="e">
        <f>'Product info'!#REF!</f>
        <v>#REF!</v>
      </c>
      <c r="B443" t="e">
        <f>'Product info'!#REF!</f>
        <v>#REF!</v>
      </c>
      <c r="C443" t="e">
        <f>'Product info'!#REF!</f>
        <v>#REF!</v>
      </c>
      <c r="D443" s="6" t="e">
        <f>'Product info'!#REF!</f>
        <v>#REF!</v>
      </c>
      <c r="E443" t="e">
        <f t="shared" si="80"/>
        <v>#REF!</v>
      </c>
      <c r="F443" s="50" t="e">
        <f>'Product info'!#REF!</f>
        <v>#REF!</v>
      </c>
      <c r="G443" s="50" t="e">
        <f>'Product info'!#REF!</f>
        <v>#REF!</v>
      </c>
      <c r="H443" s="50" t="e">
        <f>'Product info'!#REF!</f>
        <v>#REF!</v>
      </c>
      <c r="I443" s="50" t="e">
        <f>'Product info'!#REF!</f>
        <v>#REF!</v>
      </c>
      <c r="J443" s="51" t="e">
        <f>'Product info'!#REF!</f>
        <v>#REF!</v>
      </c>
      <c r="K443" s="52" t="e">
        <f t="shared" si="81"/>
        <v>#REF!</v>
      </c>
      <c r="L443" s="50" t="e">
        <f t="shared" si="82"/>
        <v>#REF!</v>
      </c>
      <c r="M443" s="50" t="e">
        <f t="shared" si="83"/>
        <v>#REF!</v>
      </c>
      <c r="N443" s="50" t="e">
        <f t="shared" si="84"/>
        <v>#REF!</v>
      </c>
      <c r="O443" s="50" t="e">
        <f t="shared" si="85"/>
        <v>#REF!</v>
      </c>
      <c r="P443" s="53" t="e">
        <f t="shared" si="86"/>
        <v>#REF!</v>
      </c>
      <c r="Q443" s="54" t="e">
        <f>'Product info'!#REF!</f>
        <v>#REF!</v>
      </c>
      <c r="R443" s="54" t="e">
        <f>'Product info'!#REF!</f>
        <v>#REF!</v>
      </c>
      <c r="S443" s="54" t="e">
        <f>'Product info'!#REF!</f>
        <v>#REF!</v>
      </c>
      <c r="T443" s="50" t="e">
        <f>'Product info'!#REF!</f>
        <v>#REF!</v>
      </c>
      <c r="U443" s="52" t="e">
        <f t="shared" si="87"/>
        <v>#REF!</v>
      </c>
      <c r="V443" s="50" t="e">
        <f t="shared" si="88"/>
        <v>#REF!</v>
      </c>
      <c r="W443" s="50" t="e">
        <f t="shared" si="89"/>
        <v>#REF!</v>
      </c>
      <c r="X443" s="50" t="e">
        <f t="shared" si="90"/>
        <v>#REF!</v>
      </c>
      <c r="Y443" s="50" t="e">
        <f t="shared" si="91"/>
        <v>#REF!</v>
      </c>
      <c r="Z443" t="e">
        <f t="shared" si="92"/>
        <v>#REF!</v>
      </c>
    </row>
    <row r="444" spans="1:26" x14ac:dyDescent="0.4">
      <c r="A444" t="e">
        <f>'Product info'!#REF!</f>
        <v>#REF!</v>
      </c>
      <c r="B444" t="e">
        <f>'Product info'!#REF!</f>
        <v>#REF!</v>
      </c>
      <c r="C444" t="e">
        <f>'Product info'!#REF!</f>
        <v>#REF!</v>
      </c>
      <c r="D444" s="6" t="e">
        <f>'Product info'!#REF!</f>
        <v>#REF!</v>
      </c>
      <c r="E444" t="e">
        <f t="shared" si="80"/>
        <v>#REF!</v>
      </c>
      <c r="F444" s="50" t="e">
        <f>'Product info'!#REF!</f>
        <v>#REF!</v>
      </c>
      <c r="G444" s="50" t="e">
        <f>'Product info'!#REF!</f>
        <v>#REF!</v>
      </c>
      <c r="H444" s="50" t="e">
        <f>'Product info'!#REF!</f>
        <v>#REF!</v>
      </c>
      <c r="I444" s="50" t="e">
        <f>'Product info'!#REF!</f>
        <v>#REF!</v>
      </c>
      <c r="J444" s="51" t="e">
        <f>'Product info'!#REF!</f>
        <v>#REF!</v>
      </c>
      <c r="K444" s="52" t="e">
        <f t="shared" si="81"/>
        <v>#REF!</v>
      </c>
      <c r="L444" s="50" t="e">
        <f t="shared" si="82"/>
        <v>#REF!</v>
      </c>
      <c r="M444" s="50" t="e">
        <f t="shared" si="83"/>
        <v>#REF!</v>
      </c>
      <c r="N444" s="50" t="e">
        <f t="shared" si="84"/>
        <v>#REF!</v>
      </c>
      <c r="O444" s="50" t="e">
        <f t="shared" si="85"/>
        <v>#REF!</v>
      </c>
      <c r="P444" s="53" t="e">
        <f t="shared" si="86"/>
        <v>#REF!</v>
      </c>
      <c r="Q444" s="54" t="e">
        <f>'Product info'!#REF!</f>
        <v>#REF!</v>
      </c>
      <c r="R444" s="54" t="e">
        <f>'Product info'!#REF!</f>
        <v>#REF!</v>
      </c>
      <c r="S444" s="54" t="e">
        <f>'Product info'!#REF!</f>
        <v>#REF!</v>
      </c>
      <c r="T444" s="50" t="e">
        <f>'Product info'!#REF!</f>
        <v>#REF!</v>
      </c>
      <c r="U444" s="52" t="e">
        <f t="shared" si="87"/>
        <v>#REF!</v>
      </c>
      <c r="V444" s="50" t="e">
        <f t="shared" si="88"/>
        <v>#REF!</v>
      </c>
      <c r="W444" s="50" t="e">
        <f t="shared" si="89"/>
        <v>#REF!</v>
      </c>
      <c r="X444" s="50" t="e">
        <f t="shared" si="90"/>
        <v>#REF!</v>
      </c>
      <c r="Y444" s="50" t="e">
        <f t="shared" si="91"/>
        <v>#REF!</v>
      </c>
      <c r="Z444" t="e">
        <f t="shared" si="92"/>
        <v>#REF!</v>
      </c>
    </row>
    <row r="445" spans="1:26" x14ac:dyDescent="0.4">
      <c r="A445" t="e">
        <f>'Product info'!#REF!</f>
        <v>#REF!</v>
      </c>
      <c r="B445" t="e">
        <f>'Product info'!#REF!</f>
        <v>#REF!</v>
      </c>
      <c r="C445" t="e">
        <f>'Product info'!#REF!</f>
        <v>#REF!</v>
      </c>
      <c r="D445" s="6" t="e">
        <f>'Product info'!#REF!</f>
        <v>#REF!</v>
      </c>
      <c r="E445" t="e">
        <f t="shared" si="80"/>
        <v>#REF!</v>
      </c>
      <c r="F445" s="50" t="e">
        <f>'Product info'!#REF!</f>
        <v>#REF!</v>
      </c>
      <c r="G445" s="50" t="e">
        <f>'Product info'!#REF!</f>
        <v>#REF!</v>
      </c>
      <c r="H445" s="50" t="e">
        <f>'Product info'!#REF!</f>
        <v>#REF!</v>
      </c>
      <c r="I445" s="50" t="e">
        <f>'Product info'!#REF!</f>
        <v>#REF!</v>
      </c>
      <c r="J445" s="51" t="e">
        <f>'Product info'!#REF!</f>
        <v>#REF!</v>
      </c>
      <c r="K445" s="52" t="e">
        <f t="shared" si="81"/>
        <v>#REF!</v>
      </c>
      <c r="L445" s="50" t="e">
        <f t="shared" si="82"/>
        <v>#REF!</v>
      </c>
      <c r="M445" s="50" t="e">
        <f t="shared" si="83"/>
        <v>#REF!</v>
      </c>
      <c r="N445" s="50" t="e">
        <f t="shared" si="84"/>
        <v>#REF!</v>
      </c>
      <c r="O445" s="50" t="e">
        <f t="shared" si="85"/>
        <v>#REF!</v>
      </c>
      <c r="P445" s="53" t="e">
        <f t="shared" si="86"/>
        <v>#REF!</v>
      </c>
      <c r="Q445" s="54" t="e">
        <f>'Product info'!#REF!</f>
        <v>#REF!</v>
      </c>
      <c r="R445" s="54" t="e">
        <f>'Product info'!#REF!</f>
        <v>#REF!</v>
      </c>
      <c r="S445" s="54" t="e">
        <f>'Product info'!#REF!</f>
        <v>#REF!</v>
      </c>
      <c r="T445" s="50" t="e">
        <f>'Product info'!#REF!</f>
        <v>#REF!</v>
      </c>
      <c r="U445" s="52" t="e">
        <f t="shared" si="87"/>
        <v>#REF!</v>
      </c>
      <c r="V445" s="50" t="e">
        <f t="shared" si="88"/>
        <v>#REF!</v>
      </c>
      <c r="W445" s="50" t="e">
        <f t="shared" si="89"/>
        <v>#REF!</v>
      </c>
      <c r="X445" s="50" t="e">
        <f t="shared" si="90"/>
        <v>#REF!</v>
      </c>
      <c r="Y445" s="50" t="e">
        <f t="shared" si="91"/>
        <v>#REF!</v>
      </c>
      <c r="Z445" t="e">
        <f t="shared" si="92"/>
        <v>#REF!</v>
      </c>
    </row>
    <row r="446" spans="1:26" x14ac:dyDescent="0.4">
      <c r="A446" t="e">
        <f>'Product info'!#REF!</f>
        <v>#REF!</v>
      </c>
      <c r="B446" t="e">
        <f>'Product info'!#REF!</f>
        <v>#REF!</v>
      </c>
      <c r="C446" t="e">
        <f>'Product info'!#REF!</f>
        <v>#REF!</v>
      </c>
      <c r="D446" s="6" t="e">
        <f>'Product info'!#REF!</f>
        <v>#REF!</v>
      </c>
      <c r="E446" t="e">
        <f t="shared" si="80"/>
        <v>#REF!</v>
      </c>
      <c r="F446" s="50" t="e">
        <f>'Product info'!#REF!</f>
        <v>#REF!</v>
      </c>
      <c r="G446" s="50" t="e">
        <f>'Product info'!#REF!</f>
        <v>#REF!</v>
      </c>
      <c r="H446" s="50" t="e">
        <f>'Product info'!#REF!</f>
        <v>#REF!</v>
      </c>
      <c r="I446" s="50" t="e">
        <f>'Product info'!#REF!</f>
        <v>#REF!</v>
      </c>
      <c r="J446" s="51" t="e">
        <f>'Product info'!#REF!</f>
        <v>#REF!</v>
      </c>
      <c r="K446" s="52" t="e">
        <f t="shared" si="81"/>
        <v>#REF!</v>
      </c>
      <c r="L446" s="50" t="e">
        <f t="shared" si="82"/>
        <v>#REF!</v>
      </c>
      <c r="M446" s="50" t="e">
        <f t="shared" si="83"/>
        <v>#REF!</v>
      </c>
      <c r="N446" s="50" t="e">
        <f t="shared" si="84"/>
        <v>#REF!</v>
      </c>
      <c r="O446" s="50" t="e">
        <f t="shared" si="85"/>
        <v>#REF!</v>
      </c>
      <c r="P446" s="53" t="e">
        <f t="shared" si="86"/>
        <v>#REF!</v>
      </c>
      <c r="Q446" s="54" t="e">
        <f>'Product info'!#REF!</f>
        <v>#REF!</v>
      </c>
      <c r="R446" s="54" t="e">
        <f>'Product info'!#REF!</f>
        <v>#REF!</v>
      </c>
      <c r="S446" s="54" t="e">
        <f>'Product info'!#REF!</f>
        <v>#REF!</v>
      </c>
      <c r="T446" s="50" t="e">
        <f>'Product info'!#REF!</f>
        <v>#REF!</v>
      </c>
      <c r="U446" s="52" t="e">
        <f t="shared" si="87"/>
        <v>#REF!</v>
      </c>
      <c r="V446" s="50" t="e">
        <f t="shared" si="88"/>
        <v>#REF!</v>
      </c>
      <c r="W446" s="50" t="e">
        <f t="shared" si="89"/>
        <v>#REF!</v>
      </c>
      <c r="X446" s="50" t="e">
        <f t="shared" si="90"/>
        <v>#REF!</v>
      </c>
      <c r="Y446" s="50" t="e">
        <f t="shared" si="91"/>
        <v>#REF!</v>
      </c>
      <c r="Z446" t="e">
        <f t="shared" si="92"/>
        <v>#REF!</v>
      </c>
    </row>
    <row r="447" spans="1:26" x14ac:dyDescent="0.4">
      <c r="A447" t="e">
        <f>'Product info'!#REF!</f>
        <v>#REF!</v>
      </c>
      <c r="B447" t="e">
        <f>'Product info'!#REF!</f>
        <v>#REF!</v>
      </c>
      <c r="C447" t="e">
        <f>'Product info'!#REF!</f>
        <v>#REF!</v>
      </c>
      <c r="D447" s="6" t="e">
        <f>'Product info'!#REF!</f>
        <v>#REF!</v>
      </c>
      <c r="E447" t="e">
        <f t="shared" si="80"/>
        <v>#REF!</v>
      </c>
      <c r="F447" s="50" t="e">
        <f>'Product info'!#REF!</f>
        <v>#REF!</v>
      </c>
      <c r="G447" s="50" t="e">
        <f>'Product info'!#REF!</f>
        <v>#REF!</v>
      </c>
      <c r="H447" s="50" t="e">
        <f>'Product info'!#REF!</f>
        <v>#REF!</v>
      </c>
      <c r="I447" s="50" t="e">
        <f>'Product info'!#REF!</f>
        <v>#REF!</v>
      </c>
      <c r="J447" s="51" t="e">
        <f>'Product info'!#REF!</f>
        <v>#REF!</v>
      </c>
      <c r="K447" s="52" t="e">
        <f t="shared" si="81"/>
        <v>#REF!</v>
      </c>
      <c r="L447" s="50" t="e">
        <f t="shared" si="82"/>
        <v>#REF!</v>
      </c>
      <c r="M447" s="50" t="e">
        <f t="shared" si="83"/>
        <v>#REF!</v>
      </c>
      <c r="N447" s="50" t="e">
        <f t="shared" si="84"/>
        <v>#REF!</v>
      </c>
      <c r="O447" s="50" t="e">
        <f t="shared" si="85"/>
        <v>#REF!</v>
      </c>
      <c r="P447" s="53" t="e">
        <f t="shared" si="86"/>
        <v>#REF!</v>
      </c>
      <c r="Q447" s="54" t="e">
        <f>'Product info'!#REF!</f>
        <v>#REF!</v>
      </c>
      <c r="R447" s="54" t="e">
        <f>'Product info'!#REF!</f>
        <v>#REF!</v>
      </c>
      <c r="S447" s="54" t="e">
        <f>'Product info'!#REF!</f>
        <v>#REF!</v>
      </c>
      <c r="T447" s="50" t="e">
        <f>'Product info'!#REF!</f>
        <v>#REF!</v>
      </c>
      <c r="U447" s="52" t="e">
        <f t="shared" si="87"/>
        <v>#REF!</v>
      </c>
      <c r="V447" s="50" t="e">
        <f t="shared" si="88"/>
        <v>#REF!</v>
      </c>
      <c r="W447" s="50" t="e">
        <f t="shared" si="89"/>
        <v>#REF!</v>
      </c>
      <c r="X447" s="50" t="e">
        <f t="shared" si="90"/>
        <v>#REF!</v>
      </c>
      <c r="Y447" s="50" t="e">
        <f t="shared" si="91"/>
        <v>#REF!</v>
      </c>
      <c r="Z447" t="e">
        <f t="shared" si="92"/>
        <v>#REF!</v>
      </c>
    </row>
    <row r="448" spans="1:26" x14ac:dyDescent="0.4">
      <c r="A448" t="e">
        <f>'Product info'!#REF!</f>
        <v>#REF!</v>
      </c>
      <c r="B448" t="e">
        <f>'Product info'!#REF!</f>
        <v>#REF!</v>
      </c>
      <c r="C448" t="e">
        <f>'Product info'!#REF!</f>
        <v>#REF!</v>
      </c>
      <c r="D448" s="6" t="e">
        <f>'Product info'!#REF!</f>
        <v>#REF!</v>
      </c>
      <c r="E448" t="e">
        <f t="shared" si="80"/>
        <v>#REF!</v>
      </c>
      <c r="F448" s="50" t="e">
        <f>'Product info'!#REF!</f>
        <v>#REF!</v>
      </c>
      <c r="G448" s="50" t="e">
        <f>'Product info'!#REF!</f>
        <v>#REF!</v>
      </c>
      <c r="H448" s="50" t="e">
        <f>'Product info'!#REF!</f>
        <v>#REF!</v>
      </c>
      <c r="I448" s="50" t="e">
        <f>'Product info'!#REF!</f>
        <v>#REF!</v>
      </c>
      <c r="J448" s="51" t="e">
        <f>'Product info'!#REF!</f>
        <v>#REF!</v>
      </c>
      <c r="K448" s="52" t="e">
        <f t="shared" si="81"/>
        <v>#REF!</v>
      </c>
      <c r="L448" s="50" t="e">
        <f t="shared" si="82"/>
        <v>#REF!</v>
      </c>
      <c r="M448" s="50" t="e">
        <f t="shared" si="83"/>
        <v>#REF!</v>
      </c>
      <c r="N448" s="50" t="e">
        <f t="shared" si="84"/>
        <v>#REF!</v>
      </c>
      <c r="O448" s="50" t="e">
        <f t="shared" si="85"/>
        <v>#REF!</v>
      </c>
      <c r="P448" s="53" t="e">
        <f t="shared" si="86"/>
        <v>#REF!</v>
      </c>
      <c r="Q448" s="54" t="e">
        <f>'Product info'!#REF!</f>
        <v>#REF!</v>
      </c>
      <c r="R448" s="54" t="e">
        <f>'Product info'!#REF!</f>
        <v>#REF!</v>
      </c>
      <c r="S448" s="54" t="e">
        <f>'Product info'!#REF!</f>
        <v>#REF!</v>
      </c>
      <c r="T448" s="50" t="e">
        <f>'Product info'!#REF!</f>
        <v>#REF!</v>
      </c>
      <c r="U448" s="52" t="e">
        <f t="shared" si="87"/>
        <v>#REF!</v>
      </c>
      <c r="V448" s="50" t="e">
        <f t="shared" si="88"/>
        <v>#REF!</v>
      </c>
      <c r="W448" s="50" t="e">
        <f t="shared" si="89"/>
        <v>#REF!</v>
      </c>
      <c r="X448" s="50" t="e">
        <f t="shared" si="90"/>
        <v>#REF!</v>
      </c>
      <c r="Y448" s="50" t="e">
        <f t="shared" si="91"/>
        <v>#REF!</v>
      </c>
      <c r="Z448" t="e">
        <f t="shared" si="92"/>
        <v>#REF!</v>
      </c>
    </row>
    <row r="449" spans="1:26" x14ac:dyDescent="0.4">
      <c r="A449" t="e">
        <f>'Product info'!#REF!</f>
        <v>#REF!</v>
      </c>
      <c r="B449" t="e">
        <f>'Product info'!#REF!</f>
        <v>#REF!</v>
      </c>
      <c r="C449" t="e">
        <f>'Product info'!#REF!</f>
        <v>#REF!</v>
      </c>
      <c r="D449" s="6" t="e">
        <f>'Product info'!#REF!</f>
        <v>#REF!</v>
      </c>
      <c r="E449" t="e">
        <f t="shared" si="80"/>
        <v>#REF!</v>
      </c>
      <c r="F449" s="50" t="e">
        <f>'Product info'!#REF!</f>
        <v>#REF!</v>
      </c>
      <c r="G449" s="50" t="e">
        <f>'Product info'!#REF!</f>
        <v>#REF!</v>
      </c>
      <c r="H449" s="50" t="e">
        <f>'Product info'!#REF!</f>
        <v>#REF!</v>
      </c>
      <c r="I449" s="50" t="e">
        <f>'Product info'!#REF!</f>
        <v>#REF!</v>
      </c>
      <c r="J449" s="51" t="e">
        <f>'Product info'!#REF!</f>
        <v>#REF!</v>
      </c>
      <c r="K449" s="52" t="e">
        <f t="shared" si="81"/>
        <v>#REF!</v>
      </c>
      <c r="L449" s="50" t="e">
        <f t="shared" si="82"/>
        <v>#REF!</v>
      </c>
      <c r="M449" s="50" t="e">
        <f t="shared" si="83"/>
        <v>#REF!</v>
      </c>
      <c r="N449" s="50" t="e">
        <f t="shared" si="84"/>
        <v>#REF!</v>
      </c>
      <c r="O449" s="50" t="e">
        <f t="shared" si="85"/>
        <v>#REF!</v>
      </c>
      <c r="P449" s="53" t="e">
        <f t="shared" si="86"/>
        <v>#REF!</v>
      </c>
      <c r="Q449" s="54" t="e">
        <f>'Product info'!#REF!</f>
        <v>#REF!</v>
      </c>
      <c r="R449" s="54" t="e">
        <f>'Product info'!#REF!</f>
        <v>#REF!</v>
      </c>
      <c r="S449" s="54" t="e">
        <f>'Product info'!#REF!</f>
        <v>#REF!</v>
      </c>
      <c r="T449" s="50" t="e">
        <f>'Product info'!#REF!</f>
        <v>#REF!</v>
      </c>
      <c r="U449" s="52" t="e">
        <f t="shared" si="87"/>
        <v>#REF!</v>
      </c>
      <c r="V449" s="50" t="e">
        <f t="shared" si="88"/>
        <v>#REF!</v>
      </c>
      <c r="W449" s="50" t="e">
        <f t="shared" si="89"/>
        <v>#REF!</v>
      </c>
      <c r="X449" s="50" t="e">
        <f t="shared" si="90"/>
        <v>#REF!</v>
      </c>
      <c r="Y449" s="50" t="e">
        <f t="shared" si="91"/>
        <v>#REF!</v>
      </c>
      <c r="Z449" t="e">
        <f t="shared" si="92"/>
        <v>#REF!</v>
      </c>
    </row>
    <row r="450" spans="1:26" x14ac:dyDescent="0.4">
      <c r="A450" t="e">
        <f>'Product info'!#REF!</f>
        <v>#REF!</v>
      </c>
      <c r="B450" t="e">
        <f>'Product info'!#REF!</f>
        <v>#REF!</v>
      </c>
      <c r="C450" t="e">
        <f>'Product info'!#REF!</f>
        <v>#REF!</v>
      </c>
      <c r="D450" s="6" t="e">
        <f>'Product info'!#REF!</f>
        <v>#REF!</v>
      </c>
      <c r="E450" t="e">
        <f t="shared" si="80"/>
        <v>#REF!</v>
      </c>
      <c r="F450" s="50" t="e">
        <f>'Product info'!#REF!</f>
        <v>#REF!</v>
      </c>
      <c r="G450" s="50" t="e">
        <f>'Product info'!#REF!</f>
        <v>#REF!</v>
      </c>
      <c r="H450" s="50" t="e">
        <f>'Product info'!#REF!</f>
        <v>#REF!</v>
      </c>
      <c r="I450" s="50" t="e">
        <f>'Product info'!#REF!</f>
        <v>#REF!</v>
      </c>
      <c r="J450" s="51" t="e">
        <f>'Product info'!#REF!</f>
        <v>#REF!</v>
      </c>
      <c r="K450" s="52" t="e">
        <f t="shared" si="81"/>
        <v>#REF!</v>
      </c>
      <c r="L450" s="50" t="e">
        <f t="shared" si="82"/>
        <v>#REF!</v>
      </c>
      <c r="M450" s="50" t="e">
        <f t="shared" si="83"/>
        <v>#REF!</v>
      </c>
      <c r="N450" s="50" t="e">
        <f t="shared" si="84"/>
        <v>#REF!</v>
      </c>
      <c r="O450" s="50" t="e">
        <f t="shared" si="85"/>
        <v>#REF!</v>
      </c>
      <c r="P450" s="53" t="e">
        <f t="shared" si="86"/>
        <v>#REF!</v>
      </c>
      <c r="Q450" s="54" t="e">
        <f>'Product info'!#REF!</f>
        <v>#REF!</v>
      </c>
      <c r="R450" s="54" t="e">
        <f>'Product info'!#REF!</f>
        <v>#REF!</v>
      </c>
      <c r="S450" s="54" t="e">
        <f>'Product info'!#REF!</f>
        <v>#REF!</v>
      </c>
      <c r="T450" s="50" t="e">
        <f>'Product info'!#REF!</f>
        <v>#REF!</v>
      </c>
      <c r="U450" s="52" t="e">
        <f t="shared" si="87"/>
        <v>#REF!</v>
      </c>
      <c r="V450" s="50" t="e">
        <f t="shared" si="88"/>
        <v>#REF!</v>
      </c>
      <c r="W450" s="50" t="e">
        <f t="shared" si="89"/>
        <v>#REF!</v>
      </c>
      <c r="X450" s="50" t="e">
        <f t="shared" si="90"/>
        <v>#REF!</v>
      </c>
      <c r="Y450" s="50" t="e">
        <f t="shared" si="91"/>
        <v>#REF!</v>
      </c>
      <c r="Z450" t="e">
        <f t="shared" si="92"/>
        <v>#REF!</v>
      </c>
    </row>
    <row r="451" spans="1:26" x14ac:dyDescent="0.4">
      <c r="A451" t="e">
        <f>'Product info'!#REF!</f>
        <v>#REF!</v>
      </c>
      <c r="B451" t="e">
        <f>'Product info'!#REF!</f>
        <v>#REF!</v>
      </c>
      <c r="C451" t="e">
        <f>'Product info'!#REF!</f>
        <v>#REF!</v>
      </c>
      <c r="D451" s="6" t="e">
        <f>'Product info'!#REF!</f>
        <v>#REF!</v>
      </c>
      <c r="E451" t="e">
        <f t="shared" si="80"/>
        <v>#REF!</v>
      </c>
      <c r="F451" s="50" t="e">
        <f>'Product info'!#REF!</f>
        <v>#REF!</v>
      </c>
      <c r="G451" s="50" t="e">
        <f>'Product info'!#REF!</f>
        <v>#REF!</v>
      </c>
      <c r="H451" s="50" t="e">
        <f>'Product info'!#REF!</f>
        <v>#REF!</v>
      </c>
      <c r="I451" s="50" t="e">
        <f>'Product info'!#REF!</f>
        <v>#REF!</v>
      </c>
      <c r="J451" s="51" t="e">
        <f>'Product info'!#REF!</f>
        <v>#REF!</v>
      </c>
      <c r="K451" s="52" t="e">
        <f t="shared" si="81"/>
        <v>#REF!</v>
      </c>
      <c r="L451" s="50" t="e">
        <f t="shared" si="82"/>
        <v>#REF!</v>
      </c>
      <c r="M451" s="50" t="e">
        <f t="shared" si="83"/>
        <v>#REF!</v>
      </c>
      <c r="N451" s="50" t="e">
        <f t="shared" si="84"/>
        <v>#REF!</v>
      </c>
      <c r="O451" s="50" t="e">
        <f t="shared" si="85"/>
        <v>#REF!</v>
      </c>
      <c r="P451" s="53" t="e">
        <f t="shared" si="86"/>
        <v>#REF!</v>
      </c>
      <c r="Q451" s="54" t="e">
        <f>'Product info'!#REF!</f>
        <v>#REF!</v>
      </c>
      <c r="R451" s="54" t="e">
        <f>'Product info'!#REF!</f>
        <v>#REF!</v>
      </c>
      <c r="S451" s="54" t="e">
        <f>'Product info'!#REF!</f>
        <v>#REF!</v>
      </c>
      <c r="T451" s="50" t="e">
        <f>'Product info'!#REF!</f>
        <v>#REF!</v>
      </c>
      <c r="U451" s="52" t="e">
        <f t="shared" si="87"/>
        <v>#REF!</v>
      </c>
      <c r="V451" s="50" t="e">
        <f t="shared" si="88"/>
        <v>#REF!</v>
      </c>
      <c r="W451" s="50" t="e">
        <f t="shared" si="89"/>
        <v>#REF!</v>
      </c>
      <c r="X451" s="50" t="e">
        <f t="shared" si="90"/>
        <v>#REF!</v>
      </c>
      <c r="Y451" s="50" t="e">
        <f t="shared" si="91"/>
        <v>#REF!</v>
      </c>
      <c r="Z451" t="e">
        <f t="shared" si="92"/>
        <v>#REF!</v>
      </c>
    </row>
    <row r="452" spans="1:26" x14ac:dyDescent="0.4">
      <c r="A452" t="e">
        <f>'Product info'!#REF!</f>
        <v>#REF!</v>
      </c>
      <c r="B452" t="e">
        <f>'Product info'!#REF!</f>
        <v>#REF!</v>
      </c>
      <c r="C452" t="e">
        <f>'Product info'!#REF!</f>
        <v>#REF!</v>
      </c>
      <c r="D452" s="6" t="e">
        <f>'Product info'!#REF!</f>
        <v>#REF!</v>
      </c>
      <c r="E452" t="e">
        <f t="shared" ref="E452:E515" si="93">F452&amp;"*"&amp;G452&amp;"*"&amp;H452</f>
        <v>#REF!</v>
      </c>
      <c r="F452" s="50" t="e">
        <f>'Product info'!#REF!</f>
        <v>#REF!</v>
      </c>
      <c r="G452" s="50" t="e">
        <f>'Product info'!#REF!</f>
        <v>#REF!</v>
      </c>
      <c r="H452" s="50" t="e">
        <f>'Product info'!#REF!</f>
        <v>#REF!</v>
      </c>
      <c r="I452" s="50" t="e">
        <f>'Product info'!#REF!</f>
        <v>#REF!</v>
      </c>
      <c r="J452" s="51" t="e">
        <f>'Product info'!#REF!</f>
        <v>#REF!</v>
      </c>
      <c r="K452" s="52" t="e">
        <f t="shared" ref="K452:K515" si="94">F452*G452*H452/(100*100*100)</f>
        <v>#REF!</v>
      </c>
      <c r="L452" s="50" t="e">
        <f t="shared" ref="L452:L515" si="95">F452*0.393701</f>
        <v>#REF!</v>
      </c>
      <c r="M452" s="50" t="e">
        <f t="shared" ref="M452:M515" si="96">G452*0.393701</f>
        <v>#REF!</v>
      </c>
      <c r="N452" s="50" t="e">
        <f t="shared" ref="N452:N515" si="97">H452*0.393701</f>
        <v>#REF!</v>
      </c>
      <c r="O452" s="50" t="e">
        <f t="shared" ref="O452:O515" si="98">I452*2.20462</f>
        <v>#REF!</v>
      </c>
      <c r="P452" s="53" t="e">
        <f t="shared" ref="P452:P515" si="99">Q452&amp;"*"&amp;R452&amp;"*"&amp;S452</f>
        <v>#REF!</v>
      </c>
      <c r="Q452" s="54" t="e">
        <f>'Product info'!#REF!</f>
        <v>#REF!</v>
      </c>
      <c r="R452" s="54" t="e">
        <f>'Product info'!#REF!</f>
        <v>#REF!</v>
      </c>
      <c r="S452" s="54" t="e">
        <f>'Product info'!#REF!</f>
        <v>#REF!</v>
      </c>
      <c r="T452" s="50" t="e">
        <f>'Product info'!#REF!</f>
        <v>#REF!</v>
      </c>
      <c r="U452" s="52" t="e">
        <f t="shared" ref="U452:U515" si="100">Q452*R452*S452/(100*100*100)</f>
        <v>#REF!</v>
      </c>
      <c r="V452" s="50" t="e">
        <f t="shared" ref="V452:V515" si="101">Q452*0.393701</f>
        <v>#REF!</v>
      </c>
      <c r="W452" s="50" t="e">
        <f t="shared" ref="W452:W515" si="102">R452*0.393701</f>
        <v>#REF!</v>
      </c>
      <c r="X452" s="50" t="e">
        <f t="shared" ref="X452:X515" si="103">S452*0.393701</f>
        <v>#REF!</v>
      </c>
      <c r="Y452" s="50" t="e">
        <f t="shared" ref="Y452:Y515" si="104">T452*2.20462</f>
        <v>#REF!</v>
      </c>
      <c r="Z452" t="e">
        <f t="shared" ref="Z452:Z515" si="105">K452/J452</f>
        <v>#REF!</v>
      </c>
    </row>
    <row r="453" spans="1:26" x14ac:dyDescent="0.4">
      <c r="A453" t="e">
        <f>'Product info'!#REF!</f>
        <v>#REF!</v>
      </c>
      <c r="B453" t="e">
        <f>'Product info'!#REF!</f>
        <v>#REF!</v>
      </c>
      <c r="C453" t="e">
        <f>'Product info'!#REF!</f>
        <v>#REF!</v>
      </c>
      <c r="D453" s="6" t="e">
        <f>'Product info'!#REF!</f>
        <v>#REF!</v>
      </c>
      <c r="E453" t="e">
        <f t="shared" si="93"/>
        <v>#REF!</v>
      </c>
      <c r="F453" s="50" t="e">
        <f>'Product info'!#REF!</f>
        <v>#REF!</v>
      </c>
      <c r="G453" s="50" t="e">
        <f>'Product info'!#REF!</f>
        <v>#REF!</v>
      </c>
      <c r="H453" s="50" t="e">
        <f>'Product info'!#REF!</f>
        <v>#REF!</v>
      </c>
      <c r="I453" s="50" t="e">
        <f>'Product info'!#REF!</f>
        <v>#REF!</v>
      </c>
      <c r="J453" s="51" t="e">
        <f>'Product info'!#REF!</f>
        <v>#REF!</v>
      </c>
      <c r="K453" s="52" t="e">
        <f t="shared" si="94"/>
        <v>#REF!</v>
      </c>
      <c r="L453" s="50" t="e">
        <f t="shared" si="95"/>
        <v>#REF!</v>
      </c>
      <c r="M453" s="50" t="e">
        <f t="shared" si="96"/>
        <v>#REF!</v>
      </c>
      <c r="N453" s="50" t="e">
        <f t="shared" si="97"/>
        <v>#REF!</v>
      </c>
      <c r="O453" s="50" t="e">
        <f t="shared" si="98"/>
        <v>#REF!</v>
      </c>
      <c r="P453" s="53" t="e">
        <f t="shared" si="99"/>
        <v>#REF!</v>
      </c>
      <c r="Q453" s="54" t="e">
        <f>'Product info'!#REF!</f>
        <v>#REF!</v>
      </c>
      <c r="R453" s="54" t="e">
        <f>'Product info'!#REF!</f>
        <v>#REF!</v>
      </c>
      <c r="S453" s="54" t="e">
        <f>'Product info'!#REF!</f>
        <v>#REF!</v>
      </c>
      <c r="T453" s="50" t="e">
        <f>'Product info'!#REF!</f>
        <v>#REF!</v>
      </c>
      <c r="U453" s="52" t="e">
        <f t="shared" si="100"/>
        <v>#REF!</v>
      </c>
      <c r="V453" s="50" t="e">
        <f t="shared" si="101"/>
        <v>#REF!</v>
      </c>
      <c r="W453" s="50" t="e">
        <f t="shared" si="102"/>
        <v>#REF!</v>
      </c>
      <c r="X453" s="50" t="e">
        <f t="shared" si="103"/>
        <v>#REF!</v>
      </c>
      <c r="Y453" s="50" t="e">
        <f t="shared" si="104"/>
        <v>#REF!</v>
      </c>
      <c r="Z453" t="e">
        <f t="shared" si="105"/>
        <v>#REF!</v>
      </c>
    </row>
    <row r="454" spans="1:26" x14ac:dyDescent="0.4">
      <c r="A454" t="e">
        <f>'Product info'!#REF!</f>
        <v>#REF!</v>
      </c>
      <c r="B454" t="e">
        <f>'Product info'!#REF!</f>
        <v>#REF!</v>
      </c>
      <c r="C454" t="e">
        <f>'Product info'!#REF!</f>
        <v>#REF!</v>
      </c>
      <c r="D454" s="6" t="e">
        <f>'Product info'!#REF!</f>
        <v>#REF!</v>
      </c>
      <c r="E454" t="e">
        <f t="shared" si="93"/>
        <v>#REF!</v>
      </c>
      <c r="F454" s="50" t="e">
        <f>'Product info'!#REF!</f>
        <v>#REF!</v>
      </c>
      <c r="G454" s="50" t="e">
        <f>'Product info'!#REF!</f>
        <v>#REF!</v>
      </c>
      <c r="H454" s="50" t="e">
        <f>'Product info'!#REF!</f>
        <v>#REF!</v>
      </c>
      <c r="I454" s="50" t="e">
        <f>'Product info'!#REF!</f>
        <v>#REF!</v>
      </c>
      <c r="J454" s="51" t="e">
        <f>'Product info'!#REF!</f>
        <v>#REF!</v>
      </c>
      <c r="K454" s="52" t="e">
        <f t="shared" si="94"/>
        <v>#REF!</v>
      </c>
      <c r="L454" s="50" t="e">
        <f t="shared" si="95"/>
        <v>#REF!</v>
      </c>
      <c r="M454" s="50" t="e">
        <f t="shared" si="96"/>
        <v>#REF!</v>
      </c>
      <c r="N454" s="50" t="e">
        <f t="shared" si="97"/>
        <v>#REF!</v>
      </c>
      <c r="O454" s="50" t="e">
        <f t="shared" si="98"/>
        <v>#REF!</v>
      </c>
      <c r="P454" s="53" t="e">
        <f t="shared" si="99"/>
        <v>#REF!</v>
      </c>
      <c r="Q454" s="54" t="e">
        <f>'Product info'!#REF!</f>
        <v>#REF!</v>
      </c>
      <c r="R454" s="54" t="e">
        <f>'Product info'!#REF!</f>
        <v>#REF!</v>
      </c>
      <c r="S454" s="54" t="e">
        <f>'Product info'!#REF!</f>
        <v>#REF!</v>
      </c>
      <c r="T454" s="50" t="e">
        <f>'Product info'!#REF!</f>
        <v>#REF!</v>
      </c>
      <c r="U454" s="52" t="e">
        <f t="shared" si="100"/>
        <v>#REF!</v>
      </c>
      <c r="V454" s="50" t="e">
        <f t="shared" si="101"/>
        <v>#REF!</v>
      </c>
      <c r="W454" s="50" t="e">
        <f t="shared" si="102"/>
        <v>#REF!</v>
      </c>
      <c r="X454" s="50" t="e">
        <f t="shared" si="103"/>
        <v>#REF!</v>
      </c>
      <c r="Y454" s="50" t="e">
        <f t="shared" si="104"/>
        <v>#REF!</v>
      </c>
      <c r="Z454" t="e">
        <f t="shared" si="105"/>
        <v>#REF!</v>
      </c>
    </row>
    <row r="455" spans="1:26" x14ac:dyDescent="0.4">
      <c r="A455" t="e">
        <f>'Product info'!#REF!</f>
        <v>#REF!</v>
      </c>
      <c r="B455" t="e">
        <f>'Product info'!#REF!</f>
        <v>#REF!</v>
      </c>
      <c r="C455" t="e">
        <f>'Product info'!#REF!</f>
        <v>#REF!</v>
      </c>
      <c r="D455" s="6" t="e">
        <f>'Product info'!#REF!</f>
        <v>#REF!</v>
      </c>
      <c r="E455" t="e">
        <f t="shared" si="93"/>
        <v>#REF!</v>
      </c>
      <c r="F455" s="50" t="e">
        <f>'Product info'!#REF!</f>
        <v>#REF!</v>
      </c>
      <c r="G455" s="50" t="e">
        <f>'Product info'!#REF!</f>
        <v>#REF!</v>
      </c>
      <c r="H455" s="50" t="e">
        <f>'Product info'!#REF!</f>
        <v>#REF!</v>
      </c>
      <c r="I455" s="50" t="e">
        <f>'Product info'!#REF!</f>
        <v>#REF!</v>
      </c>
      <c r="J455" s="51" t="e">
        <f>'Product info'!#REF!</f>
        <v>#REF!</v>
      </c>
      <c r="K455" s="52" t="e">
        <f t="shared" si="94"/>
        <v>#REF!</v>
      </c>
      <c r="L455" s="50" t="e">
        <f t="shared" si="95"/>
        <v>#REF!</v>
      </c>
      <c r="M455" s="50" t="e">
        <f t="shared" si="96"/>
        <v>#REF!</v>
      </c>
      <c r="N455" s="50" t="e">
        <f t="shared" si="97"/>
        <v>#REF!</v>
      </c>
      <c r="O455" s="50" t="e">
        <f t="shared" si="98"/>
        <v>#REF!</v>
      </c>
      <c r="P455" s="53" t="e">
        <f t="shared" si="99"/>
        <v>#REF!</v>
      </c>
      <c r="Q455" s="54" t="e">
        <f>'Product info'!#REF!</f>
        <v>#REF!</v>
      </c>
      <c r="R455" s="54" t="e">
        <f>'Product info'!#REF!</f>
        <v>#REF!</v>
      </c>
      <c r="S455" s="54" t="e">
        <f>'Product info'!#REF!</f>
        <v>#REF!</v>
      </c>
      <c r="T455" s="50" t="e">
        <f>'Product info'!#REF!</f>
        <v>#REF!</v>
      </c>
      <c r="U455" s="52" t="e">
        <f t="shared" si="100"/>
        <v>#REF!</v>
      </c>
      <c r="V455" s="50" t="e">
        <f t="shared" si="101"/>
        <v>#REF!</v>
      </c>
      <c r="W455" s="50" t="e">
        <f t="shared" si="102"/>
        <v>#REF!</v>
      </c>
      <c r="X455" s="50" t="e">
        <f t="shared" si="103"/>
        <v>#REF!</v>
      </c>
      <c r="Y455" s="50" t="e">
        <f t="shared" si="104"/>
        <v>#REF!</v>
      </c>
      <c r="Z455" t="e">
        <f t="shared" si="105"/>
        <v>#REF!</v>
      </c>
    </row>
    <row r="456" spans="1:26" x14ac:dyDescent="0.4">
      <c r="A456" t="e">
        <f>'Product info'!#REF!</f>
        <v>#REF!</v>
      </c>
      <c r="B456" t="e">
        <f>'Product info'!#REF!</f>
        <v>#REF!</v>
      </c>
      <c r="C456" t="e">
        <f>'Product info'!#REF!</f>
        <v>#REF!</v>
      </c>
      <c r="D456" s="6" t="e">
        <f>'Product info'!#REF!</f>
        <v>#REF!</v>
      </c>
      <c r="E456" t="e">
        <f t="shared" si="93"/>
        <v>#REF!</v>
      </c>
      <c r="F456" s="50" t="e">
        <f>'Product info'!#REF!</f>
        <v>#REF!</v>
      </c>
      <c r="G456" s="50" t="e">
        <f>'Product info'!#REF!</f>
        <v>#REF!</v>
      </c>
      <c r="H456" s="50" t="e">
        <f>'Product info'!#REF!</f>
        <v>#REF!</v>
      </c>
      <c r="I456" s="50" t="e">
        <f>'Product info'!#REF!</f>
        <v>#REF!</v>
      </c>
      <c r="J456" s="51" t="e">
        <f>'Product info'!#REF!</f>
        <v>#REF!</v>
      </c>
      <c r="K456" s="52" t="e">
        <f t="shared" si="94"/>
        <v>#REF!</v>
      </c>
      <c r="L456" s="50" t="e">
        <f t="shared" si="95"/>
        <v>#REF!</v>
      </c>
      <c r="M456" s="50" t="e">
        <f t="shared" si="96"/>
        <v>#REF!</v>
      </c>
      <c r="N456" s="50" t="e">
        <f t="shared" si="97"/>
        <v>#REF!</v>
      </c>
      <c r="O456" s="50" t="e">
        <f t="shared" si="98"/>
        <v>#REF!</v>
      </c>
      <c r="P456" s="53" t="e">
        <f t="shared" si="99"/>
        <v>#REF!</v>
      </c>
      <c r="Q456" s="54" t="e">
        <f>'Product info'!#REF!</f>
        <v>#REF!</v>
      </c>
      <c r="R456" s="54" t="e">
        <f>'Product info'!#REF!</f>
        <v>#REF!</v>
      </c>
      <c r="S456" s="54" t="e">
        <f>'Product info'!#REF!</f>
        <v>#REF!</v>
      </c>
      <c r="T456" s="50" t="e">
        <f>'Product info'!#REF!</f>
        <v>#REF!</v>
      </c>
      <c r="U456" s="52" t="e">
        <f t="shared" si="100"/>
        <v>#REF!</v>
      </c>
      <c r="V456" s="50" t="e">
        <f t="shared" si="101"/>
        <v>#REF!</v>
      </c>
      <c r="W456" s="50" t="e">
        <f t="shared" si="102"/>
        <v>#REF!</v>
      </c>
      <c r="X456" s="50" t="e">
        <f t="shared" si="103"/>
        <v>#REF!</v>
      </c>
      <c r="Y456" s="50" t="e">
        <f t="shared" si="104"/>
        <v>#REF!</v>
      </c>
      <c r="Z456" t="e">
        <f t="shared" si="105"/>
        <v>#REF!</v>
      </c>
    </row>
    <row r="457" spans="1:26" x14ac:dyDescent="0.4">
      <c r="A457" t="e">
        <f>'Product info'!#REF!</f>
        <v>#REF!</v>
      </c>
      <c r="B457" t="e">
        <f>'Product info'!#REF!</f>
        <v>#REF!</v>
      </c>
      <c r="C457" t="e">
        <f>'Product info'!#REF!</f>
        <v>#REF!</v>
      </c>
      <c r="D457" s="6" t="e">
        <f>'Product info'!#REF!</f>
        <v>#REF!</v>
      </c>
      <c r="E457" t="e">
        <f t="shared" si="93"/>
        <v>#REF!</v>
      </c>
      <c r="F457" s="50" t="e">
        <f>'Product info'!#REF!</f>
        <v>#REF!</v>
      </c>
      <c r="G457" s="50" t="e">
        <f>'Product info'!#REF!</f>
        <v>#REF!</v>
      </c>
      <c r="H457" s="50" t="e">
        <f>'Product info'!#REF!</f>
        <v>#REF!</v>
      </c>
      <c r="I457" s="50" t="e">
        <f>'Product info'!#REF!</f>
        <v>#REF!</v>
      </c>
      <c r="J457" s="51" t="e">
        <f>'Product info'!#REF!</f>
        <v>#REF!</v>
      </c>
      <c r="K457" s="52" t="e">
        <f t="shared" si="94"/>
        <v>#REF!</v>
      </c>
      <c r="L457" s="50" t="e">
        <f t="shared" si="95"/>
        <v>#REF!</v>
      </c>
      <c r="M457" s="50" t="e">
        <f t="shared" si="96"/>
        <v>#REF!</v>
      </c>
      <c r="N457" s="50" t="e">
        <f t="shared" si="97"/>
        <v>#REF!</v>
      </c>
      <c r="O457" s="50" t="e">
        <f t="shared" si="98"/>
        <v>#REF!</v>
      </c>
      <c r="P457" s="53" t="e">
        <f t="shared" si="99"/>
        <v>#REF!</v>
      </c>
      <c r="Q457" s="54" t="e">
        <f>'Product info'!#REF!</f>
        <v>#REF!</v>
      </c>
      <c r="R457" s="54" t="e">
        <f>'Product info'!#REF!</f>
        <v>#REF!</v>
      </c>
      <c r="S457" s="54" t="e">
        <f>'Product info'!#REF!</f>
        <v>#REF!</v>
      </c>
      <c r="T457" s="50" t="e">
        <f>'Product info'!#REF!</f>
        <v>#REF!</v>
      </c>
      <c r="U457" s="52" t="e">
        <f t="shared" si="100"/>
        <v>#REF!</v>
      </c>
      <c r="V457" s="50" t="e">
        <f t="shared" si="101"/>
        <v>#REF!</v>
      </c>
      <c r="W457" s="50" t="e">
        <f t="shared" si="102"/>
        <v>#REF!</v>
      </c>
      <c r="X457" s="50" t="e">
        <f t="shared" si="103"/>
        <v>#REF!</v>
      </c>
      <c r="Y457" s="50" t="e">
        <f t="shared" si="104"/>
        <v>#REF!</v>
      </c>
      <c r="Z457" t="e">
        <f t="shared" si="105"/>
        <v>#REF!</v>
      </c>
    </row>
    <row r="458" spans="1:26" x14ac:dyDescent="0.4">
      <c r="A458" t="e">
        <f>'Product info'!#REF!</f>
        <v>#REF!</v>
      </c>
      <c r="B458" t="e">
        <f>'Product info'!#REF!</f>
        <v>#REF!</v>
      </c>
      <c r="C458" t="e">
        <f>'Product info'!#REF!</f>
        <v>#REF!</v>
      </c>
      <c r="D458" s="6" t="e">
        <f>'Product info'!#REF!</f>
        <v>#REF!</v>
      </c>
      <c r="E458" t="e">
        <f t="shared" si="93"/>
        <v>#REF!</v>
      </c>
      <c r="F458" s="50" t="e">
        <f>'Product info'!#REF!</f>
        <v>#REF!</v>
      </c>
      <c r="G458" s="50" t="e">
        <f>'Product info'!#REF!</f>
        <v>#REF!</v>
      </c>
      <c r="H458" s="50" t="e">
        <f>'Product info'!#REF!</f>
        <v>#REF!</v>
      </c>
      <c r="I458" s="50" t="e">
        <f>'Product info'!#REF!</f>
        <v>#REF!</v>
      </c>
      <c r="J458" s="51" t="e">
        <f>'Product info'!#REF!</f>
        <v>#REF!</v>
      </c>
      <c r="K458" s="52" t="e">
        <f t="shared" si="94"/>
        <v>#REF!</v>
      </c>
      <c r="L458" s="50" t="e">
        <f t="shared" si="95"/>
        <v>#REF!</v>
      </c>
      <c r="M458" s="50" t="e">
        <f t="shared" si="96"/>
        <v>#REF!</v>
      </c>
      <c r="N458" s="50" t="e">
        <f t="shared" si="97"/>
        <v>#REF!</v>
      </c>
      <c r="O458" s="50" t="e">
        <f t="shared" si="98"/>
        <v>#REF!</v>
      </c>
      <c r="P458" s="53" t="e">
        <f t="shared" si="99"/>
        <v>#REF!</v>
      </c>
      <c r="Q458" s="54" t="e">
        <f>'Product info'!#REF!</f>
        <v>#REF!</v>
      </c>
      <c r="R458" s="54" t="e">
        <f>'Product info'!#REF!</f>
        <v>#REF!</v>
      </c>
      <c r="S458" s="54" t="e">
        <f>'Product info'!#REF!</f>
        <v>#REF!</v>
      </c>
      <c r="T458" s="50" t="e">
        <f>'Product info'!#REF!</f>
        <v>#REF!</v>
      </c>
      <c r="U458" s="52" t="e">
        <f t="shared" si="100"/>
        <v>#REF!</v>
      </c>
      <c r="V458" s="50" t="e">
        <f t="shared" si="101"/>
        <v>#REF!</v>
      </c>
      <c r="W458" s="50" t="e">
        <f t="shared" si="102"/>
        <v>#REF!</v>
      </c>
      <c r="X458" s="50" t="e">
        <f t="shared" si="103"/>
        <v>#REF!</v>
      </c>
      <c r="Y458" s="50" t="e">
        <f t="shared" si="104"/>
        <v>#REF!</v>
      </c>
      <c r="Z458" t="e">
        <f t="shared" si="105"/>
        <v>#REF!</v>
      </c>
    </row>
    <row r="459" spans="1:26" x14ac:dyDescent="0.4">
      <c r="A459" t="e">
        <f>'Product info'!#REF!</f>
        <v>#REF!</v>
      </c>
      <c r="B459" t="e">
        <f>'Product info'!#REF!</f>
        <v>#REF!</v>
      </c>
      <c r="C459" t="e">
        <f>'Product info'!#REF!</f>
        <v>#REF!</v>
      </c>
      <c r="D459" s="6" t="e">
        <f>'Product info'!#REF!</f>
        <v>#REF!</v>
      </c>
      <c r="E459" t="e">
        <f t="shared" si="93"/>
        <v>#REF!</v>
      </c>
      <c r="F459" s="50" t="e">
        <f>'Product info'!#REF!</f>
        <v>#REF!</v>
      </c>
      <c r="G459" s="50" t="e">
        <f>'Product info'!#REF!</f>
        <v>#REF!</v>
      </c>
      <c r="H459" s="50" t="e">
        <f>'Product info'!#REF!</f>
        <v>#REF!</v>
      </c>
      <c r="I459" s="50" t="e">
        <f>'Product info'!#REF!</f>
        <v>#REF!</v>
      </c>
      <c r="J459" s="51" t="e">
        <f>'Product info'!#REF!</f>
        <v>#REF!</v>
      </c>
      <c r="K459" s="52" t="e">
        <f t="shared" si="94"/>
        <v>#REF!</v>
      </c>
      <c r="L459" s="50" t="e">
        <f t="shared" si="95"/>
        <v>#REF!</v>
      </c>
      <c r="M459" s="50" t="e">
        <f t="shared" si="96"/>
        <v>#REF!</v>
      </c>
      <c r="N459" s="50" t="e">
        <f t="shared" si="97"/>
        <v>#REF!</v>
      </c>
      <c r="O459" s="50" t="e">
        <f t="shared" si="98"/>
        <v>#REF!</v>
      </c>
      <c r="P459" s="53" t="e">
        <f t="shared" si="99"/>
        <v>#REF!</v>
      </c>
      <c r="Q459" s="54" t="e">
        <f>'Product info'!#REF!</f>
        <v>#REF!</v>
      </c>
      <c r="R459" s="54" t="e">
        <f>'Product info'!#REF!</f>
        <v>#REF!</v>
      </c>
      <c r="S459" s="54" t="e">
        <f>'Product info'!#REF!</f>
        <v>#REF!</v>
      </c>
      <c r="T459" s="50" t="e">
        <f>'Product info'!#REF!</f>
        <v>#REF!</v>
      </c>
      <c r="U459" s="52" t="e">
        <f t="shared" si="100"/>
        <v>#REF!</v>
      </c>
      <c r="V459" s="50" t="e">
        <f t="shared" si="101"/>
        <v>#REF!</v>
      </c>
      <c r="W459" s="50" t="e">
        <f t="shared" si="102"/>
        <v>#REF!</v>
      </c>
      <c r="X459" s="50" t="e">
        <f t="shared" si="103"/>
        <v>#REF!</v>
      </c>
      <c r="Y459" s="50" t="e">
        <f t="shared" si="104"/>
        <v>#REF!</v>
      </c>
      <c r="Z459" t="e">
        <f t="shared" si="105"/>
        <v>#REF!</v>
      </c>
    </row>
    <row r="460" spans="1:26" x14ac:dyDescent="0.4">
      <c r="A460" t="e">
        <f>'Product info'!#REF!</f>
        <v>#REF!</v>
      </c>
      <c r="B460" t="e">
        <f>'Product info'!#REF!</f>
        <v>#REF!</v>
      </c>
      <c r="C460" t="e">
        <f>'Product info'!#REF!</f>
        <v>#REF!</v>
      </c>
      <c r="D460" s="6" t="e">
        <f>'Product info'!#REF!</f>
        <v>#REF!</v>
      </c>
      <c r="E460" t="e">
        <f t="shared" si="93"/>
        <v>#REF!</v>
      </c>
      <c r="F460" s="50" t="e">
        <f>'Product info'!#REF!</f>
        <v>#REF!</v>
      </c>
      <c r="G460" s="50" t="e">
        <f>'Product info'!#REF!</f>
        <v>#REF!</v>
      </c>
      <c r="H460" s="50" t="e">
        <f>'Product info'!#REF!</f>
        <v>#REF!</v>
      </c>
      <c r="I460" s="50" t="e">
        <f>'Product info'!#REF!</f>
        <v>#REF!</v>
      </c>
      <c r="J460" s="51" t="e">
        <f>'Product info'!#REF!</f>
        <v>#REF!</v>
      </c>
      <c r="K460" s="52" t="e">
        <f t="shared" si="94"/>
        <v>#REF!</v>
      </c>
      <c r="L460" s="50" t="e">
        <f t="shared" si="95"/>
        <v>#REF!</v>
      </c>
      <c r="M460" s="50" t="e">
        <f t="shared" si="96"/>
        <v>#REF!</v>
      </c>
      <c r="N460" s="50" t="e">
        <f t="shared" si="97"/>
        <v>#REF!</v>
      </c>
      <c r="O460" s="50" t="e">
        <f t="shared" si="98"/>
        <v>#REF!</v>
      </c>
      <c r="P460" s="53" t="e">
        <f t="shared" si="99"/>
        <v>#REF!</v>
      </c>
      <c r="Q460" s="54" t="e">
        <f>'Product info'!#REF!</f>
        <v>#REF!</v>
      </c>
      <c r="R460" s="54" t="e">
        <f>'Product info'!#REF!</f>
        <v>#REF!</v>
      </c>
      <c r="S460" s="54" t="e">
        <f>'Product info'!#REF!</f>
        <v>#REF!</v>
      </c>
      <c r="T460" s="50" t="e">
        <f>'Product info'!#REF!</f>
        <v>#REF!</v>
      </c>
      <c r="U460" s="52" t="e">
        <f t="shared" si="100"/>
        <v>#REF!</v>
      </c>
      <c r="V460" s="50" t="e">
        <f t="shared" si="101"/>
        <v>#REF!</v>
      </c>
      <c r="W460" s="50" t="e">
        <f t="shared" si="102"/>
        <v>#REF!</v>
      </c>
      <c r="X460" s="50" t="e">
        <f t="shared" si="103"/>
        <v>#REF!</v>
      </c>
      <c r="Y460" s="50" t="e">
        <f t="shared" si="104"/>
        <v>#REF!</v>
      </c>
      <c r="Z460" t="e">
        <f t="shared" si="105"/>
        <v>#REF!</v>
      </c>
    </row>
    <row r="461" spans="1:26" x14ac:dyDescent="0.4">
      <c r="A461" t="e">
        <f>'Product info'!#REF!</f>
        <v>#REF!</v>
      </c>
      <c r="B461" t="e">
        <f>'Product info'!#REF!</f>
        <v>#REF!</v>
      </c>
      <c r="C461" t="e">
        <f>'Product info'!#REF!</f>
        <v>#REF!</v>
      </c>
      <c r="D461" s="6" t="e">
        <f>'Product info'!#REF!</f>
        <v>#REF!</v>
      </c>
      <c r="E461" t="e">
        <f t="shared" si="93"/>
        <v>#REF!</v>
      </c>
      <c r="F461" s="50" t="e">
        <f>'Product info'!#REF!</f>
        <v>#REF!</v>
      </c>
      <c r="G461" s="50" t="e">
        <f>'Product info'!#REF!</f>
        <v>#REF!</v>
      </c>
      <c r="H461" s="50" t="e">
        <f>'Product info'!#REF!</f>
        <v>#REF!</v>
      </c>
      <c r="I461" s="50" t="e">
        <f>'Product info'!#REF!</f>
        <v>#REF!</v>
      </c>
      <c r="J461" s="51" t="e">
        <f>'Product info'!#REF!</f>
        <v>#REF!</v>
      </c>
      <c r="K461" s="52" t="e">
        <f t="shared" si="94"/>
        <v>#REF!</v>
      </c>
      <c r="L461" s="50" t="e">
        <f t="shared" si="95"/>
        <v>#REF!</v>
      </c>
      <c r="M461" s="50" t="e">
        <f t="shared" si="96"/>
        <v>#REF!</v>
      </c>
      <c r="N461" s="50" t="e">
        <f t="shared" si="97"/>
        <v>#REF!</v>
      </c>
      <c r="O461" s="50" t="e">
        <f t="shared" si="98"/>
        <v>#REF!</v>
      </c>
      <c r="P461" s="53" t="e">
        <f t="shared" si="99"/>
        <v>#REF!</v>
      </c>
      <c r="Q461" s="54" t="e">
        <f>'Product info'!#REF!</f>
        <v>#REF!</v>
      </c>
      <c r="R461" s="54" t="e">
        <f>'Product info'!#REF!</f>
        <v>#REF!</v>
      </c>
      <c r="S461" s="54" t="e">
        <f>'Product info'!#REF!</f>
        <v>#REF!</v>
      </c>
      <c r="T461" s="50" t="e">
        <f>'Product info'!#REF!</f>
        <v>#REF!</v>
      </c>
      <c r="U461" s="52" t="e">
        <f t="shared" si="100"/>
        <v>#REF!</v>
      </c>
      <c r="V461" s="50" t="e">
        <f t="shared" si="101"/>
        <v>#REF!</v>
      </c>
      <c r="W461" s="50" t="e">
        <f t="shared" si="102"/>
        <v>#REF!</v>
      </c>
      <c r="X461" s="50" t="e">
        <f t="shared" si="103"/>
        <v>#REF!</v>
      </c>
      <c r="Y461" s="50" t="e">
        <f t="shared" si="104"/>
        <v>#REF!</v>
      </c>
      <c r="Z461" t="e">
        <f t="shared" si="105"/>
        <v>#REF!</v>
      </c>
    </row>
    <row r="462" spans="1:26" x14ac:dyDescent="0.4">
      <c r="A462" t="e">
        <f>'Product info'!#REF!</f>
        <v>#REF!</v>
      </c>
      <c r="B462" t="e">
        <f>'Product info'!#REF!</f>
        <v>#REF!</v>
      </c>
      <c r="C462" t="e">
        <f>'Product info'!#REF!</f>
        <v>#REF!</v>
      </c>
      <c r="D462" s="6" t="e">
        <f>'Product info'!#REF!</f>
        <v>#REF!</v>
      </c>
      <c r="E462" t="e">
        <f t="shared" si="93"/>
        <v>#REF!</v>
      </c>
      <c r="F462" s="50" t="e">
        <f>'Product info'!#REF!</f>
        <v>#REF!</v>
      </c>
      <c r="G462" s="50" t="e">
        <f>'Product info'!#REF!</f>
        <v>#REF!</v>
      </c>
      <c r="H462" s="50" t="e">
        <f>'Product info'!#REF!</f>
        <v>#REF!</v>
      </c>
      <c r="I462" s="50" t="e">
        <f>'Product info'!#REF!</f>
        <v>#REF!</v>
      </c>
      <c r="J462" s="51" t="e">
        <f>'Product info'!#REF!</f>
        <v>#REF!</v>
      </c>
      <c r="K462" s="52" t="e">
        <f t="shared" si="94"/>
        <v>#REF!</v>
      </c>
      <c r="L462" s="50" t="e">
        <f t="shared" si="95"/>
        <v>#REF!</v>
      </c>
      <c r="M462" s="50" t="e">
        <f t="shared" si="96"/>
        <v>#REF!</v>
      </c>
      <c r="N462" s="50" t="e">
        <f t="shared" si="97"/>
        <v>#REF!</v>
      </c>
      <c r="O462" s="50" t="e">
        <f t="shared" si="98"/>
        <v>#REF!</v>
      </c>
      <c r="P462" s="53" t="e">
        <f t="shared" si="99"/>
        <v>#REF!</v>
      </c>
      <c r="Q462" s="54" t="e">
        <f>'Product info'!#REF!</f>
        <v>#REF!</v>
      </c>
      <c r="R462" s="54" t="e">
        <f>'Product info'!#REF!</f>
        <v>#REF!</v>
      </c>
      <c r="S462" s="54" t="e">
        <f>'Product info'!#REF!</f>
        <v>#REF!</v>
      </c>
      <c r="T462" s="50" t="e">
        <f>'Product info'!#REF!</f>
        <v>#REF!</v>
      </c>
      <c r="U462" s="52" t="e">
        <f t="shared" si="100"/>
        <v>#REF!</v>
      </c>
      <c r="V462" s="50" t="e">
        <f t="shared" si="101"/>
        <v>#REF!</v>
      </c>
      <c r="W462" s="50" t="e">
        <f t="shared" si="102"/>
        <v>#REF!</v>
      </c>
      <c r="X462" s="50" t="e">
        <f t="shared" si="103"/>
        <v>#REF!</v>
      </c>
      <c r="Y462" s="50" t="e">
        <f t="shared" si="104"/>
        <v>#REF!</v>
      </c>
      <c r="Z462" t="e">
        <f t="shared" si="105"/>
        <v>#REF!</v>
      </c>
    </row>
    <row r="463" spans="1:26" x14ac:dyDescent="0.4">
      <c r="A463" t="e">
        <f>'Product info'!#REF!</f>
        <v>#REF!</v>
      </c>
      <c r="B463" t="e">
        <f>'Product info'!#REF!</f>
        <v>#REF!</v>
      </c>
      <c r="C463" t="e">
        <f>'Product info'!#REF!</f>
        <v>#REF!</v>
      </c>
      <c r="D463" s="6" t="e">
        <f>'Product info'!#REF!</f>
        <v>#REF!</v>
      </c>
      <c r="E463" t="e">
        <f t="shared" si="93"/>
        <v>#REF!</v>
      </c>
      <c r="F463" s="50" t="e">
        <f>'Product info'!#REF!</f>
        <v>#REF!</v>
      </c>
      <c r="G463" s="50" t="e">
        <f>'Product info'!#REF!</f>
        <v>#REF!</v>
      </c>
      <c r="H463" s="50" t="e">
        <f>'Product info'!#REF!</f>
        <v>#REF!</v>
      </c>
      <c r="I463" s="50" t="e">
        <f>'Product info'!#REF!</f>
        <v>#REF!</v>
      </c>
      <c r="J463" s="51" t="e">
        <f>'Product info'!#REF!</f>
        <v>#REF!</v>
      </c>
      <c r="K463" s="52" t="e">
        <f t="shared" si="94"/>
        <v>#REF!</v>
      </c>
      <c r="L463" s="50" t="e">
        <f t="shared" si="95"/>
        <v>#REF!</v>
      </c>
      <c r="M463" s="50" t="e">
        <f t="shared" si="96"/>
        <v>#REF!</v>
      </c>
      <c r="N463" s="50" t="e">
        <f t="shared" si="97"/>
        <v>#REF!</v>
      </c>
      <c r="O463" s="50" t="e">
        <f t="shared" si="98"/>
        <v>#REF!</v>
      </c>
      <c r="P463" s="53" t="e">
        <f t="shared" si="99"/>
        <v>#REF!</v>
      </c>
      <c r="Q463" s="54" t="e">
        <f>'Product info'!#REF!</f>
        <v>#REF!</v>
      </c>
      <c r="R463" s="54" t="e">
        <f>'Product info'!#REF!</f>
        <v>#REF!</v>
      </c>
      <c r="S463" s="54" t="e">
        <f>'Product info'!#REF!</f>
        <v>#REF!</v>
      </c>
      <c r="T463" s="50" t="e">
        <f>'Product info'!#REF!</f>
        <v>#REF!</v>
      </c>
      <c r="U463" s="52" t="e">
        <f t="shared" si="100"/>
        <v>#REF!</v>
      </c>
      <c r="V463" s="50" t="e">
        <f t="shared" si="101"/>
        <v>#REF!</v>
      </c>
      <c r="W463" s="50" t="e">
        <f t="shared" si="102"/>
        <v>#REF!</v>
      </c>
      <c r="X463" s="50" t="e">
        <f t="shared" si="103"/>
        <v>#REF!</v>
      </c>
      <c r="Y463" s="50" t="e">
        <f t="shared" si="104"/>
        <v>#REF!</v>
      </c>
      <c r="Z463" t="e">
        <f t="shared" si="105"/>
        <v>#REF!</v>
      </c>
    </row>
    <row r="464" spans="1:26" x14ac:dyDescent="0.4">
      <c r="A464" t="e">
        <f>'Product info'!#REF!</f>
        <v>#REF!</v>
      </c>
      <c r="B464" t="e">
        <f>'Product info'!#REF!</f>
        <v>#REF!</v>
      </c>
      <c r="C464" t="e">
        <f>'Product info'!#REF!</f>
        <v>#REF!</v>
      </c>
      <c r="D464" s="6" t="e">
        <f>'Product info'!#REF!</f>
        <v>#REF!</v>
      </c>
      <c r="E464" t="e">
        <f t="shared" si="93"/>
        <v>#REF!</v>
      </c>
      <c r="F464" s="50" t="e">
        <f>'Product info'!#REF!</f>
        <v>#REF!</v>
      </c>
      <c r="G464" s="50" t="e">
        <f>'Product info'!#REF!</f>
        <v>#REF!</v>
      </c>
      <c r="H464" s="50" t="e">
        <f>'Product info'!#REF!</f>
        <v>#REF!</v>
      </c>
      <c r="I464" s="50" t="e">
        <f>'Product info'!#REF!</f>
        <v>#REF!</v>
      </c>
      <c r="J464" s="51" t="e">
        <f>'Product info'!#REF!</f>
        <v>#REF!</v>
      </c>
      <c r="K464" s="52" t="e">
        <f t="shared" si="94"/>
        <v>#REF!</v>
      </c>
      <c r="L464" s="50" t="e">
        <f t="shared" si="95"/>
        <v>#REF!</v>
      </c>
      <c r="M464" s="50" t="e">
        <f t="shared" si="96"/>
        <v>#REF!</v>
      </c>
      <c r="N464" s="50" t="e">
        <f t="shared" si="97"/>
        <v>#REF!</v>
      </c>
      <c r="O464" s="50" t="e">
        <f t="shared" si="98"/>
        <v>#REF!</v>
      </c>
      <c r="P464" s="53" t="e">
        <f t="shared" si="99"/>
        <v>#REF!</v>
      </c>
      <c r="Q464" s="54" t="e">
        <f>'Product info'!#REF!</f>
        <v>#REF!</v>
      </c>
      <c r="R464" s="54" t="e">
        <f>'Product info'!#REF!</f>
        <v>#REF!</v>
      </c>
      <c r="S464" s="54" t="e">
        <f>'Product info'!#REF!</f>
        <v>#REF!</v>
      </c>
      <c r="T464" s="50" t="e">
        <f>'Product info'!#REF!</f>
        <v>#REF!</v>
      </c>
      <c r="U464" s="52" t="e">
        <f t="shared" si="100"/>
        <v>#REF!</v>
      </c>
      <c r="V464" s="50" t="e">
        <f t="shared" si="101"/>
        <v>#REF!</v>
      </c>
      <c r="W464" s="50" t="e">
        <f t="shared" si="102"/>
        <v>#REF!</v>
      </c>
      <c r="X464" s="50" t="e">
        <f t="shared" si="103"/>
        <v>#REF!</v>
      </c>
      <c r="Y464" s="50" t="e">
        <f t="shared" si="104"/>
        <v>#REF!</v>
      </c>
      <c r="Z464" t="e">
        <f t="shared" si="105"/>
        <v>#REF!</v>
      </c>
    </row>
    <row r="465" spans="1:26" x14ac:dyDescent="0.4">
      <c r="A465" t="e">
        <f>'Product info'!#REF!</f>
        <v>#REF!</v>
      </c>
      <c r="B465" t="e">
        <f>'Product info'!#REF!</f>
        <v>#REF!</v>
      </c>
      <c r="C465" t="e">
        <f>'Product info'!#REF!</f>
        <v>#REF!</v>
      </c>
      <c r="D465" s="6" t="e">
        <f>'Product info'!#REF!</f>
        <v>#REF!</v>
      </c>
      <c r="E465" t="e">
        <f t="shared" si="93"/>
        <v>#REF!</v>
      </c>
      <c r="F465" s="50" t="e">
        <f>'Product info'!#REF!</f>
        <v>#REF!</v>
      </c>
      <c r="G465" s="50" t="e">
        <f>'Product info'!#REF!</f>
        <v>#REF!</v>
      </c>
      <c r="H465" s="50" t="e">
        <f>'Product info'!#REF!</f>
        <v>#REF!</v>
      </c>
      <c r="I465" s="50" t="e">
        <f>'Product info'!#REF!</f>
        <v>#REF!</v>
      </c>
      <c r="J465" s="51" t="e">
        <f>'Product info'!#REF!</f>
        <v>#REF!</v>
      </c>
      <c r="K465" s="52" t="e">
        <f t="shared" si="94"/>
        <v>#REF!</v>
      </c>
      <c r="L465" s="50" t="e">
        <f t="shared" si="95"/>
        <v>#REF!</v>
      </c>
      <c r="M465" s="50" t="e">
        <f t="shared" si="96"/>
        <v>#REF!</v>
      </c>
      <c r="N465" s="50" t="e">
        <f t="shared" si="97"/>
        <v>#REF!</v>
      </c>
      <c r="O465" s="50" t="e">
        <f t="shared" si="98"/>
        <v>#REF!</v>
      </c>
      <c r="P465" s="53" t="e">
        <f t="shared" si="99"/>
        <v>#REF!</v>
      </c>
      <c r="Q465" s="54" t="e">
        <f>'Product info'!#REF!</f>
        <v>#REF!</v>
      </c>
      <c r="R465" s="54" t="e">
        <f>'Product info'!#REF!</f>
        <v>#REF!</v>
      </c>
      <c r="S465" s="54" t="e">
        <f>'Product info'!#REF!</f>
        <v>#REF!</v>
      </c>
      <c r="T465" s="50" t="e">
        <f>'Product info'!#REF!</f>
        <v>#REF!</v>
      </c>
      <c r="U465" s="52" t="e">
        <f t="shared" si="100"/>
        <v>#REF!</v>
      </c>
      <c r="V465" s="50" t="e">
        <f t="shared" si="101"/>
        <v>#REF!</v>
      </c>
      <c r="W465" s="50" t="e">
        <f t="shared" si="102"/>
        <v>#REF!</v>
      </c>
      <c r="X465" s="50" t="e">
        <f t="shared" si="103"/>
        <v>#REF!</v>
      </c>
      <c r="Y465" s="50" t="e">
        <f t="shared" si="104"/>
        <v>#REF!</v>
      </c>
      <c r="Z465" t="e">
        <f t="shared" si="105"/>
        <v>#REF!</v>
      </c>
    </row>
    <row r="466" spans="1:26" x14ac:dyDescent="0.4">
      <c r="A466" t="e">
        <f>'Product info'!#REF!</f>
        <v>#REF!</v>
      </c>
      <c r="B466" t="e">
        <f>'Product info'!#REF!</f>
        <v>#REF!</v>
      </c>
      <c r="C466" t="e">
        <f>'Product info'!#REF!</f>
        <v>#REF!</v>
      </c>
      <c r="D466" s="6" t="e">
        <f>'Product info'!#REF!</f>
        <v>#REF!</v>
      </c>
      <c r="E466" t="e">
        <f t="shared" si="93"/>
        <v>#REF!</v>
      </c>
      <c r="F466" s="50" t="e">
        <f>'Product info'!#REF!</f>
        <v>#REF!</v>
      </c>
      <c r="G466" s="50" t="e">
        <f>'Product info'!#REF!</f>
        <v>#REF!</v>
      </c>
      <c r="H466" s="50" t="e">
        <f>'Product info'!#REF!</f>
        <v>#REF!</v>
      </c>
      <c r="I466" s="50" t="e">
        <f>'Product info'!#REF!</f>
        <v>#REF!</v>
      </c>
      <c r="J466" s="51" t="e">
        <f>'Product info'!#REF!</f>
        <v>#REF!</v>
      </c>
      <c r="K466" s="52" t="e">
        <f t="shared" si="94"/>
        <v>#REF!</v>
      </c>
      <c r="L466" s="50" t="e">
        <f t="shared" si="95"/>
        <v>#REF!</v>
      </c>
      <c r="M466" s="50" t="e">
        <f t="shared" si="96"/>
        <v>#REF!</v>
      </c>
      <c r="N466" s="50" t="e">
        <f t="shared" si="97"/>
        <v>#REF!</v>
      </c>
      <c r="O466" s="50" t="e">
        <f t="shared" si="98"/>
        <v>#REF!</v>
      </c>
      <c r="P466" s="53" t="e">
        <f t="shared" si="99"/>
        <v>#REF!</v>
      </c>
      <c r="Q466" s="54" t="e">
        <f>'Product info'!#REF!</f>
        <v>#REF!</v>
      </c>
      <c r="R466" s="54" t="e">
        <f>'Product info'!#REF!</f>
        <v>#REF!</v>
      </c>
      <c r="S466" s="54" t="e">
        <f>'Product info'!#REF!</f>
        <v>#REF!</v>
      </c>
      <c r="T466" s="50" t="e">
        <f>'Product info'!#REF!</f>
        <v>#REF!</v>
      </c>
      <c r="U466" s="52" t="e">
        <f t="shared" si="100"/>
        <v>#REF!</v>
      </c>
      <c r="V466" s="50" t="e">
        <f t="shared" si="101"/>
        <v>#REF!</v>
      </c>
      <c r="W466" s="50" t="e">
        <f t="shared" si="102"/>
        <v>#REF!</v>
      </c>
      <c r="X466" s="50" t="e">
        <f t="shared" si="103"/>
        <v>#REF!</v>
      </c>
      <c r="Y466" s="50" t="e">
        <f t="shared" si="104"/>
        <v>#REF!</v>
      </c>
      <c r="Z466" t="e">
        <f t="shared" si="105"/>
        <v>#REF!</v>
      </c>
    </row>
    <row r="467" spans="1:26" x14ac:dyDescent="0.4">
      <c r="A467" t="e">
        <f>'Product info'!#REF!</f>
        <v>#REF!</v>
      </c>
      <c r="B467" t="e">
        <f>'Product info'!#REF!</f>
        <v>#REF!</v>
      </c>
      <c r="C467" t="e">
        <f>'Product info'!#REF!</f>
        <v>#REF!</v>
      </c>
      <c r="D467" s="6" t="e">
        <f>'Product info'!#REF!</f>
        <v>#REF!</v>
      </c>
      <c r="E467" t="e">
        <f t="shared" si="93"/>
        <v>#REF!</v>
      </c>
      <c r="F467" s="50" t="e">
        <f>'Product info'!#REF!</f>
        <v>#REF!</v>
      </c>
      <c r="G467" s="50" t="e">
        <f>'Product info'!#REF!</f>
        <v>#REF!</v>
      </c>
      <c r="H467" s="50" t="e">
        <f>'Product info'!#REF!</f>
        <v>#REF!</v>
      </c>
      <c r="I467" s="50" t="e">
        <f>'Product info'!#REF!</f>
        <v>#REF!</v>
      </c>
      <c r="J467" s="51" t="e">
        <f>'Product info'!#REF!</f>
        <v>#REF!</v>
      </c>
      <c r="K467" s="52" t="e">
        <f t="shared" si="94"/>
        <v>#REF!</v>
      </c>
      <c r="L467" s="50" t="e">
        <f t="shared" si="95"/>
        <v>#REF!</v>
      </c>
      <c r="M467" s="50" t="e">
        <f t="shared" si="96"/>
        <v>#REF!</v>
      </c>
      <c r="N467" s="50" t="e">
        <f t="shared" si="97"/>
        <v>#REF!</v>
      </c>
      <c r="O467" s="50" t="e">
        <f t="shared" si="98"/>
        <v>#REF!</v>
      </c>
      <c r="P467" s="53" t="e">
        <f t="shared" si="99"/>
        <v>#REF!</v>
      </c>
      <c r="Q467" s="54" t="e">
        <f>'Product info'!#REF!</f>
        <v>#REF!</v>
      </c>
      <c r="R467" s="54" t="e">
        <f>'Product info'!#REF!</f>
        <v>#REF!</v>
      </c>
      <c r="S467" s="54" t="e">
        <f>'Product info'!#REF!</f>
        <v>#REF!</v>
      </c>
      <c r="T467" s="50" t="e">
        <f>'Product info'!#REF!</f>
        <v>#REF!</v>
      </c>
      <c r="U467" s="52" t="e">
        <f t="shared" si="100"/>
        <v>#REF!</v>
      </c>
      <c r="V467" s="50" t="e">
        <f t="shared" si="101"/>
        <v>#REF!</v>
      </c>
      <c r="W467" s="50" t="e">
        <f t="shared" si="102"/>
        <v>#REF!</v>
      </c>
      <c r="X467" s="50" t="e">
        <f t="shared" si="103"/>
        <v>#REF!</v>
      </c>
      <c r="Y467" s="50" t="e">
        <f t="shared" si="104"/>
        <v>#REF!</v>
      </c>
      <c r="Z467" t="e">
        <f t="shared" si="105"/>
        <v>#REF!</v>
      </c>
    </row>
    <row r="468" spans="1:26" x14ac:dyDescent="0.4">
      <c r="A468" t="e">
        <f>'Product info'!#REF!</f>
        <v>#REF!</v>
      </c>
      <c r="B468" t="e">
        <f>'Product info'!#REF!</f>
        <v>#REF!</v>
      </c>
      <c r="C468" t="e">
        <f>'Product info'!#REF!</f>
        <v>#REF!</v>
      </c>
      <c r="D468" s="6" t="e">
        <f>'Product info'!#REF!</f>
        <v>#REF!</v>
      </c>
      <c r="E468" t="e">
        <f t="shared" si="93"/>
        <v>#REF!</v>
      </c>
      <c r="F468" s="50" t="e">
        <f>'Product info'!#REF!</f>
        <v>#REF!</v>
      </c>
      <c r="G468" s="50" t="e">
        <f>'Product info'!#REF!</f>
        <v>#REF!</v>
      </c>
      <c r="H468" s="50" t="e">
        <f>'Product info'!#REF!</f>
        <v>#REF!</v>
      </c>
      <c r="I468" s="50" t="e">
        <f>'Product info'!#REF!</f>
        <v>#REF!</v>
      </c>
      <c r="J468" s="51" t="e">
        <f>'Product info'!#REF!</f>
        <v>#REF!</v>
      </c>
      <c r="K468" s="52" t="e">
        <f t="shared" si="94"/>
        <v>#REF!</v>
      </c>
      <c r="L468" s="50" t="e">
        <f t="shared" si="95"/>
        <v>#REF!</v>
      </c>
      <c r="M468" s="50" t="e">
        <f t="shared" si="96"/>
        <v>#REF!</v>
      </c>
      <c r="N468" s="50" t="e">
        <f t="shared" si="97"/>
        <v>#REF!</v>
      </c>
      <c r="O468" s="50" t="e">
        <f t="shared" si="98"/>
        <v>#REF!</v>
      </c>
      <c r="P468" s="53" t="e">
        <f t="shared" si="99"/>
        <v>#REF!</v>
      </c>
      <c r="Q468" s="54" t="e">
        <f>'Product info'!#REF!</f>
        <v>#REF!</v>
      </c>
      <c r="R468" s="54" t="e">
        <f>'Product info'!#REF!</f>
        <v>#REF!</v>
      </c>
      <c r="S468" s="54" t="e">
        <f>'Product info'!#REF!</f>
        <v>#REF!</v>
      </c>
      <c r="T468" s="50" t="e">
        <f>'Product info'!#REF!</f>
        <v>#REF!</v>
      </c>
      <c r="U468" s="52" t="e">
        <f t="shared" si="100"/>
        <v>#REF!</v>
      </c>
      <c r="V468" s="50" t="e">
        <f t="shared" si="101"/>
        <v>#REF!</v>
      </c>
      <c r="W468" s="50" t="e">
        <f t="shared" si="102"/>
        <v>#REF!</v>
      </c>
      <c r="X468" s="50" t="e">
        <f t="shared" si="103"/>
        <v>#REF!</v>
      </c>
      <c r="Y468" s="50" t="e">
        <f t="shared" si="104"/>
        <v>#REF!</v>
      </c>
      <c r="Z468" t="e">
        <f t="shared" si="105"/>
        <v>#REF!</v>
      </c>
    </row>
    <row r="469" spans="1:26" x14ac:dyDescent="0.4">
      <c r="A469" t="e">
        <f>'Product info'!#REF!</f>
        <v>#REF!</v>
      </c>
      <c r="B469" t="e">
        <f>'Product info'!#REF!</f>
        <v>#REF!</v>
      </c>
      <c r="C469" t="e">
        <f>'Product info'!#REF!</f>
        <v>#REF!</v>
      </c>
      <c r="D469" s="6" t="e">
        <f>'Product info'!#REF!</f>
        <v>#REF!</v>
      </c>
      <c r="E469" t="e">
        <f t="shared" si="93"/>
        <v>#REF!</v>
      </c>
      <c r="F469" s="50" t="e">
        <f>'Product info'!#REF!</f>
        <v>#REF!</v>
      </c>
      <c r="G469" s="50" t="e">
        <f>'Product info'!#REF!</f>
        <v>#REF!</v>
      </c>
      <c r="H469" s="50" t="e">
        <f>'Product info'!#REF!</f>
        <v>#REF!</v>
      </c>
      <c r="I469" s="50" t="e">
        <f>'Product info'!#REF!</f>
        <v>#REF!</v>
      </c>
      <c r="J469" s="51" t="e">
        <f>'Product info'!#REF!</f>
        <v>#REF!</v>
      </c>
      <c r="K469" s="52" t="e">
        <f t="shared" si="94"/>
        <v>#REF!</v>
      </c>
      <c r="L469" s="50" t="e">
        <f t="shared" si="95"/>
        <v>#REF!</v>
      </c>
      <c r="M469" s="50" t="e">
        <f t="shared" si="96"/>
        <v>#REF!</v>
      </c>
      <c r="N469" s="50" t="e">
        <f t="shared" si="97"/>
        <v>#REF!</v>
      </c>
      <c r="O469" s="50" t="e">
        <f t="shared" si="98"/>
        <v>#REF!</v>
      </c>
      <c r="P469" s="53" t="e">
        <f t="shared" si="99"/>
        <v>#REF!</v>
      </c>
      <c r="Q469" s="54" t="e">
        <f>'Product info'!#REF!</f>
        <v>#REF!</v>
      </c>
      <c r="R469" s="54" t="e">
        <f>'Product info'!#REF!</f>
        <v>#REF!</v>
      </c>
      <c r="S469" s="54" t="e">
        <f>'Product info'!#REF!</f>
        <v>#REF!</v>
      </c>
      <c r="T469" s="50" t="e">
        <f>'Product info'!#REF!</f>
        <v>#REF!</v>
      </c>
      <c r="U469" s="52" t="e">
        <f t="shared" si="100"/>
        <v>#REF!</v>
      </c>
      <c r="V469" s="50" t="e">
        <f t="shared" si="101"/>
        <v>#REF!</v>
      </c>
      <c r="W469" s="50" t="e">
        <f t="shared" si="102"/>
        <v>#REF!</v>
      </c>
      <c r="X469" s="50" t="e">
        <f t="shared" si="103"/>
        <v>#REF!</v>
      </c>
      <c r="Y469" s="50" t="e">
        <f t="shared" si="104"/>
        <v>#REF!</v>
      </c>
      <c r="Z469" t="e">
        <f t="shared" si="105"/>
        <v>#REF!</v>
      </c>
    </row>
    <row r="470" spans="1:26" x14ac:dyDescent="0.4">
      <c r="A470" t="e">
        <f>'Product info'!#REF!</f>
        <v>#REF!</v>
      </c>
      <c r="B470" t="e">
        <f>'Product info'!#REF!</f>
        <v>#REF!</v>
      </c>
      <c r="C470" t="e">
        <f>'Product info'!#REF!</f>
        <v>#REF!</v>
      </c>
      <c r="D470" s="6" t="e">
        <f>'Product info'!#REF!</f>
        <v>#REF!</v>
      </c>
      <c r="E470" t="e">
        <f t="shared" si="93"/>
        <v>#REF!</v>
      </c>
      <c r="F470" s="50" t="e">
        <f>'Product info'!#REF!</f>
        <v>#REF!</v>
      </c>
      <c r="G470" s="50" t="e">
        <f>'Product info'!#REF!</f>
        <v>#REF!</v>
      </c>
      <c r="H470" s="50" t="e">
        <f>'Product info'!#REF!</f>
        <v>#REF!</v>
      </c>
      <c r="I470" s="50" t="e">
        <f>'Product info'!#REF!</f>
        <v>#REF!</v>
      </c>
      <c r="J470" s="51" t="e">
        <f>'Product info'!#REF!</f>
        <v>#REF!</v>
      </c>
      <c r="K470" s="52" t="e">
        <f t="shared" si="94"/>
        <v>#REF!</v>
      </c>
      <c r="L470" s="50" t="e">
        <f t="shared" si="95"/>
        <v>#REF!</v>
      </c>
      <c r="M470" s="50" t="e">
        <f t="shared" si="96"/>
        <v>#REF!</v>
      </c>
      <c r="N470" s="50" t="e">
        <f t="shared" si="97"/>
        <v>#REF!</v>
      </c>
      <c r="O470" s="50" t="e">
        <f t="shared" si="98"/>
        <v>#REF!</v>
      </c>
      <c r="P470" s="53" t="e">
        <f t="shared" si="99"/>
        <v>#REF!</v>
      </c>
      <c r="Q470" s="54" t="e">
        <f>'Product info'!#REF!</f>
        <v>#REF!</v>
      </c>
      <c r="R470" s="54" t="e">
        <f>'Product info'!#REF!</f>
        <v>#REF!</v>
      </c>
      <c r="S470" s="54" t="e">
        <f>'Product info'!#REF!</f>
        <v>#REF!</v>
      </c>
      <c r="T470" s="50" t="e">
        <f>'Product info'!#REF!</f>
        <v>#REF!</v>
      </c>
      <c r="U470" s="52" t="e">
        <f t="shared" si="100"/>
        <v>#REF!</v>
      </c>
      <c r="V470" s="50" t="e">
        <f t="shared" si="101"/>
        <v>#REF!</v>
      </c>
      <c r="W470" s="50" t="e">
        <f t="shared" si="102"/>
        <v>#REF!</v>
      </c>
      <c r="X470" s="50" t="e">
        <f t="shared" si="103"/>
        <v>#REF!</v>
      </c>
      <c r="Y470" s="50" t="e">
        <f t="shared" si="104"/>
        <v>#REF!</v>
      </c>
      <c r="Z470" t="e">
        <f t="shared" si="105"/>
        <v>#REF!</v>
      </c>
    </row>
    <row r="471" spans="1:26" x14ac:dyDescent="0.4">
      <c r="A471" t="e">
        <f>'Product info'!#REF!</f>
        <v>#REF!</v>
      </c>
      <c r="B471" t="e">
        <f>'Product info'!#REF!</f>
        <v>#REF!</v>
      </c>
      <c r="C471" t="e">
        <f>'Product info'!#REF!</f>
        <v>#REF!</v>
      </c>
      <c r="D471" s="6" t="e">
        <f>'Product info'!#REF!</f>
        <v>#REF!</v>
      </c>
      <c r="E471" t="e">
        <f t="shared" si="93"/>
        <v>#REF!</v>
      </c>
      <c r="F471" s="50" t="e">
        <f>'Product info'!#REF!</f>
        <v>#REF!</v>
      </c>
      <c r="G471" s="50" t="e">
        <f>'Product info'!#REF!</f>
        <v>#REF!</v>
      </c>
      <c r="H471" s="50" t="e">
        <f>'Product info'!#REF!</f>
        <v>#REF!</v>
      </c>
      <c r="I471" s="50" t="e">
        <f>'Product info'!#REF!</f>
        <v>#REF!</v>
      </c>
      <c r="J471" s="51" t="e">
        <f>'Product info'!#REF!</f>
        <v>#REF!</v>
      </c>
      <c r="K471" s="52" t="e">
        <f t="shared" si="94"/>
        <v>#REF!</v>
      </c>
      <c r="L471" s="50" t="e">
        <f t="shared" si="95"/>
        <v>#REF!</v>
      </c>
      <c r="M471" s="50" t="e">
        <f t="shared" si="96"/>
        <v>#REF!</v>
      </c>
      <c r="N471" s="50" t="e">
        <f t="shared" si="97"/>
        <v>#REF!</v>
      </c>
      <c r="O471" s="50" t="e">
        <f t="shared" si="98"/>
        <v>#REF!</v>
      </c>
      <c r="P471" s="53" t="e">
        <f t="shared" si="99"/>
        <v>#REF!</v>
      </c>
      <c r="Q471" s="54" t="e">
        <f>'Product info'!#REF!</f>
        <v>#REF!</v>
      </c>
      <c r="R471" s="54" t="e">
        <f>'Product info'!#REF!</f>
        <v>#REF!</v>
      </c>
      <c r="S471" s="54" t="e">
        <f>'Product info'!#REF!</f>
        <v>#REF!</v>
      </c>
      <c r="T471" s="50" t="e">
        <f>'Product info'!#REF!</f>
        <v>#REF!</v>
      </c>
      <c r="U471" s="52" t="e">
        <f t="shared" si="100"/>
        <v>#REF!</v>
      </c>
      <c r="V471" s="50" t="e">
        <f t="shared" si="101"/>
        <v>#REF!</v>
      </c>
      <c r="W471" s="50" t="e">
        <f t="shared" si="102"/>
        <v>#REF!</v>
      </c>
      <c r="X471" s="50" t="e">
        <f t="shared" si="103"/>
        <v>#REF!</v>
      </c>
      <c r="Y471" s="50" t="e">
        <f t="shared" si="104"/>
        <v>#REF!</v>
      </c>
      <c r="Z471" t="e">
        <f t="shared" si="105"/>
        <v>#REF!</v>
      </c>
    </row>
    <row r="472" spans="1:26" x14ac:dyDescent="0.4">
      <c r="A472" t="e">
        <f>'Product info'!#REF!</f>
        <v>#REF!</v>
      </c>
      <c r="B472" t="e">
        <f>'Product info'!#REF!</f>
        <v>#REF!</v>
      </c>
      <c r="C472" t="e">
        <f>'Product info'!#REF!</f>
        <v>#REF!</v>
      </c>
      <c r="D472" s="6" t="e">
        <f>'Product info'!#REF!</f>
        <v>#REF!</v>
      </c>
      <c r="E472" t="e">
        <f t="shared" si="93"/>
        <v>#REF!</v>
      </c>
      <c r="F472" s="50" t="e">
        <f>'Product info'!#REF!</f>
        <v>#REF!</v>
      </c>
      <c r="G472" s="50" t="e">
        <f>'Product info'!#REF!</f>
        <v>#REF!</v>
      </c>
      <c r="H472" s="50" t="e">
        <f>'Product info'!#REF!</f>
        <v>#REF!</v>
      </c>
      <c r="I472" s="50" t="e">
        <f>'Product info'!#REF!</f>
        <v>#REF!</v>
      </c>
      <c r="J472" s="51" t="e">
        <f>'Product info'!#REF!</f>
        <v>#REF!</v>
      </c>
      <c r="K472" s="52" t="e">
        <f t="shared" si="94"/>
        <v>#REF!</v>
      </c>
      <c r="L472" s="50" t="e">
        <f t="shared" si="95"/>
        <v>#REF!</v>
      </c>
      <c r="M472" s="50" t="e">
        <f t="shared" si="96"/>
        <v>#REF!</v>
      </c>
      <c r="N472" s="50" t="e">
        <f t="shared" si="97"/>
        <v>#REF!</v>
      </c>
      <c r="O472" s="50" t="e">
        <f t="shared" si="98"/>
        <v>#REF!</v>
      </c>
      <c r="P472" s="53" t="e">
        <f t="shared" si="99"/>
        <v>#REF!</v>
      </c>
      <c r="Q472" s="54" t="e">
        <f>'Product info'!#REF!</f>
        <v>#REF!</v>
      </c>
      <c r="R472" s="54" t="e">
        <f>'Product info'!#REF!</f>
        <v>#REF!</v>
      </c>
      <c r="S472" s="54" t="e">
        <f>'Product info'!#REF!</f>
        <v>#REF!</v>
      </c>
      <c r="T472" s="50" t="e">
        <f>'Product info'!#REF!</f>
        <v>#REF!</v>
      </c>
      <c r="U472" s="52" t="e">
        <f t="shared" si="100"/>
        <v>#REF!</v>
      </c>
      <c r="V472" s="50" t="e">
        <f t="shared" si="101"/>
        <v>#REF!</v>
      </c>
      <c r="W472" s="50" t="e">
        <f t="shared" si="102"/>
        <v>#REF!</v>
      </c>
      <c r="X472" s="50" t="e">
        <f t="shared" si="103"/>
        <v>#REF!</v>
      </c>
      <c r="Y472" s="50" t="e">
        <f t="shared" si="104"/>
        <v>#REF!</v>
      </c>
      <c r="Z472" t="e">
        <f t="shared" si="105"/>
        <v>#REF!</v>
      </c>
    </row>
    <row r="473" spans="1:26" x14ac:dyDescent="0.4">
      <c r="A473" t="e">
        <f>'Product info'!#REF!</f>
        <v>#REF!</v>
      </c>
      <c r="B473" t="e">
        <f>'Product info'!#REF!</f>
        <v>#REF!</v>
      </c>
      <c r="C473" t="e">
        <f>'Product info'!#REF!</f>
        <v>#REF!</v>
      </c>
      <c r="D473" s="6" t="e">
        <f>'Product info'!#REF!</f>
        <v>#REF!</v>
      </c>
      <c r="E473" t="e">
        <f t="shared" si="93"/>
        <v>#REF!</v>
      </c>
      <c r="F473" s="50" t="e">
        <f>'Product info'!#REF!</f>
        <v>#REF!</v>
      </c>
      <c r="G473" s="50" t="e">
        <f>'Product info'!#REF!</f>
        <v>#REF!</v>
      </c>
      <c r="H473" s="50" t="e">
        <f>'Product info'!#REF!</f>
        <v>#REF!</v>
      </c>
      <c r="I473" s="50" t="e">
        <f>'Product info'!#REF!</f>
        <v>#REF!</v>
      </c>
      <c r="J473" s="51" t="e">
        <f>'Product info'!#REF!</f>
        <v>#REF!</v>
      </c>
      <c r="K473" s="52" t="e">
        <f t="shared" si="94"/>
        <v>#REF!</v>
      </c>
      <c r="L473" s="50" t="e">
        <f t="shared" si="95"/>
        <v>#REF!</v>
      </c>
      <c r="M473" s="50" t="e">
        <f t="shared" si="96"/>
        <v>#REF!</v>
      </c>
      <c r="N473" s="50" t="e">
        <f t="shared" si="97"/>
        <v>#REF!</v>
      </c>
      <c r="O473" s="50" t="e">
        <f t="shared" si="98"/>
        <v>#REF!</v>
      </c>
      <c r="P473" s="53" t="e">
        <f t="shared" si="99"/>
        <v>#REF!</v>
      </c>
      <c r="Q473" s="54" t="e">
        <f>'Product info'!#REF!</f>
        <v>#REF!</v>
      </c>
      <c r="R473" s="54" t="e">
        <f>'Product info'!#REF!</f>
        <v>#REF!</v>
      </c>
      <c r="S473" s="54" t="e">
        <f>'Product info'!#REF!</f>
        <v>#REF!</v>
      </c>
      <c r="T473" s="50" t="e">
        <f>'Product info'!#REF!</f>
        <v>#REF!</v>
      </c>
      <c r="U473" s="52" t="e">
        <f t="shared" si="100"/>
        <v>#REF!</v>
      </c>
      <c r="V473" s="50" t="e">
        <f t="shared" si="101"/>
        <v>#REF!</v>
      </c>
      <c r="W473" s="50" t="e">
        <f t="shared" si="102"/>
        <v>#REF!</v>
      </c>
      <c r="X473" s="50" t="e">
        <f t="shared" si="103"/>
        <v>#REF!</v>
      </c>
      <c r="Y473" s="50" t="e">
        <f t="shared" si="104"/>
        <v>#REF!</v>
      </c>
      <c r="Z473" t="e">
        <f t="shared" si="105"/>
        <v>#REF!</v>
      </c>
    </row>
    <row r="474" spans="1:26" x14ac:dyDescent="0.4">
      <c r="A474" t="e">
        <f>'Product info'!#REF!</f>
        <v>#REF!</v>
      </c>
      <c r="B474" t="e">
        <f>'Product info'!#REF!</f>
        <v>#REF!</v>
      </c>
      <c r="C474" t="e">
        <f>'Product info'!#REF!</f>
        <v>#REF!</v>
      </c>
      <c r="D474" s="6" t="e">
        <f>'Product info'!#REF!</f>
        <v>#REF!</v>
      </c>
      <c r="E474" t="e">
        <f t="shared" si="93"/>
        <v>#REF!</v>
      </c>
      <c r="F474" s="50" t="e">
        <f>'Product info'!#REF!</f>
        <v>#REF!</v>
      </c>
      <c r="G474" s="50" t="e">
        <f>'Product info'!#REF!</f>
        <v>#REF!</v>
      </c>
      <c r="H474" s="50" t="e">
        <f>'Product info'!#REF!</f>
        <v>#REF!</v>
      </c>
      <c r="I474" s="50" t="e">
        <f>'Product info'!#REF!</f>
        <v>#REF!</v>
      </c>
      <c r="J474" s="51" t="e">
        <f>'Product info'!#REF!</f>
        <v>#REF!</v>
      </c>
      <c r="K474" s="52" t="e">
        <f t="shared" si="94"/>
        <v>#REF!</v>
      </c>
      <c r="L474" s="50" t="e">
        <f t="shared" si="95"/>
        <v>#REF!</v>
      </c>
      <c r="M474" s="50" t="e">
        <f t="shared" si="96"/>
        <v>#REF!</v>
      </c>
      <c r="N474" s="50" t="e">
        <f t="shared" si="97"/>
        <v>#REF!</v>
      </c>
      <c r="O474" s="50" t="e">
        <f t="shared" si="98"/>
        <v>#REF!</v>
      </c>
      <c r="P474" s="53" t="e">
        <f t="shared" si="99"/>
        <v>#REF!</v>
      </c>
      <c r="Q474" s="54" t="e">
        <f>'Product info'!#REF!</f>
        <v>#REF!</v>
      </c>
      <c r="R474" s="54" t="e">
        <f>'Product info'!#REF!</f>
        <v>#REF!</v>
      </c>
      <c r="S474" s="54" t="e">
        <f>'Product info'!#REF!</f>
        <v>#REF!</v>
      </c>
      <c r="T474" s="50" t="e">
        <f>'Product info'!#REF!</f>
        <v>#REF!</v>
      </c>
      <c r="U474" s="52" t="e">
        <f t="shared" si="100"/>
        <v>#REF!</v>
      </c>
      <c r="V474" s="50" t="e">
        <f t="shared" si="101"/>
        <v>#REF!</v>
      </c>
      <c r="W474" s="50" t="e">
        <f t="shared" si="102"/>
        <v>#REF!</v>
      </c>
      <c r="X474" s="50" t="e">
        <f t="shared" si="103"/>
        <v>#REF!</v>
      </c>
      <c r="Y474" s="50" t="e">
        <f t="shared" si="104"/>
        <v>#REF!</v>
      </c>
      <c r="Z474" t="e">
        <f t="shared" si="105"/>
        <v>#REF!</v>
      </c>
    </row>
    <row r="475" spans="1:26" x14ac:dyDescent="0.4">
      <c r="A475" t="e">
        <f>'Product info'!#REF!</f>
        <v>#REF!</v>
      </c>
      <c r="B475" t="e">
        <f>'Product info'!#REF!</f>
        <v>#REF!</v>
      </c>
      <c r="C475" t="e">
        <f>'Product info'!#REF!</f>
        <v>#REF!</v>
      </c>
      <c r="D475" s="6" t="e">
        <f>'Product info'!#REF!</f>
        <v>#REF!</v>
      </c>
      <c r="E475" t="e">
        <f t="shared" si="93"/>
        <v>#REF!</v>
      </c>
      <c r="F475" s="50" t="e">
        <f>'Product info'!#REF!</f>
        <v>#REF!</v>
      </c>
      <c r="G475" s="50" t="e">
        <f>'Product info'!#REF!</f>
        <v>#REF!</v>
      </c>
      <c r="H475" s="50" t="e">
        <f>'Product info'!#REF!</f>
        <v>#REF!</v>
      </c>
      <c r="I475" s="50" t="e">
        <f>'Product info'!#REF!</f>
        <v>#REF!</v>
      </c>
      <c r="J475" s="51" t="e">
        <f>'Product info'!#REF!</f>
        <v>#REF!</v>
      </c>
      <c r="K475" s="52" t="e">
        <f t="shared" si="94"/>
        <v>#REF!</v>
      </c>
      <c r="L475" s="50" t="e">
        <f t="shared" si="95"/>
        <v>#REF!</v>
      </c>
      <c r="M475" s="50" t="e">
        <f t="shared" si="96"/>
        <v>#REF!</v>
      </c>
      <c r="N475" s="50" t="e">
        <f t="shared" si="97"/>
        <v>#REF!</v>
      </c>
      <c r="O475" s="50" t="e">
        <f t="shared" si="98"/>
        <v>#REF!</v>
      </c>
      <c r="P475" s="53" t="e">
        <f t="shared" si="99"/>
        <v>#REF!</v>
      </c>
      <c r="Q475" s="54" t="e">
        <f>'Product info'!#REF!</f>
        <v>#REF!</v>
      </c>
      <c r="R475" s="54" t="e">
        <f>'Product info'!#REF!</f>
        <v>#REF!</v>
      </c>
      <c r="S475" s="54" t="e">
        <f>'Product info'!#REF!</f>
        <v>#REF!</v>
      </c>
      <c r="T475" s="50" t="e">
        <f>'Product info'!#REF!</f>
        <v>#REF!</v>
      </c>
      <c r="U475" s="52" t="e">
        <f t="shared" si="100"/>
        <v>#REF!</v>
      </c>
      <c r="V475" s="50" t="e">
        <f t="shared" si="101"/>
        <v>#REF!</v>
      </c>
      <c r="W475" s="50" t="e">
        <f t="shared" si="102"/>
        <v>#REF!</v>
      </c>
      <c r="X475" s="50" t="e">
        <f t="shared" si="103"/>
        <v>#REF!</v>
      </c>
      <c r="Y475" s="50" t="e">
        <f t="shared" si="104"/>
        <v>#REF!</v>
      </c>
      <c r="Z475" t="e">
        <f t="shared" si="105"/>
        <v>#REF!</v>
      </c>
    </row>
    <row r="476" spans="1:26" x14ac:dyDescent="0.4">
      <c r="A476" t="e">
        <f>'Product info'!#REF!</f>
        <v>#REF!</v>
      </c>
      <c r="B476" t="e">
        <f>'Product info'!#REF!</f>
        <v>#REF!</v>
      </c>
      <c r="C476" t="e">
        <f>'Product info'!#REF!</f>
        <v>#REF!</v>
      </c>
      <c r="D476" s="6" t="e">
        <f>'Product info'!#REF!</f>
        <v>#REF!</v>
      </c>
      <c r="E476" t="e">
        <f t="shared" si="93"/>
        <v>#REF!</v>
      </c>
      <c r="F476" s="50" t="e">
        <f>'Product info'!#REF!</f>
        <v>#REF!</v>
      </c>
      <c r="G476" s="50" t="e">
        <f>'Product info'!#REF!</f>
        <v>#REF!</v>
      </c>
      <c r="H476" s="50" t="e">
        <f>'Product info'!#REF!</f>
        <v>#REF!</v>
      </c>
      <c r="I476" s="50" t="e">
        <f>'Product info'!#REF!</f>
        <v>#REF!</v>
      </c>
      <c r="J476" s="51" t="e">
        <f>'Product info'!#REF!</f>
        <v>#REF!</v>
      </c>
      <c r="K476" s="52" t="e">
        <f t="shared" si="94"/>
        <v>#REF!</v>
      </c>
      <c r="L476" s="50" t="e">
        <f t="shared" si="95"/>
        <v>#REF!</v>
      </c>
      <c r="M476" s="50" t="e">
        <f t="shared" si="96"/>
        <v>#REF!</v>
      </c>
      <c r="N476" s="50" t="e">
        <f t="shared" si="97"/>
        <v>#REF!</v>
      </c>
      <c r="O476" s="50" t="e">
        <f t="shared" si="98"/>
        <v>#REF!</v>
      </c>
      <c r="P476" s="53" t="e">
        <f t="shared" si="99"/>
        <v>#REF!</v>
      </c>
      <c r="Q476" s="54" t="e">
        <f>'Product info'!#REF!</f>
        <v>#REF!</v>
      </c>
      <c r="R476" s="54" t="e">
        <f>'Product info'!#REF!</f>
        <v>#REF!</v>
      </c>
      <c r="S476" s="54" t="e">
        <f>'Product info'!#REF!</f>
        <v>#REF!</v>
      </c>
      <c r="T476" s="50" t="e">
        <f>'Product info'!#REF!</f>
        <v>#REF!</v>
      </c>
      <c r="U476" s="52" t="e">
        <f t="shared" si="100"/>
        <v>#REF!</v>
      </c>
      <c r="V476" s="50" t="e">
        <f t="shared" si="101"/>
        <v>#REF!</v>
      </c>
      <c r="W476" s="50" t="e">
        <f t="shared" si="102"/>
        <v>#REF!</v>
      </c>
      <c r="X476" s="50" t="e">
        <f t="shared" si="103"/>
        <v>#REF!</v>
      </c>
      <c r="Y476" s="50" t="e">
        <f t="shared" si="104"/>
        <v>#REF!</v>
      </c>
      <c r="Z476" t="e">
        <f t="shared" si="105"/>
        <v>#REF!</v>
      </c>
    </row>
    <row r="477" spans="1:26" x14ac:dyDescent="0.4">
      <c r="A477" t="e">
        <f>'Product info'!#REF!</f>
        <v>#REF!</v>
      </c>
      <c r="B477" t="e">
        <f>'Product info'!#REF!</f>
        <v>#REF!</v>
      </c>
      <c r="C477" t="e">
        <f>'Product info'!#REF!</f>
        <v>#REF!</v>
      </c>
      <c r="D477" s="6" t="e">
        <f>'Product info'!#REF!</f>
        <v>#REF!</v>
      </c>
      <c r="E477" t="e">
        <f t="shared" si="93"/>
        <v>#REF!</v>
      </c>
      <c r="F477" s="50" t="e">
        <f>'Product info'!#REF!</f>
        <v>#REF!</v>
      </c>
      <c r="G477" s="50" t="e">
        <f>'Product info'!#REF!</f>
        <v>#REF!</v>
      </c>
      <c r="H477" s="50" t="e">
        <f>'Product info'!#REF!</f>
        <v>#REF!</v>
      </c>
      <c r="I477" s="50" t="e">
        <f>'Product info'!#REF!</f>
        <v>#REF!</v>
      </c>
      <c r="J477" s="51" t="e">
        <f>'Product info'!#REF!</f>
        <v>#REF!</v>
      </c>
      <c r="K477" s="52" t="e">
        <f t="shared" si="94"/>
        <v>#REF!</v>
      </c>
      <c r="L477" s="50" t="e">
        <f t="shared" si="95"/>
        <v>#REF!</v>
      </c>
      <c r="M477" s="50" t="e">
        <f t="shared" si="96"/>
        <v>#REF!</v>
      </c>
      <c r="N477" s="50" t="e">
        <f t="shared" si="97"/>
        <v>#REF!</v>
      </c>
      <c r="O477" s="50" t="e">
        <f t="shared" si="98"/>
        <v>#REF!</v>
      </c>
      <c r="P477" s="53" t="e">
        <f t="shared" si="99"/>
        <v>#REF!</v>
      </c>
      <c r="Q477" s="54" t="e">
        <f>'Product info'!#REF!</f>
        <v>#REF!</v>
      </c>
      <c r="R477" s="54" t="e">
        <f>'Product info'!#REF!</f>
        <v>#REF!</v>
      </c>
      <c r="S477" s="54" t="e">
        <f>'Product info'!#REF!</f>
        <v>#REF!</v>
      </c>
      <c r="T477" s="50" t="e">
        <f>'Product info'!#REF!</f>
        <v>#REF!</v>
      </c>
      <c r="U477" s="52" t="e">
        <f t="shared" si="100"/>
        <v>#REF!</v>
      </c>
      <c r="V477" s="50" t="e">
        <f t="shared" si="101"/>
        <v>#REF!</v>
      </c>
      <c r="W477" s="50" t="e">
        <f t="shared" si="102"/>
        <v>#REF!</v>
      </c>
      <c r="X477" s="50" t="e">
        <f t="shared" si="103"/>
        <v>#REF!</v>
      </c>
      <c r="Y477" s="50" t="e">
        <f t="shared" si="104"/>
        <v>#REF!</v>
      </c>
      <c r="Z477" t="e">
        <f t="shared" si="105"/>
        <v>#REF!</v>
      </c>
    </row>
    <row r="478" spans="1:26" x14ac:dyDescent="0.4">
      <c r="A478" t="e">
        <f>'Product info'!#REF!</f>
        <v>#REF!</v>
      </c>
      <c r="B478" t="e">
        <f>'Product info'!#REF!</f>
        <v>#REF!</v>
      </c>
      <c r="C478" t="e">
        <f>'Product info'!#REF!</f>
        <v>#REF!</v>
      </c>
      <c r="D478" s="6" t="e">
        <f>'Product info'!#REF!</f>
        <v>#REF!</v>
      </c>
      <c r="E478" t="e">
        <f t="shared" si="93"/>
        <v>#REF!</v>
      </c>
      <c r="F478" s="50" t="e">
        <f>'Product info'!#REF!</f>
        <v>#REF!</v>
      </c>
      <c r="G478" s="50" t="e">
        <f>'Product info'!#REF!</f>
        <v>#REF!</v>
      </c>
      <c r="H478" s="50" t="e">
        <f>'Product info'!#REF!</f>
        <v>#REF!</v>
      </c>
      <c r="I478" s="50" t="e">
        <f>'Product info'!#REF!</f>
        <v>#REF!</v>
      </c>
      <c r="J478" s="51" t="e">
        <f>'Product info'!#REF!</f>
        <v>#REF!</v>
      </c>
      <c r="K478" s="52" t="e">
        <f t="shared" si="94"/>
        <v>#REF!</v>
      </c>
      <c r="L478" s="50" t="e">
        <f t="shared" si="95"/>
        <v>#REF!</v>
      </c>
      <c r="M478" s="50" t="e">
        <f t="shared" si="96"/>
        <v>#REF!</v>
      </c>
      <c r="N478" s="50" t="e">
        <f t="shared" si="97"/>
        <v>#REF!</v>
      </c>
      <c r="O478" s="50" t="e">
        <f t="shared" si="98"/>
        <v>#REF!</v>
      </c>
      <c r="P478" s="53" t="e">
        <f t="shared" si="99"/>
        <v>#REF!</v>
      </c>
      <c r="Q478" s="54" t="e">
        <f>'Product info'!#REF!</f>
        <v>#REF!</v>
      </c>
      <c r="R478" s="54" t="e">
        <f>'Product info'!#REF!</f>
        <v>#REF!</v>
      </c>
      <c r="S478" s="54" t="e">
        <f>'Product info'!#REF!</f>
        <v>#REF!</v>
      </c>
      <c r="T478" s="50" t="e">
        <f>'Product info'!#REF!</f>
        <v>#REF!</v>
      </c>
      <c r="U478" s="52" t="e">
        <f t="shared" si="100"/>
        <v>#REF!</v>
      </c>
      <c r="V478" s="50" t="e">
        <f t="shared" si="101"/>
        <v>#REF!</v>
      </c>
      <c r="W478" s="50" t="e">
        <f t="shared" si="102"/>
        <v>#REF!</v>
      </c>
      <c r="X478" s="50" t="e">
        <f t="shared" si="103"/>
        <v>#REF!</v>
      </c>
      <c r="Y478" s="50" t="e">
        <f t="shared" si="104"/>
        <v>#REF!</v>
      </c>
      <c r="Z478" t="e">
        <f t="shared" si="105"/>
        <v>#REF!</v>
      </c>
    </row>
    <row r="479" spans="1:26" x14ac:dyDescent="0.4">
      <c r="A479" t="e">
        <f>'Product info'!#REF!</f>
        <v>#REF!</v>
      </c>
      <c r="B479" t="e">
        <f>'Product info'!#REF!</f>
        <v>#REF!</v>
      </c>
      <c r="C479" t="e">
        <f>'Product info'!#REF!</f>
        <v>#REF!</v>
      </c>
      <c r="D479" s="6" t="e">
        <f>'Product info'!#REF!</f>
        <v>#REF!</v>
      </c>
      <c r="E479" t="e">
        <f t="shared" si="93"/>
        <v>#REF!</v>
      </c>
      <c r="F479" s="50" t="e">
        <f>'Product info'!#REF!</f>
        <v>#REF!</v>
      </c>
      <c r="G479" s="50" t="e">
        <f>'Product info'!#REF!</f>
        <v>#REF!</v>
      </c>
      <c r="H479" s="50" t="e">
        <f>'Product info'!#REF!</f>
        <v>#REF!</v>
      </c>
      <c r="I479" s="50" t="e">
        <f>'Product info'!#REF!</f>
        <v>#REF!</v>
      </c>
      <c r="J479" s="51" t="e">
        <f>'Product info'!#REF!</f>
        <v>#REF!</v>
      </c>
      <c r="K479" s="52" t="e">
        <f t="shared" si="94"/>
        <v>#REF!</v>
      </c>
      <c r="L479" s="50" t="e">
        <f t="shared" si="95"/>
        <v>#REF!</v>
      </c>
      <c r="M479" s="50" t="e">
        <f t="shared" si="96"/>
        <v>#REF!</v>
      </c>
      <c r="N479" s="50" t="e">
        <f t="shared" si="97"/>
        <v>#REF!</v>
      </c>
      <c r="O479" s="50" t="e">
        <f t="shared" si="98"/>
        <v>#REF!</v>
      </c>
      <c r="P479" s="53" t="e">
        <f t="shared" si="99"/>
        <v>#REF!</v>
      </c>
      <c r="Q479" s="54" t="e">
        <f>'Product info'!#REF!</f>
        <v>#REF!</v>
      </c>
      <c r="R479" s="54" t="e">
        <f>'Product info'!#REF!</f>
        <v>#REF!</v>
      </c>
      <c r="S479" s="54" t="e">
        <f>'Product info'!#REF!</f>
        <v>#REF!</v>
      </c>
      <c r="T479" s="50" t="e">
        <f>'Product info'!#REF!</f>
        <v>#REF!</v>
      </c>
      <c r="U479" s="52" t="e">
        <f t="shared" si="100"/>
        <v>#REF!</v>
      </c>
      <c r="V479" s="50" t="e">
        <f t="shared" si="101"/>
        <v>#REF!</v>
      </c>
      <c r="W479" s="50" t="e">
        <f t="shared" si="102"/>
        <v>#REF!</v>
      </c>
      <c r="X479" s="50" t="e">
        <f t="shared" si="103"/>
        <v>#REF!</v>
      </c>
      <c r="Y479" s="50" t="e">
        <f t="shared" si="104"/>
        <v>#REF!</v>
      </c>
      <c r="Z479" t="e">
        <f t="shared" si="105"/>
        <v>#REF!</v>
      </c>
    </row>
    <row r="480" spans="1:26" x14ac:dyDescent="0.4">
      <c r="A480" t="e">
        <f>'Product info'!#REF!</f>
        <v>#REF!</v>
      </c>
      <c r="B480" t="e">
        <f>'Product info'!#REF!</f>
        <v>#REF!</v>
      </c>
      <c r="C480" t="e">
        <f>'Product info'!#REF!</f>
        <v>#REF!</v>
      </c>
      <c r="D480" s="6" t="e">
        <f>'Product info'!#REF!</f>
        <v>#REF!</v>
      </c>
      <c r="E480" t="e">
        <f t="shared" si="93"/>
        <v>#REF!</v>
      </c>
      <c r="F480" s="50" t="e">
        <f>'Product info'!#REF!</f>
        <v>#REF!</v>
      </c>
      <c r="G480" s="50" t="e">
        <f>'Product info'!#REF!</f>
        <v>#REF!</v>
      </c>
      <c r="H480" s="50" t="e">
        <f>'Product info'!#REF!</f>
        <v>#REF!</v>
      </c>
      <c r="I480" s="50" t="e">
        <f>'Product info'!#REF!</f>
        <v>#REF!</v>
      </c>
      <c r="J480" s="51" t="e">
        <f>'Product info'!#REF!</f>
        <v>#REF!</v>
      </c>
      <c r="K480" s="52" t="e">
        <f t="shared" si="94"/>
        <v>#REF!</v>
      </c>
      <c r="L480" s="50" t="e">
        <f t="shared" si="95"/>
        <v>#REF!</v>
      </c>
      <c r="M480" s="50" t="e">
        <f t="shared" si="96"/>
        <v>#REF!</v>
      </c>
      <c r="N480" s="50" t="e">
        <f t="shared" si="97"/>
        <v>#REF!</v>
      </c>
      <c r="O480" s="50" t="e">
        <f t="shared" si="98"/>
        <v>#REF!</v>
      </c>
      <c r="P480" s="53" t="e">
        <f t="shared" si="99"/>
        <v>#REF!</v>
      </c>
      <c r="Q480" s="54" t="e">
        <f>'Product info'!#REF!</f>
        <v>#REF!</v>
      </c>
      <c r="R480" s="54" t="e">
        <f>'Product info'!#REF!</f>
        <v>#REF!</v>
      </c>
      <c r="S480" s="54" t="e">
        <f>'Product info'!#REF!</f>
        <v>#REF!</v>
      </c>
      <c r="T480" s="50" t="e">
        <f>'Product info'!#REF!</f>
        <v>#REF!</v>
      </c>
      <c r="U480" s="52" t="e">
        <f t="shared" si="100"/>
        <v>#REF!</v>
      </c>
      <c r="V480" s="50" t="e">
        <f t="shared" si="101"/>
        <v>#REF!</v>
      </c>
      <c r="W480" s="50" t="e">
        <f t="shared" si="102"/>
        <v>#REF!</v>
      </c>
      <c r="X480" s="50" t="e">
        <f t="shared" si="103"/>
        <v>#REF!</v>
      </c>
      <c r="Y480" s="50" t="e">
        <f t="shared" si="104"/>
        <v>#REF!</v>
      </c>
      <c r="Z480" t="e">
        <f t="shared" si="105"/>
        <v>#REF!</v>
      </c>
    </row>
    <row r="481" spans="1:26" x14ac:dyDescent="0.4">
      <c r="A481" t="e">
        <f>'Product info'!#REF!</f>
        <v>#REF!</v>
      </c>
      <c r="B481" t="e">
        <f>'Product info'!#REF!</f>
        <v>#REF!</v>
      </c>
      <c r="C481" t="e">
        <f>'Product info'!#REF!</f>
        <v>#REF!</v>
      </c>
      <c r="D481" s="6" t="e">
        <f>'Product info'!#REF!</f>
        <v>#REF!</v>
      </c>
      <c r="E481" t="e">
        <f t="shared" si="93"/>
        <v>#REF!</v>
      </c>
      <c r="F481" s="50" t="e">
        <f>'Product info'!#REF!</f>
        <v>#REF!</v>
      </c>
      <c r="G481" s="50" t="e">
        <f>'Product info'!#REF!</f>
        <v>#REF!</v>
      </c>
      <c r="H481" s="50" t="e">
        <f>'Product info'!#REF!</f>
        <v>#REF!</v>
      </c>
      <c r="I481" s="50" t="e">
        <f>'Product info'!#REF!</f>
        <v>#REF!</v>
      </c>
      <c r="J481" s="51" t="e">
        <f>'Product info'!#REF!</f>
        <v>#REF!</v>
      </c>
      <c r="K481" s="52" t="e">
        <f t="shared" si="94"/>
        <v>#REF!</v>
      </c>
      <c r="L481" s="50" t="e">
        <f t="shared" si="95"/>
        <v>#REF!</v>
      </c>
      <c r="M481" s="50" t="e">
        <f t="shared" si="96"/>
        <v>#REF!</v>
      </c>
      <c r="N481" s="50" t="e">
        <f t="shared" si="97"/>
        <v>#REF!</v>
      </c>
      <c r="O481" s="50" t="e">
        <f t="shared" si="98"/>
        <v>#REF!</v>
      </c>
      <c r="P481" s="53" t="e">
        <f t="shared" si="99"/>
        <v>#REF!</v>
      </c>
      <c r="Q481" s="54" t="e">
        <f>'Product info'!#REF!</f>
        <v>#REF!</v>
      </c>
      <c r="R481" s="54" t="e">
        <f>'Product info'!#REF!</f>
        <v>#REF!</v>
      </c>
      <c r="S481" s="54" t="e">
        <f>'Product info'!#REF!</f>
        <v>#REF!</v>
      </c>
      <c r="T481" s="50" t="e">
        <f>'Product info'!#REF!</f>
        <v>#REF!</v>
      </c>
      <c r="U481" s="52" t="e">
        <f t="shared" si="100"/>
        <v>#REF!</v>
      </c>
      <c r="V481" s="50" t="e">
        <f t="shared" si="101"/>
        <v>#REF!</v>
      </c>
      <c r="W481" s="50" t="e">
        <f t="shared" si="102"/>
        <v>#REF!</v>
      </c>
      <c r="X481" s="50" t="e">
        <f t="shared" si="103"/>
        <v>#REF!</v>
      </c>
      <c r="Y481" s="50" t="e">
        <f t="shared" si="104"/>
        <v>#REF!</v>
      </c>
      <c r="Z481" t="e">
        <f t="shared" si="105"/>
        <v>#REF!</v>
      </c>
    </row>
    <row r="482" spans="1:26" x14ac:dyDescent="0.4">
      <c r="A482" t="e">
        <f>'Product info'!#REF!</f>
        <v>#REF!</v>
      </c>
      <c r="B482" t="e">
        <f>'Product info'!#REF!</f>
        <v>#REF!</v>
      </c>
      <c r="C482" t="e">
        <f>'Product info'!#REF!</f>
        <v>#REF!</v>
      </c>
      <c r="D482" s="6" t="e">
        <f>'Product info'!#REF!</f>
        <v>#REF!</v>
      </c>
      <c r="E482" t="e">
        <f t="shared" si="93"/>
        <v>#REF!</v>
      </c>
      <c r="F482" s="50" t="e">
        <f>'Product info'!#REF!</f>
        <v>#REF!</v>
      </c>
      <c r="G482" s="50" t="e">
        <f>'Product info'!#REF!</f>
        <v>#REF!</v>
      </c>
      <c r="H482" s="50" t="e">
        <f>'Product info'!#REF!</f>
        <v>#REF!</v>
      </c>
      <c r="I482" s="50" t="e">
        <f>'Product info'!#REF!</f>
        <v>#REF!</v>
      </c>
      <c r="J482" s="51" t="e">
        <f>'Product info'!#REF!</f>
        <v>#REF!</v>
      </c>
      <c r="K482" s="52" t="e">
        <f t="shared" si="94"/>
        <v>#REF!</v>
      </c>
      <c r="L482" s="50" t="e">
        <f t="shared" si="95"/>
        <v>#REF!</v>
      </c>
      <c r="M482" s="50" t="e">
        <f t="shared" si="96"/>
        <v>#REF!</v>
      </c>
      <c r="N482" s="50" t="e">
        <f t="shared" si="97"/>
        <v>#REF!</v>
      </c>
      <c r="O482" s="50" t="e">
        <f t="shared" si="98"/>
        <v>#REF!</v>
      </c>
      <c r="P482" s="53" t="e">
        <f t="shared" si="99"/>
        <v>#REF!</v>
      </c>
      <c r="Q482" s="54" t="e">
        <f>'Product info'!#REF!</f>
        <v>#REF!</v>
      </c>
      <c r="R482" s="54" t="e">
        <f>'Product info'!#REF!</f>
        <v>#REF!</v>
      </c>
      <c r="S482" s="54" t="e">
        <f>'Product info'!#REF!</f>
        <v>#REF!</v>
      </c>
      <c r="T482" s="50" t="e">
        <f>'Product info'!#REF!</f>
        <v>#REF!</v>
      </c>
      <c r="U482" s="52" t="e">
        <f t="shared" si="100"/>
        <v>#REF!</v>
      </c>
      <c r="V482" s="50" t="e">
        <f t="shared" si="101"/>
        <v>#REF!</v>
      </c>
      <c r="W482" s="50" t="e">
        <f t="shared" si="102"/>
        <v>#REF!</v>
      </c>
      <c r="X482" s="50" t="e">
        <f t="shared" si="103"/>
        <v>#REF!</v>
      </c>
      <c r="Y482" s="50" t="e">
        <f t="shared" si="104"/>
        <v>#REF!</v>
      </c>
      <c r="Z482" t="e">
        <f t="shared" si="105"/>
        <v>#REF!</v>
      </c>
    </row>
    <row r="483" spans="1:26" x14ac:dyDescent="0.4">
      <c r="A483" t="e">
        <f>'Product info'!#REF!</f>
        <v>#REF!</v>
      </c>
      <c r="B483" t="e">
        <f>'Product info'!#REF!</f>
        <v>#REF!</v>
      </c>
      <c r="C483" t="e">
        <f>'Product info'!#REF!</f>
        <v>#REF!</v>
      </c>
      <c r="D483" s="6" t="e">
        <f>'Product info'!#REF!</f>
        <v>#REF!</v>
      </c>
      <c r="E483" t="e">
        <f t="shared" si="93"/>
        <v>#REF!</v>
      </c>
      <c r="F483" s="50" t="e">
        <f>'Product info'!#REF!</f>
        <v>#REF!</v>
      </c>
      <c r="G483" s="50" t="e">
        <f>'Product info'!#REF!</f>
        <v>#REF!</v>
      </c>
      <c r="H483" s="50" t="e">
        <f>'Product info'!#REF!</f>
        <v>#REF!</v>
      </c>
      <c r="I483" s="50" t="e">
        <f>'Product info'!#REF!</f>
        <v>#REF!</v>
      </c>
      <c r="J483" s="51" t="e">
        <f>'Product info'!#REF!</f>
        <v>#REF!</v>
      </c>
      <c r="K483" s="52" t="e">
        <f t="shared" si="94"/>
        <v>#REF!</v>
      </c>
      <c r="L483" s="50" t="e">
        <f t="shared" si="95"/>
        <v>#REF!</v>
      </c>
      <c r="M483" s="50" t="e">
        <f t="shared" si="96"/>
        <v>#REF!</v>
      </c>
      <c r="N483" s="50" t="e">
        <f t="shared" si="97"/>
        <v>#REF!</v>
      </c>
      <c r="O483" s="50" t="e">
        <f t="shared" si="98"/>
        <v>#REF!</v>
      </c>
      <c r="P483" s="53" t="e">
        <f t="shared" si="99"/>
        <v>#REF!</v>
      </c>
      <c r="Q483" s="54" t="e">
        <f>'Product info'!#REF!</f>
        <v>#REF!</v>
      </c>
      <c r="R483" s="54" t="e">
        <f>'Product info'!#REF!</f>
        <v>#REF!</v>
      </c>
      <c r="S483" s="54" t="e">
        <f>'Product info'!#REF!</f>
        <v>#REF!</v>
      </c>
      <c r="T483" s="50" t="e">
        <f>'Product info'!#REF!</f>
        <v>#REF!</v>
      </c>
      <c r="U483" s="52" t="e">
        <f t="shared" si="100"/>
        <v>#REF!</v>
      </c>
      <c r="V483" s="50" t="e">
        <f t="shared" si="101"/>
        <v>#REF!</v>
      </c>
      <c r="W483" s="50" t="e">
        <f t="shared" si="102"/>
        <v>#REF!</v>
      </c>
      <c r="X483" s="50" t="e">
        <f t="shared" si="103"/>
        <v>#REF!</v>
      </c>
      <c r="Y483" s="50" t="e">
        <f t="shared" si="104"/>
        <v>#REF!</v>
      </c>
      <c r="Z483" t="e">
        <f t="shared" si="105"/>
        <v>#REF!</v>
      </c>
    </row>
    <row r="484" spans="1:26" x14ac:dyDescent="0.4">
      <c r="A484" t="e">
        <f>'Product info'!#REF!</f>
        <v>#REF!</v>
      </c>
      <c r="B484" t="e">
        <f>'Product info'!#REF!</f>
        <v>#REF!</v>
      </c>
      <c r="C484" t="e">
        <f>'Product info'!#REF!</f>
        <v>#REF!</v>
      </c>
      <c r="D484" s="6" t="e">
        <f>'Product info'!#REF!</f>
        <v>#REF!</v>
      </c>
      <c r="E484" t="e">
        <f t="shared" si="93"/>
        <v>#REF!</v>
      </c>
      <c r="F484" s="50" t="e">
        <f>'Product info'!#REF!</f>
        <v>#REF!</v>
      </c>
      <c r="G484" s="50" t="e">
        <f>'Product info'!#REF!</f>
        <v>#REF!</v>
      </c>
      <c r="H484" s="50" t="e">
        <f>'Product info'!#REF!</f>
        <v>#REF!</v>
      </c>
      <c r="I484" s="50" t="e">
        <f>'Product info'!#REF!</f>
        <v>#REF!</v>
      </c>
      <c r="J484" s="51" t="e">
        <f>'Product info'!#REF!</f>
        <v>#REF!</v>
      </c>
      <c r="K484" s="52" t="e">
        <f t="shared" si="94"/>
        <v>#REF!</v>
      </c>
      <c r="L484" s="50" t="e">
        <f t="shared" si="95"/>
        <v>#REF!</v>
      </c>
      <c r="M484" s="50" t="e">
        <f t="shared" si="96"/>
        <v>#REF!</v>
      </c>
      <c r="N484" s="50" t="e">
        <f t="shared" si="97"/>
        <v>#REF!</v>
      </c>
      <c r="O484" s="50" t="e">
        <f t="shared" si="98"/>
        <v>#REF!</v>
      </c>
      <c r="P484" s="53" t="e">
        <f t="shared" si="99"/>
        <v>#REF!</v>
      </c>
      <c r="Q484" s="54" t="e">
        <f>'Product info'!#REF!</f>
        <v>#REF!</v>
      </c>
      <c r="R484" s="54" t="e">
        <f>'Product info'!#REF!</f>
        <v>#REF!</v>
      </c>
      <c r="S484" s="54" t="e">
        <f>'Product info'!#REF!</f>
        <v>#REF!</v>
      </c>
      <c r="T484" s="50" t="e">
        <f>'Product info'!#REF!</f>
        <v>#REF!</v>
      </c>
      <c r="U484" s="52" t="e">
        <f t="shared" si="100"/>
        <v>#REF!</v>
      </c>
      <c r="V484" s="50" t="e">
        <f t="shared" si="101"/>
        <v>#REF!</v>
      </c>
      <c r="W484" s="50" t="e">
        <f t="shared" si="102"/>
        <v>#REF!</v>
      </c>
      <c r="X484" s="50" t="e">
        <f t="shared" si="103"/>
        <v>#REF!</v>
      </c>
      <c r="Y484" s="50" t="e">
        <f t="shared" si="104"/>
        <v>#REF!</v>
      </c>
      <c r="Z484" t="e">
        <f t="shared" si="105"/>
        <v>#REF!</v>
      </c>
    </row>
    <row r="485" spans="1:26" x14ac:dyDescent="0.4">
      <c r="A485" t="e">
        <f>'Product info'!#REF!</f>
        <v>#REF!</v>
      </c>
      <c r="B485" t="e">
        <f>'Product info'!#REF!</f>
        <v>#REF!</v>
      </c>
      <c r="C485" t="e">
        <f>'Product info'!#REF!</f>
        <v>#REF!</v>
      </c>
      <c r="D485" s="6" t="e">
        <f>'Product info'!#REF!</f>
        <v>#REF!</v>
      </c>
      <c r="E485" t="e">
        <f t="shared" si="93"/>
        <v>#REF!</v>
      </c>
      <c r="F485" s="50" t="e">
        <f>'Product info'!#REF!</f>
        <v>#REF!</v>
      </c>
      <c r="G485" s="50" t="e">
        <f>'Product info'!#REF!</f>
        <v>#REF!</v>
      </c>
      <c r="H485" s="50" t="e">
        <f>'Product info'!#REF!</f>
        <v>#REF!</v>
      </c>
      <c r="I485" s="50" t="e">
        <f>'Product info'!#REF!</f>
        <v>#REF!</v>
      </c>
      <c r="J485" s="51" t="e">
        <f>'Product info'!#REF!</f>
        <v>#REF!</v>
      </c>
      <c r="K485" s="52" t="e">
        <f t="shared" si="94"/>
        <v>#REF!</v>
      </c>
      <c r="L485" s="50" t="e">
        <f t="shared" si="95"/>
        <v>#REF!</v>
      </c>
      <c r="M485" s="50" t="e">
        <f t="shared" si="96"/>
        <v>#REF!</v>
      </c>
      <c r="N485" s="50" t="e">
        <f t="shared" si="97"/>
        <v>#REF!</v>
      </c>
      <c r="O485" s="50" t="e">
        <f t="shared" si="98"/>
        <v>#REF!</v>
      </c>
      <c r="P485" s="53" t="e">
        <f t="shared" si="99"/>
        <v>#REF!</v>
      </c>
      <c r="Q485" s="54" t="e">
        <f>'Product info'!#REF!</f>
        <v>#REF!</v>
      </c>
      <c r="R485" s="54" t="e">
        <f>'Product info'!#REF!</f>
        <v>#REF!</v>
      </c>
      <c r="S485" s="54" t="e">
        <f>'Product info'!#REF!</f>
        <v>#REF!</v>
      </c>
      <c r="T485" s="50" t="e">
        <f>'Product info'!#REF!</f>
        <v>#REF!</v>
      </c>
      <c r="U485" s="52" t="e">
        <f t="shared" si="100"/>
        <v>#REF!</v>
      </c>
      <c r="V485" s="50" t="e">
        <f t="shared" si="101"/>
        <v>#REF!</v>
      </c>
      <c r="W485" s="50" t="e">
        <f t="shared" si="102"/>
        <v>#REF!</v>
      </c>
      <c r="X485" s="50" t="e">
        <f t="shared" si="103"/>
        <v>#REF!</v>
      </c>
      <c r="Y485" s="50" t="e">
        <f t="shared" si="104"/>
        <v>#REF!</v>
      </c>
      <c r="Z485" t="e">
        <f t="shared" si="105"/>
        <v>#REF!</v>
      </c>
    </row>
    <row r="486" spans="1:26" x14ac:dyDescent="0.4">
      <c r="A486" t="e">
        <f>'Product info'!#REF!</f>
        <v>#REF!</v>
      </c>
      <c r="B486" t="e">
        <f>'Product info'!#REF!</f>
        <v>#REF!</v>
      </c>
      <c r="C486" t="e">
        <f>'Product info'!#REF!</f>
        <v>#REF!</v>
      </c>
      <c r="D486" s="6" t="e">
        <f>'Product info'!#REF!</f>
        <v>#REF!</v>
      </c>
      <c r="E486" t="e">
        <f t="shared" si="93"/>
        <v>#REF!</v>
      </c>
      <c r="F486" s="50" t="e">
        <f>'Product info'!#REF!</f>
        <v>#REF!</v>
      </c>
      <c r="G486" s="50" t="e">
        <f>'Product info'!#REF!</f>
        <v>#REF!</v>
      </c>
      <c r="H486" s="50" t="e">
        <f>'Product info'!#REF!</f>
        <v>#REF!</v>
      </c>
      <c r="I486" s="50" t="e">
        <f>'Product info'!#REF!</f>
        <v>#REF!</v>
      </c>
      <c r="J486" s="51" t="e">
        <f>'Product info'!#REF!</f>
        <v>#REF!</v>
      </c>
      <c r="K486" s="52" t="e">
        <f t="shared" si="94"/>
        <v>#REF!</v>
      </c>
      <c r="L486" s="50" t="e">
        <f t="shared" si="95"/>
        <v>#REF!</v>
      </c>
      <c r="M486" s="50" t="e">
        <f t="shared" si="96"/>
        <v>#REF!</v>
      </c>
      <c r="N486" s="50" t="e">
        <f t="shared" si="97"/>
        <v>#REF!</v>
      </c>
      <c r="O486" s="50" t="e">
        <f t="shared" si="98"/>
        <v>#REF!</v>
      </c>
      <c r="P486" s="53" t="e">
        <f t="shared" si="99"/>
        <v>#REF!</v>
      </c>
      <c r="Q486" s="54" t="e">
        <f>'Product info'!#REF!</f>
        <v>#REF!</v>
      </c>
      <c r="R486" s="54" t="e">
        <f>'Product info'!#REF!</f>
        <v>#REF!</v>
      </c>
      <c r="S486" s="54" t="e">
        <f>'Product info'!#REF!</f>
        <v>#REF!</v>
      </c>
      <c r="T486" s="50" t="e">
        <f>'Product info'!#REF!</f>
        <v>#REF!</v>
      </c>
      <c r="U486" s="52" t="e">
        <f t="shared" si="100"/>
        <v>#REF!</v>
      </c>
      <c r="V486" s="50" t="e">
        <f t="shared" si="101"/>
        <v>#REF!</v>
      </c>
      <c r="W486" s="50" t="e">
        <f t="shared" si="102"/>
        <v>#REF!</v>
      </c>
      <c r="X486" s="50" t="e">
        <f t="shared" si="103"/>
        <v>#REF!</v>
      </c>
      <c r="Y486" s="50" t="e">
        <f t="shared" si="104"/>
        <v>#REF!</v>
      </c>
      <c r="Z486" t="e">
        <f t="shared" si="105"/>
        <v>#REF!</v>
      </c>
    </row>
    <row r="487" spans="1:26" x14ac:dyDescent="0.4">
      <c r="A487" t="e">
        <f>'Product info'!#REF!</f>
        <v>#REF!</v>
      </c>
      <c r="B487" t="e">
        <f>'Product info'!#REF!</f>
        <v>#REF!</v>
      </c>
      <c r="C487" t="e">
        <f>'Product info'!#REF!</f>
        <v>#REF!</v>
      </c>
      <c r="D487" s="6" t="e">
        <f>'Product info'!#REF!</f>
        <v>#REF!</v>
      </c>
      <c r="E487" t="e">
        <f t="shared" si="93"/>
        <v>#REF!</v>
      </c>
      <c r="F487" s="50" t="e">
        <f>'Product info'!#REF!</f>
        <v>#REF!</v>
      </c>
      <c r="G487" s="50" t="e">
        <f>'Product info'!#REF!</f>
        <v>#REF!</v>
      </c>
      <c r="H487" s="50" t="e">
        <f>'Product info'!#REF!</f>
        <v>#REF!</v>
      </c>
      <c r="I487" s="50" t="e">
        <f>'Product info'!#REF!</f>
        <v>#REF!</v>
      </c>
      <c r="J487" s="51" t="e">
        <f>'Product info'!#REF!</f>
        <v>#REF!</v>
      </c>
      <c r="K487" s="52" t="e">
        <f t="shared" si="94"/>
        <v>#REF!</v>
      </c>
      <c r="L487" s="50" t="e">
        <f t="shared" si="95"/>
        <v>#REF!</v>
      </c>
      <c r="M487" s="50" t="e">
        <f t="shared" si="96"/>
        <v>#REF!</v>
      </c>
      <c r="N487" s="50" t="e">
        <f t="shared" si="97"/>
        <v>#REF!</v>
      </c>
      <c r="O487" s="50" t="e">
        <f t="shared" si="98"/>
        <v>#REF!</v>
      </c>
      <c r="P487" s="53" t="e">
        <f t="shared" si="99"/>
        <v>#REF!</v>
      </c>
      <c r="Q487" s="54" t="e">
        <f>'Product info'!#REF!</f>
        <v>#REF!</v>
      </c>
      <c r="R487" s="54" t="e">
        <f>'Product info'!#REF!</f>
        <v>#REF!</v>
      </c>
      <c r="S487" s="54" t="e">
        <f>'Product info'!#REF!</f>
        <v>#REF!</v>
      </c>
      <c r="T487" s="50" t="e">
        <f>'Product info'!#REF!</f>
        <v>#REF!</v>
      </c>
      <c r="U487" s="52" t="e">
        <f t="shared" si="100"/>
        <v>#REF!</v>
      </c>
      <c r="V487" s="50" t="e">
        <f t="shared" si="101"/>
        <v>#REF!</v>
      </c>
      <c r="W487" s="50" t="e">
        <f t="shared" si="102"/>
        <v>#REF!</v>
      </c>
      <c r="X487" s="50" t="e">
        <f t="shared" si="103"/>
        <v>#REF!</v>
      </c>
      <c r="Y487" s="50" t="e">
        <f t="shared" si="104"/>
        <v>#REF!</v>
      </c>
      <c r="Z487" t="e">
        <f t="shared" si="105"/>
        <v>#REF!</v>
      </c>
    </row>
    <row r="488" spans="1:26" x14ac:dyDescent="0.4">
      <c r="A488" t="e">
        <f>'Product info'!#REF!</f>
        <v>#REF!</v>
      </c>
      <c r="B488" t="e">
        <f>'Product info'!#REF!</f>
        <v>#REF!</v>
      </c>
      <c r="C488" t="e">
        <f>'Product info'!#REF!</f>
        <v>#REF!</v>
      </c>
      <c r="D488" s="6" t="e">
        <f>'Product info'!#REF!</f>
        <v>#REF!</v>
      </c>
      <c r="E488" t="e">
        <f t="shared" si="93"/>
        <v>#REF!</v>
      </c>
      <c r="F488" s="50" t="e">
        <f>'Product info'!#REF!</f>
        <v>#REF!</v>
      </c>
      <c r="G488" s="50" t="e">
        <f>'Product info'!#REF!</f>
        <v>#REF!</v>
      </c>
      <c r="H488" s="50" t="e">
        <f>'Product info'!#REF!</f>
        <v>#REF!</v>
      </c>
      <c r="I488" s="50" t="e">
        <f>'Product info'!#REF!</f>
        <v>#REF!</v>
      </c>
      <c r="J488" s="51" t="e">
        <f>'Product info'!#REF!</f>
        <v>#REF!</v>
      </c>
      <c r="K488" s="52" t="e">
        <f t="shared" si="94"/>
        <v>#REF!</v>
      </c>
      <c r="L488" s="50" t="e">
        <f t="shared" si="95"/>
        <v>#REF!</v>
      </c>
      <c r="M488" s="50" t="e">
        <f t="shared" si="96"/>
        <v>#REF!</v>
      </c>
      <c r="N488" s="50" t="e">
        <f t="shared" si="97"/>
        <v>#REF!</v>
      </c>
      <c r="O488" s="50" t="e">
        <f t="shared" si="98"/>
        <v>#REF!</v>
      </c>
      <c r="P488" s="53" t="e">
        <f t="shared" si="99"/>
        <v>#REF!</v>
      </c>
      <c r="Q488" s="54" t="e">
        <f>'Product info'!#REF!</f>
        <v>#REF!</v>
      </c>
      <c r="R488" s="54" t="e">
        <f>'Product info'!#REF!</f>
        <v>#REF!</v>
      </c>
      <c r="S488" s="54" t="e">
        <f>'Product info'!#REF!</f>
        <v>#REF!</v>
      </c>
      <c r="T488" s="50" t="e">
        <f>'Product info'!#REF!</f>
        <v>#REF!</v>
      </c>
      <c r="U488" s="52" t="e">
        <f t="shared" si="100"/>
        <v>#REF!</v>
      </c>
      <c r="V488" s="50" t="e">
        <f t="shared" si="101"/>
        <v>#REF!</v>
      </c>
      <c r="W488" s="50" t="e">
        <f t="shared" si="102"/>
        <v>#REF!</v>
      </c>
      <c r="X488" s="50" t="e">
        <f t="shared" si="103"/>
        <v>#REF!</v>
      </c>
      <c r="Y488" s="50" t="e">
        <f t="shared" si="104"/>
        <v>#REF!</v>
      </c>
      <c r="Z488" t="e">
        <f t="shared" si="105"/>
        <v>#REF!</v>
      </c>
    </row>
    <row r="489" spans="1:26" x14ac:dyDescent="0.4">
      <c r="A489" t="e">
        <f>'Product info'!#REF!</f>
        <v>#REF!</v>
      </c>
      <c r="B489" t="e">
        <f>'Product info'!#REF!</f>
        <v>#REF!</v>
      </c>
      <c r="C489" t="e">
        <f>'Product info'!#REF!</f>
        <v>#REF!</v>
      </c>
      <c r="D489" s="6" t="e">
        <f>'Product info'!#REF!</f>
        <v>#REF!</v>
      </c>
      <c r="E489" t="e">
        <f t="shared" si="93"/>
        <v>#REF!</v>
      </c>
      <c r="F489" s="50" t="e">
        <f>'Product info'!#REF!</f>
        <v>#REF!</v>
      </c>
      <c r="G489" s="50" t="e">
        <f>'Product info'!#REF!</f>
        <v>#REF!</v>
      </c>
      <c r="H489" s="50" t="e">
        <f>'Product info'!#REF!</f>
        <v>#REF!</v>
      </c>
      <c r="I489" s="50" t="e">
        <f>'Product info'!#REF!</f>
        <v>#REF!</v>
      </c>
      <c r="J489" s="51" t="e">
        <f>'Product info'!#REF!</f>
        <v>#REF!</v>
      </c>
      <c r="K489" s="52" t="e">
        <f t="shared" si="94"/>
        <v>#REF!</v>
      </c>
      <c r="L489" s="50" t="e">
        <f t="shared" si="95"/>
        <v>#REF!</v>
      </c>
      <c r="M489" s="50" t="e">
        <f t="shared" si="96"/>
        <v>#REF!</v>
      </c>
      <c r="N489" s="50" t="e">
        <f t="shared" si="97"/>
        <v>#REF!</v>
      </c>
      <c r="O489" s="50" t="e">
        <f t="shared" si="98"/>
        <v>#REF!</v>
      </c>
      <c r="P489" s="53" t="e">
        <f t="shared" si="99"/>
        <v>#REF!</v>
      </c>
      <c r="Q489" s="54" t="e">
        <f>'Product info'!#REF!</f>
        <v>#REF!</v>
      </c>
      <c r="R489" s="54" t="e">
        <f>'Product info'!#REF!</f>
        <v>#REF!</v>
      </c>
      <c r="S489" s="54" t="e">
        <f>'Product info'!#REF!</f>
        <v>#REF!</v>
      </c>
      <c r="T489" s="50" t="e">
        <f>'Product info'!#REF!</f>
        <v>#REF!</v>
      </c>
      <c r="U489" s="52" t="e">
        <f t="shared" si="100"/>
        <v>#REF!</v>
      </c>
      <c r="V489" s="50" t="e">
        <f t="shared" si="101"/>
        <v>#REF!</v>
      </c>
      <c r="W489" s="50" t="e">
        <f t="shared" si="102"/>
        <v>#REF!</v>
      </c>
      <c r="X489" s="50" t="e">
        <f t="shared" si="103"/>
        <v>#REF!</v>
      </c>
      <c r="Y489" s="50" t="e">
        <f t="shared" si="104"/>
        <v>#REF!</v>
      </c>
      <c r="Z489" t="e">
        <f t="shared" si="105"/>
        <v>#REF!</v>
      </c>
    </row>
    <row r="490" spans="1:26" x14ac:dyDescent="0.4">
      <c r="A490" t="e">
        <f>'Product info'!#REF!</f>
        <v>#REF!</v>
      </c>
      <c r="B490" t="e">
        <f>'Product info'!#REF!</f>
        <v>#REF!</v>
      </c>
      <c r="C490" t="e">
        <f>'Product info'!#REF!</f>
        <v>#REF!</v>
      </c>
      <c r="D490" s="6" t="e">
        <f>'Product info'!#REF!</f>
        <v>#REF!</v>
      </c>
      <c r="E490" t="e">
        <f t="shared" si="93"/>
        <v>#REF!</v>
      </c>
      <c r="F490" s="50" t="e">
        <f>'Product info'!#REF!</f>
        <v>#REF!</v>
      </c>
      <c r="G490" s="50" t="e">
        <f>'Product info'!#REF!</f>
        <v>#REF!</v>
      </c>
      <c r="H490" s="50" t="e">
        <f>'Product info'!#REF!</f>
        <v>#REF!</v>
      </c>
      <c r="I490" s="50" t="e">
        <f>'Product info'!#REF!</f>
        <v>#REF!</v>
      </c>
      <c r="J490" s="51" t="e">
        <f>'Product info'!#REF!</f>
        <v>#REF!</v>
      </c>
      <c r="K490" s="52" t="e">
        <f t="shared" si="94"/>
        <v>#REF!</v>
      </c>
      <c r="L490" s="50" t="e">
        <f t="shared" si="95"/>
        <v>#REF!</v>
      </c>
      <c r="M490" s="50" t="e">
        <f t="shared" si="96"/>
        <v>#REF!</v>
      </c>
      <c r="N490" s="50" t="e">
        <f t="shared" si="97"/>
        <v>#REF!</v>
      </c>
      <c r="O490" s="50" t="e">
        <f t="shared" si="98"/>
        <v>#REF!</v>
      </c>
      <c r="P490" s="53" t="e">
        <f t="shared" si="99"/>
        <v>#REF!</v>
      </c>
      <c r="Q490" s="54" t="e">
        <f>'Product info'!#REF!</f>
        <v>#REF!</v>
      </c>
      <c r="R490" s="54" t="e">
        <f>'Product info'!#REF!</f>
        <v>#REF!</v>
      </c>
      <c r="S490" s="54" t="e">
        <f>'Product info'!#REF!</f>
        <v>#REF!</v>
      </c>
      <c r="T490" s="50" t="e">
        <f>'Product info'!#REF!</f>
        <v>#REF!</v>
      </c>
      <c r="U490" s="52" t="e">
        <f t="shared" si="100"/>
        <v>#REF!</v>
      </c>
      <c r="V490" s="50" t="e">
        <f t="shared" si="101"/>
        <v>#REF!</v>
      </c>
      <c r="W490" s="50" t="e">
        <f t="shared" si="102"/>
        <v>#REF!</v>
      </c>
      <c r="X490" s="50" t="e">
        <f t="shared" si="103"/>
        <v>#REF!</v>
      </c>
      <c r="Y490" s="50" t="e">
        <f t="shared" si="104"/>
        <v>#REF!</v>
      </c>
      <c r="Z490" t="e">
        <f t="shared" si="105"/>
        <v>#REF!</v>
      </c>
    </row>
    <row r="491" spans="1:26" x14ac:dyDescent="0.4">
      <c r="A491" t="e">
        <f>'Product info'!#REF!</f>
        <v>#REF!</v>
      </c>
      <c r="B491" t="e">
        <f>'Product info'!#REF!</f>
        <v>#REF!</v>
      </c>
      <c r="C491" t="e">
        <f>'Product info'!#REF!</f>
        <v>#REF!</v>
      </c>
      <c r="D491" s="6" t="e">
        <f>'Product info'!#REF!</f>
        <v>#REF!</v>
      </c>
      <c r="E491" t="e">
        <f t="shared" si="93"/>
        <v>#REF!</v>
      </c>
      <c r="F491" s="50" t="e">
        <f>'Product info'!#REF!</f>
        <v>#REF!</v>
      </c>
      <c r="G491" s="50" t="e">
        <f>'Product info'!#REF!</f>
        <v>#REF!</v>
      </c>
      <c r="H491" s="50" t="e">
        <f>'Product info'!#REF!</f>
        <v>#REF!</v>
      </c>
      <c r="I491" s="50" t="e">
        <f>'Product info'!#REF!</f>
        <v>#REF!</v>
      </c>
      <c r="J491" s="51" t="e">
        <f>'Product info'!#REF!</f>
        <v>#REF!</v>
      </c>
      <c r="K491" s="52" t="e">
        <f t="shared" si="94"/>
        <v>#REF!</v>
      </c>
      <c r="L491" s="50" t="e">
        <f t="shared" si="95"/>
        <v>#REF!</v>
      </c>
      <c r="M491" s="50" t="e">
        <f t="shared" si="96"/>
        <v>#REF!</v>
      </c>
      <c r="N491" s="50" t="e">
        <f t="shared" si="97"/>
        <v>#REF!</v>
      </c>
      <c r="O491" s="50" t="e">
        <f t="shared" si="98"/>
        <v>#REF!</v>
      </c>
      <c r="P491" s="53" t="e">
        <f t="shared" si="99"/>
        <v>#REF!</v>
      </c>
      <c r="Q491" s="54" t="e">
        <f>'Product info'!#REF!</f>
        <v>#REF!</v>
      </c>
      <c r="R491" s="54" t="e">
        <f>'Product info'!#REF!</f>
        <v>#REF!</v>
      </c>
      <c r="S491" s="54" t="e">
        <f>'Product info'!#REF!</f>
        <v>#REF!</v>
      </c>
      <c r="T491" s="50" t="e">
        <f>'Product info'!#REF!</f>
        <v>#REF!</v>
      </c>
      <c r="U491" s="52" t="e">
        <f t="shared" si="100"/>
        <v>#REF!</v>
      </c>
      <c r="V491" s="50" t="e">
        <f t="shared" si="101"/>
        <v>#REF!</v>
      </c>
      <c r="W491" s="50" t="e">
        <f t="shared" si="102"/>
        <v>#REF!</v>
      </c>
      <c r="X491" s="50" t="e">
        <f t="shared" si="103"/>
        <v>#REF!</v>
      </c>
      <c r="Y491" s="50" t="e">
        <f t="shared" si="104"/>
        <v>#REF!</v>
      </c>
      <c r="Z491" t="e">
        <f t="shared" si="105"/>
        <v>#REF!</v>
      </c>
    </row>
    <row r="492" spans="1:26" x14ac:dyDescent="0.4">
      <c r="A492" t="e">
        <f>'Product info'!#REF!</f>
        <v>#REF!</v>
      </c>
      <c r="B492" t="e">
        <f>'Product info'!#REF!</f>
        <v>#REF!</v>
      </c>
      <c r="C492" t="e">
        <f>'Product info'!#REF!</f>
        <v>#REF!</v>
      </c>
      <c r="D492" s="6" t="e">
        <f>'Product info'!#REF!</f>
        <v>#REF!</v>
      </c>
      <c r="E492" t="e">
        <f t="shared" si="93"/>
        <v>#REF!</v>
      </c>
      <c r="F492" s="50" t="e">
        <f>'Product info'!#REF!</f>
        <v>#REF!</v>
      </c>
      <c r="G492" s="50" t="e">
        <f>'Product info'!#REF!</f>
        <v>#REF!</v>
      </c>
      <c r="H492" s="50" t="e">
        <f>'Product info'!#REF!</f>
        <v>#REF!</v>
      </c>
      <c r="I492" s="50" t="e">
        <f>'Product info'!#REF!</f>
        <v>#REF!</v>
      </c>
      <c r="J492" s="51" t="e">
        <f>'Product info'!#REF!</f>
        <v>#REF!</v>
      </c>
      <c r="K492" s="52" t="e">
        <f t="shared" si="94"/>
        <v>#REF!</v>
      </c>
      <c r="L492" s="50" t="e">
        <f t="shared" si="95"/>
        <v>#REF!</v>
      </c>
      <c r="M492" s="50" t="e">
        <f t="shared" si="96"/>
        <v>#REF!</v>
      </c>
      <c r="N492" s="50" t="e">
        <f t="shared" si="97"/>
        <v>#REF!</v>
      </c>
      <c r="O492" s="50" t="e">
        <f t="shared" si="98"/>
        <v>#REF!</v>
      </c>
      <c r="P492" s="53" t="e">
        <f t="shared" si="99"/>
        <v>#REF!</v>
      </c>
      <c r="Q492" s="54" t="e">
        <f>'Product info'!#REF!</f>
        <v>#REF!</v>
      </c>
      <c r="R492" s="54" t="e">
        <f>'Product info'!#REF!</f>
        <v>#REF!</v>
      </c>
      <c r="S492" s="54" t="e">
        <f>'Product info'!#REF!</f>
        <v>#REF!</v>
      </c>
      <c r="T492" s="50" t="e">
        <f>'Product info'!#REF!</f>
        <v>#REF!</v>
      </c>
      <c r="U492" s="52" t="e">
        <f t="shared" si="100"/>
        <v>#REF!</v>
      </c>
      <c r="V492" s="50" t="e">
        <f t="shared" si="101"/>
        <v>#REF!</v>
      </c>
      <c r="W492" s="50" t="e">
        <f t="shared" si="102"/>
        <v>#REF!</v>
      </c>
      <c r="X492" s="50" t="e">
        <f t="shared" si="103"/>
        <v>#REF!</v>
      </c>
      <c r="Y492" s="50" t="e">
        <f t="shared" si="104"/>
        <v>#REF!</v>
      </c>
      <c r="Z492" t="e">
        <f t="shared" si="105"/>
        <v>#REF!</v>
      </c>
    </row>
    <row r="493" spans="1:26" x14ac:dyDescent="0.4">
      <c r="A493" t="e">
        <f>'Product info'!#REF!</f>
        <v>#REF!</v>
      </c>
      <c r="B493" t="e">
        <f>'Product info'!#REF!</f>
        <v>#REF!</v>
      </c>
      <c r="C493" t="e">
        <f>'Product info'!#REF!</f>
        <v>#REF!</v>
      </c>
      <c r="D493" s="6" t="e">
        <f>'Product info'!#REF!</f>
        <v>#REF!</v>
      </c>
      <c r="E493" t="e">
        <f t="shared" si="93"/>
        <v>#REF!</v>
      </c>
      <c r="F493" s="50" t="e">
        <f>'Product info'!#REF!</f>
        <v>#REF!</v>
      </c>
      <c r="G493" s="50" t="e">
        <f>'Product info'!#REF!</f>
        <v>#REF!</v>
      </c>
      <c r="H493" s="50" t="e">
        <f>'Product info'!#REF!</f>
        <v>#REF!</v>
      </c>
      <c r="I493" s="50" t="e">
        <f>'Product info'!#REF!</f>
        <v>#REF!</v>
      </c>
      <c r="J493" s="51" t="e">
        <f>'Product info'!#REF!</f>
        <v>#REF!</v>
      </c>
      <c r="K493" s="52" t="e">
        <f t="shared" si="94"/>
        <v>#REF!</v>
      </c>
      <c r="L493" s="50" t="e">
        <f t="shared" si="95"/>
        <v>#REF!</v>
      </c>
      <c r="M493" s="50" t="e">
        <f t="shared" si="96"/>
        <v>#REF!</v>
      </c>
      <c r="N493" s="50" t="e">
        <f t="shared" si="97"/>
        <v>#REF!</v>
      </c>
      <c r="O493" s="50" t="e">
        <f t="shared" si="98"/>
        <v>#REF!</v>
      </c>
      <c r="P493" s="53" t="e">
        <f t="shared" si="99"/>
        <v>#REF!</v>
      </c>
      <c r="Q493" s="54" t="e">
        <f>'Product info'!#REF!</f>
        <v>#REF!</v>
      </c>
      <c r="R493" s="54" t="e">
        <f>'Product info'!#REF!</f>
        <v>#REF!</v>
      </c>
      <c r="S493" s="54" t="e">
        <f>'Product info'!#REF!</f>
        <v>#REF!</v>
      </c>
      <c r="T493" s="50" t="e">
        <f>'Product info'!#REF!</f>
        <v>#REF!</v>
      </c>
      <c r="U493" s="52" t="e">
        <f t="shared" si="100"/>
        <v>#REF!</v>
      </c>
      <c r="V493" s="50" t="e">
        <f t="shared" si="101"/>
        <v>#REF!</v>
      </c>
      <c r="W493" s="50" t="e">
        <f t="shared" si="102"/>
        <v>#REF!</v>
      </c>
      <c r="X493" s="50" t="e">
        <f t="shared" si="103"/>
        <v>#REF!</v>
      </c>
      <c r="Y493" s="50" t="e">
        <f t="shared" si="104"/>
        <v>#REF!</v>
      </c>
      <c r="Z493" t="e">
        <f t="shared" si="105"/>
        <v>#REF!</v>
      </c>
    </row>
    <row r="494" spans="1:26" x14ac:dyDescent="0.4">
      <c r="A494" t="e">
        <f>'Product info'!#REF!</f>
        <v>#REF!</v>
      </c>
      <c r="B494" t="e">
        <f>'Product info'!#REF!</f>
        <v>#REF!</v>
      </c>
      <c r="C494" t="e">
        <f>'Product info'!#REF!</f>
        <v>#REF!</v>
      </c>
      <c r="D494" s="6" t="e">
        <f>'Product info'!#REF!</f>
        <v>#REF!</v>
      </c>
      <c r="E494" t="e">
        <f t="shared" si="93"/>
        <v>#REF!</v>
      </c>
      <c r="F494" s="50" t="e">
        <f>'Product info'!#REF!</f>
        <v>#REF!</v>
      </c>
      <c r="G494" s="50" t="e">
        <f>'Product info'!#REF!</f>
        <v>#REF!</v>
      </c>
      <c r="H494" s="50" t="e">
        <f>'Product info'!#REF!</f>
        <v>#REF!</v>
      </c>
      <c r="I494" s="50" t="e">
        <f>'Product info'!#REF!</f>
        <v>#REF!</v>
      </c>
      <c r="J494" s="51" t="e">
        <f>'Product info'!#REF!</f>
        <v>#REF!</v>
      </c>
      <c r="K494" s="52" t="e">
        <f t="shared" si="94"/>
        <v>#REF!</v>
      </c>
      <c r="L494" s="50" t="e">
        <f t="shared" si="95"/>
        <v>#REF!</v>
      </c>
      <c r="M494" s="50" t="e">
        <f t="shared" si="96"/>
        <v>#REF!</v>
      </c>
      <c r="N494" s="50" t="e">
        <f t="shared" si="97"/>
        <v>#REF!</v>
      </c>
      <c r="O494" s="50" t="e">
        <f t="shared" si="98"/>
        <v>#REF!</v>
      </c>
      <c r="P494" s="53" t="e">
        <f t="shared" si="99"/>
        <v>#REF!</v>
      </c>
      <c r="Q494" s="54" t="e">
        <f>'Product info'!#REF!</f>
        <v>#REF!</v>
      </c>
      <c r="R494" s="54" t="e">
        <f>'Product info'!#REF!</f>
        <v>#REF!</v>
      </c>
      <c r="S494" s="54" t="e">
        <f>'Product info'!#REF!</f>
        <v>#REF!</v>
      </c>
      <c r="T494" s="50" t="e">
        <f>'Product info'!#REF!</f>
        <v>#REF!</v>
      </c>
      <c r="U494" s="52" t="e">
        <f t="shared" si="100"/>
        <v>#REF!</v>
      </c>
      <c r="V494" s="50" t="e">
        <f t="shared" si="101"/>
        <v>#REF!</v>
      </c>
      <c r="W494" s="50" t="e">
        <f t="shared" si="102"/>
        <v>#REF!</v>
      </c>
      <c r="X494" s="50" t="e">
        <f t="shared" si="103"/>
        <v>#REF!</v>
      </c>
      <c r="Y494" s="50" t="e">
        <f t="shared" si="104"/>
        <v>#REF!</v>
      </c>
      <c r="Z494" t="e">
        <f t="shared" si="105"/>
        <v>#REF!</v>
      </c>
    </row>
    <row r="495" spans="1:26" x14ac:dyDescent="0.4">
      <c r="A495" t="e">
        <f>'Product info'!#REF!</f>
        <v>#REF!</v>
      </c>
      <c r="B495" t="e">
        <f>'Product info'!#REF!</f>
        <v>#REF!</v>
      </c>
      <c r="C495" t="e">
        <f>'Product info'!#REF!</f>
        <v>#REF!</v>
      </c>
      <c r="D495" s="6" t="e">
        <f>'Product info'!#REF!</f>
        <v>#REF!</v>
      </c>
      <c r="E495" t="e">
        <f t="shared" si="93"/>
        <v>#REF!</v>
      </c>
      <c r="F495" s="50" t="e">
        <f>'Product info'!#REF!</f>
        <v>#REF!</v>
      </c>
      <c r="G495" s="50" t="e">
        <f>'Product info'!#REF!</f>
        <v>#REF!</v>
      </c>
      <c r="H495" s="50" t="e">
        <f>'Product info'!#REF!</f>
        <v>#REF!</v>
      </c>
      <c r="I495" s="50" t="e">
        <f>'Product info'!#REF!</f>
        <v>#REF!</v>
      </c>
      <c r="J495" s="51" t="e">
        <f>'Product info'!#REF!</f>
        <v>#REF!</v>
      </c>
      <c r="K495" s="52" t="e">
        <f t="shared" si="94"/>
        <v>#REF!</v>
      </c>
      <c r="L495" s="50" t="e">
        <f t="shared" si="95"/>
        <v>#REF!</v>
      </c>
      <c r="M495" s="50" t="e">
        <f t="shared" si="96"/>
        <v>#REF!</v>
      </c>
      <c r="N495" s="50" t="e">
        <f t="shared" si="97"/>
        <v>#REF!</v>
      </c>
      <c r="O495" s="50" t="e">
        <f t="shared" si="98"/>
        <v>#REF!</v>
      </c>
      <c r="P495" s="53" t="e">
        <f t="shared" si="99"/>
        <v>#REF!</v>
      </c>
      <c r="Q495" s="54" t="e">
        <f>'Product info'!#REF!</f>
        <v>#REF!</v>
      </c>
      <c r="R495" s="54" t="e">
        <f>'Product info'!#REF!</f>
        <v>#REF!</v>
      </c>
      <c r="S495" s="54" t="e">
        <f>'Product info'!#REF!</f>
        <v>#REF!</v>
      </c>
      <c r="T495" s="50" t="e">
        <f>'Product info'!#REF!</f>
        <v>#REF!</v>
      </c>
      <c r="U495" s="52" t="e">
        <f t="shared" si="100"/>
        <v>#REF!</v>
      </c>
      <c r="V495" s="50" t="e">
        <f t="shared" si="101"/>
        <v>#REF!</v>
      </c>
      <c r="W495" s="50" t="e">
        <f t="shared" si="102"/>
        <v>#REF!</v>
      </c>
      <c r="X495" s="50" t="e">
        <f t="shared" si="103"/>
        <v>#REF!</v>
      </c>
      <c r="Y495" s="50" t="e">
        <f t="shared" si="104"/>
        <v>#REF!</v>
      </c>
      <c r="Z495" t="e">
        <f t="shared" si="105"/>
        <v>#REF!</v>
      </c>
    </row>
    <row r="496" spans="1:26" x14ac:dyDescent="0.4">
      <c r="A496" t="e">
        <f>'Product info'!#REF!</f>
        <v>#REF!</v>
      </c>
      <c r="B496" t="e">
        <f>'Product info'!#REF!</f>
        <v>#REF!</v>
      </c>
      <c r="C496" t="e">
        <f>'Product info'!#REF!</f>
        <v>#REF!</v>
      </c>
      <c r="D496" s="6" t="e">
        <f>'Product info'!#REF!</f>
        <v>#REF!</v>
      </c>
      <c r="E496" t="e">
        <f t="shared" si="93"/>
        <v>#REF!</v>
      </c>
      <c r="F496" s="50" t="e">
        <f>'Product info'!#REF!</f>
        <v>#REF!</v>
      </c>
      <c r="G496" s="50" t="e">
        <f>'Product info'!#REF!</f>
        <v>#REF!</v>
      </c>
      <c r="H496" s="50" t="e">
        <f>'Product info'!#REF!</f>
        <v>#REF!</v>
      </c>
      <c r="I496" s="50" t="e">
        <f>'Product info'!#REF!</f>
        <v>#REF!</v>
      </c>
      <c r="J496" s="51" t="e">
        <f>'Product info'!#REF!</f>
        <v>#REF!</v>
      </c>
      <c r="K496" s="52" t="e">
        <f t="shared" si="94"/>
        <v>#REF!</v>
      </c>
      <c r="L496" s="50" t="e">
        <f t="shared" si="95"/>
        <v>#REF!</v>
      </c>
      <c r="M496" s="50" t="e">
        <f t="shared" si="96"/>
        <v>#REF!</v>
      </c>
      <c r="N496" s="50" t="e">
        <f t="shared" si="97"/>
        <v>#REF!</v>
      </c>
      <c r="O496" s="50" t="e">
        <f t="shared" si="98"/>
        <v>#REF!</v>
      </c>
      <c r="P496" s="53" t="e">
        <f t="shared" si="99"/>
        <v>#REF!</v>
      </c>
      <c r="Q496" s="54" t="e">
        <f>'Product info'!#REF!</f>
        <v>#REF!</v>
      </c>
      <c r="R496" s="54" t="e">
        <f>'Product info'!#REF!</f>
        <v>#REF!</v>
      </c>
      <c r="S496" s="54" t="e">
        <f>'Product info'!#REF!</f>
        <v>#REF!</v>
      </c>
      <c r="T496" s="50" t="e">
        <f>'Product info'!#REF!</f>
        <v>#REF!</v>
      </c>
      <c r="U496" s="52" t="e">
        <f t="shared" si="100"/>
        <v>#REF!</v>
      </c>
      <c r="V496" s="50" t="e">
        <f t="shared" si="101"/>
        <v>#REF!</v>
      </c>
      <c r="W496" s="50" t="e">
        <f t="shared" si="102"/>
        <v>#REF!</v>
      </c>
      <c r="X496" s="50" t="e">
        <f t="shared" si="103"/>
        <v>#REF!</v>
      </c>
      <c r="Y496" s="50" t="e">
        <f t="shared" si="104"/>
        <v>#REF!</v>
      </c>
      <c r="Z496" t="e">
        <f t="shared" si="105"/>
        <v>#REF!</v>
      </c>
    </row>
    <row r="497" spans="1:26" x14ac:dyDescent="0.4">
      <c r="A497" t="e">
        <f>'Product info'!#REF!</f>
        <v>#REF!</v>
      </c>
      <c r="B497" t="e">
        <f>'Product info'!#REF!</f>
        <v>#REF!</v>
      </c>
      <c r="C497" t="e">
        <f>'Product info'!#REF!</f>
        <v>#REF!</v>
      </c>
      <c r="D497" s="6" t="e">
        <f>'Product info'!#REF!</f>
        <v>#REF!</v>
      </c>
      <c r="E497" t="e">
        <f t="shared" si="93"/>
        <v>#REF!</v>
      </c>
      <c r="F497" s="50" t="e">
        <f>'Product info'!#REF!</f>
        <v>#REF!</v>
      </c>
      <c r="G497" s="50" t="e">
        <f>'Product info'!#REF!</f>
        <v>#REF!</v>
      </c>
      <c r="H497" s="50" t="e">
        <f>'Product info'!#REF!</f>
        <v>#REF!</v>
      </c>
      <c r="I497" s="50" t="e">
        <f>'Product info'!#REF!</f>
        <v>#REF!</v>
      </c>
      <c r="J497" s="51" t="e">
        <f>'Product info'!#REF!</f>
        <v>#REF!</v>
      </c>
      <c r="K497" s="52" t="e">
        <f t="shared" si="94"/>
        <v>#REF!</v>
      </c>
      <c r="L497" s="50" t="e">
        <f t="shared" si="95"/>
        <v>#REF!</v>
      </c>
      <c r="M497" s="50" t="e">
        <f t="shared" si="96"/>
        <v>#REF!</v>
      </c>
      <c r="N497" s="50" t="e">
        <f t="shared" si="97"/>
        <v>#REF!</v>
      </c>
      <c r="O497" s="50" t="e">
        <f t="shared" si="98"/>
        <v>#REF!</v>
      </c>
      <c r="P497" s="53" t="e">
        <f t="shared" si="99"/>
        <v>#REF!</v>
      </c>
      <c r="Q497" s="54" t="e">
        <f>'Product info'!#REF!</f>
        <v>#REF!</v>
      </c>
      <c r="R497" s="54" t="e">
        <f>'Product info'!#REF!</f>
        <v>#REF!</v>
      </c>
      <c r="S497" s="54" t="e">
        <f>'Product info'!#REF!</f>
        <v>#REF!</v>
      </c>
      <c r="T497" s="50" t="e">
        <f>'Product info'!#REF!</f>
        <v>#REF!</v>
      </c>
      <c r="U497" s="52" t="e">
        <f t="shared" si="100"/>
        <v>#REF!</v>
      </c>
      <c r="V497" s="50" t="e">
        <f t="shared" si="101"/>
        <v>#REF!</v>
      </c>
      <c r="W497" s="50" t="e">
        <f t="shared" si="102"/>
        <v>#REF!</v>
      </c>
      <c r="X497" s="50" t="e">
        <f t="shared" si="103"/>
        <v>#REF!</v>
      </c>
      <c r="Y497" s="50" t="e">
        <f t="shared" si="104"/>
        <v>#REF!</v>
      </c>
      <c r="Z497" t="e">
        <f t="shared" si="105"/>
        <v>#REF!</v>
      </c>
    </row>
    <row r="498" spans="1:26" x14ac:dyDescent="0.4">
      <c r="A498" t="e">
        <f>'Product info'!#REF!</f>
        <v>#REF!</v>
      </c>
      <c r="B498" t="e">
        <f>'Product info'!#REF!</f>
        <v>#REF!</v>
      </c>
      <c r="C498" t="e">
        <f>'Product info'!#REF!</f>
        <v>#REF!</v>
      </c>
      <c r="D498" s="6" t="e">
        <f>'Product info'!#REF!</f>
        <v>#REF!</v>
      </c>
      <c r="E498" t="e">
        <f t="shared" si="93"/>
        <v>#REF!</v>
      </c>
      <c r="F498" s="50" t="e">
        <f>'Product info'!#REF!</f>
        <v>#REF!</v>
      </c>
      <c r="G498" s="50" t="e">
        <f>'Product info'!#REF!</f>
        <v>#REF!</v>
      </c>
      <c r="H498" s="50" t="e">
        <f>'Product info'!#REF!</f>
        <v>#REF!</v>
      </c>
      <c r="I498" s="50" t="e">
        <f>'Product info'!#REF!</f>
        <v>#REF!</v>
      </c>
      <c r="J498" s="51" t="e">
        <f>'Product info'!#REF!</f>
        <v>#REF!</v>
      </c>
      <c r="K498" s="52" t="e">
        <f t="shared" si="94"/>
        <v>#REF!</v>
      </c>
      <c r="L498" s="50" t="e">
        <f t="shared" si="95"/>
        <v>#REF!</v>
      </c>
      <c r="M498" s="50" t="e">
        <f t="shared" si="96"/>
        <v>#REF!</v>
      </c>
      <c r="N498" s="50" t="e">
        <f t="shared" si="97"/>
        <v>#REF!</v>
      </c>
      <c r="O498" s="50" t="e">
        <f t="shared" si="98"/>
        <v>#REF!</v>
      </c>
      <c r="P498" s="53" t="e">
        <f t="shared" si="99"/>
        <v>#REF!</v>
      </c>
      <c r="Q498" s="54" t="e">
        <f>'Product info'!#REF!</f>
        <v>#REF!</v>
      </c>
      <c r="R498" s="54" t="e">
        <f>'Product info'!#REF!</f>
        <v>#REF!</v>
      </c>
      <c r="S498" s="54" t="e">
        <f>'Product info'!#REF!</f>
        <v>#REF!</v>
      </c>
      <c r="T498" s="50" t="e">
        <f>'Product info'!#REF!</f>
        <v>#REF!</v>
      </c>
      <c r="U498" s="52" t="e">
        <f t="shared" si="100"/>
        <v>#REF!</v>
      </c>
      <c r="V498" s="50" t="e">
        <f t="shared" si="101"/>
        <v>#REF!</v>
      </c>
      <c r="W498" s="50" t="e">
        <f t="shared" si="102"/>
        <v>#REF!</v>
      </c>
      <c r="X498" s="50" t="e">
        <f t="shared" si="103"/>
        <v>#REF!</v>
      </c>
      <c r="Y498" s="50" t="e">
        <f t="shared" si="104"/>
        <v>#REF!</v>
      </c>
      <c r="Z498" t="e">
        <f t="shared" si="105"/>
        <v>#REF!</v>
      </c>
    </row>
    <row r="499" spans="1:26" x14ac:dyDescent="0.4">
      <c r="A499" t="e">
        <f>'Product info'!#REF!</f>
        <v>#REF!</v>
      </c>
      <c r="B499" t="e">
        <f>'Product info'!#REF!</f>
        <v>#REF!</v>
      </c>
      <c r="C499" t="e">
        <f>'Product info'!#REF!</f>
        <v>#REF!</v>
      </c>
      <c r="D499" s="6" t="e">
        <f>'Product info'!#REF!</f>
        <v>#REF!</v>
      </c>
      <c r="E499" t="e">
        <f t="shared" si="93"/>
        <v>#REF!</v>
      </c>
      <c r="F499" s="50" t="e">
        <f>'Product info'!#REF!</f>
        <v>#REF!</v>
      </c>
      <c r="G499" s="50" t="e">
        <f>'Product info'!#REF!</f>
        <v>#REF!</v>
      </c>
      <c r="H499" s="50" t="e">
        <f>'Product info'!#REF!</f>
        <v>#REF!</v>
      </c>
      <c r="I499" s="50" t="e">
        <f>'Product info'!#REF!</f>
        <v>#REF!</v>
      </c>
      <c r="J499" s="51" t="e">
        <f>'Product info'!#REF!</f>
        <v>#REF!</v>
      </c>
      <c r="K499" s="52" t="e">
        <f t="shared" si="94"/>
        <v>#REF!</v>
      </c>
      <c r="L499" s="50" t="e">
        <f t="shared" si="95"/>
        <v>#REF!</v>
      </c>
      <c r="M499" s="50" t="e">
        <f t="shared" si="96"/>
        <v>#REF!</v>
      </c>
      <c r="N499" s="50" t="e">
        <f t="shared" si="97"/>
        <v>#REF!</v>
      </c>
      <c r="O499" s="50" t="e">
        <f t="shared" si="98"/>
        <v>#REF!</v>
      </c>
      <c r="P499" s="53" t="e">
        <f t="shared" si="99"/>
        <v>#REF!</v>
      </c>
      <c r="Q499" s="54" t="e">
        <f>'Product info'!#REF!</f>
        <v>#REF!</v>
      </c>
      <c r="R499" s="54" t="e">
        <f>'Product info'!#REF!</f>
        <v>#REF!</v>
      </c>
      <c r="S499" s="54" t="e">
        <f>'Product info'!#REF!</f>
        <v>#REF!</v>
      </c>
      <c r="T499" s="50" t="e">
        <f>'Product info'!#REF!</f>
        <v>#REF!</v>
      </c>
      <c r="U499" s="52" t="e">
        <f t="shared" si="100"/>
        <v>#REF!</v>
      </c>
      <c r="V499" s="50" t="e">
        <f t="shared" si="101"/>
        <v>#REF!</v>
      </c>
      <c r="W499" s="50" t="e">
        <f t="shared" si="102"/>
        <v>#REF!</v>
      </c>
      <c r="X499" s="50" t="e">
        <f t="shared" si="103"/>
        <v>#REF!</v>
      </c>
      <c r="Y499" s="50" t="e">
        <f t="shared" si="104"/>
        <v>#REF!</v>
      </c>
      <c r="Z499" t="e">
        <f t="shared" si="105"/>
        <v>#REF!</v>
      </c>
    </row>
    <row r="500" spans="1:26" x14ac:dyDescent="0.4">
      <c r="A500" t="e">
        <f>'Product info'!#REF!</f>
        <v>#REF!</v>
      </c>
      <c r="B500" t="e">
        <f>'Product info'!#REF!</f>
        <v>#REF!</v>
      </c>
      <c r="C500" t="e">
        <f>'Product info'!#REF!</f>
        <v>#REF!</v>
      </c>
      <c r="D500" s="6" t="e">
        <f>'Product info'!#REF!</f>
        <v>#REF!</v>
      </c>
      <c r="E500" t="e">
        <f t="shared" si="93"/>
        <v>#REF!</v>
      </c>
      <c r="F500" s="50" t="e">
        <f>'Product info'!#REF!</f>
        <v>#REF!</v>
      </c>
      <c r="G500" s="50" t="e">
        <f>'Product info'!#REF!</f>
        <v>#REF!</v>
      </c>
      <c r="H500" s="50" t="e">
        <f>'Product info'!#REF!</f>
        <v>#REF!</v>
      </c>
      <c r="I500" s="50" t="e">
        <f>'Product info'!#REF!</f>
        <v>#REF!</v>
      </c>
      <c r="J500" s="51" t="e">
        <f>'Product info'!#REF!</f>
        <v>#REF!</v>
      </c>
      <c r="K500" s="52" t="e">
        <f t="shared" si="94"/>
        <v>#REF!</v>
      </c>
      <c r="L500" s="50" t="e">
        <f t="shared" si="95"/>
        <v>#REF!</v>
      </c>
      <c r="M500" s="50" t="e">
        <f t="shared" si="96"/>
        <v>#REF!</v>
      </c>
      <c r="N500" s="50" t="e">
        <f t="shared" si="97"/>
        <v>#REF!</v>
      </c>
      <c r="O500" s="50" t="e">
        <f t="shared" si="98"/>
        <v>#REF!</v>
      </c>
      <c r="P500" s="53" t="e">
        <f t="shared" si="99"/>
        <v>#REF!</v>
      </c>
      <c r="Q500" s="54" t="e">
        <f>'Product info'!#REF!</f>
        <v>#REF!</v>
      </c>
      <c r="R500" s="54" t="e">
        <f>'Product info'!#REF!</f>
        <v>#REF!</v>
      </c>
      <c r="S500" s="54" t="e">
        <f>'Product info'!#REF!</f>
        <v>#REF!</v>
      </c>
      <c r="T500" s="50" t="e">
        <f>'Product info'!#REF!</f>
        <v>#REF!</v>
      </c>
      <c r="U500" s="52" t="e">
        <f t="shared" si="100"/>
        <v>#REF!</v>
      </c>
      <c r="V500" s="50" t="e">
        <f t="shared" si="101"/>
        <v>#REF!</v>
      </c>
      <c r="W500" s="50" t="e">
        <f t="shared" si="102"/>
        <v>#REF!</v>
      </c>
      <c r="X500" s="50" t="e">
        <f t="shared" si="103"/>
        <v>#REF!</v>
      </c>
      <c r="Y500" s="50" t="e">
        <f t="shared" si="104"/>
        <v>#REF!</v>
      </c>
      <c r="Z500" t="e">
        <f t="shared" si="105"/>
        <v>#REF!</v>
      </c>
    </row>
    <row r="501" spans="1:26" x14ac:dyDescent="0.4">
      <c r="A501" t="e">
        <f>'Product info'!#REF!</f>
        <v>#REF!</v>
      </c>
      <c r="B501" t="e">
        <f>'Product info'!#REF!</f>
        <v>#REF!</v>
      </c>
      <c r="C501" t="e">
        <f>'Product info'!#REF!</f>
        <v>#REF!</v>
      </c>
      <c r="D501" s="6" t="e">
        <f>'Product info'!#REF!</f>
        <v>#REF!</v>
      </c>
      <c r="E501" t="e">
        <f t="shared" si="93"/>
        <v>#REF!</v>
      </c>
      <c r="F501" s="50" t="e">
        <f>'Product info'!#REF!</f>
        <v>#REF!</v>
      </c>
      <c r="G501" s="50" t="e">
        <f>'Product info'!#REF!</f>
        <v>#REF!</v>
      </c>
      <c r="H501" s="50" t="e">
        <f>'Product info'!#REF!</f>
        <v>#REF!</v>
      </c>
      <c r="I501" s="50" t="e">
        <f>'Product info'!#REF!</f>
        <v>#REF!</v>
      </c>
      <c r="J501" s="51" t="e">
        <f>'Product info'!#REF!</f>
        <v>#REF!</v>
      </c>
      <c r="K501" s="52" t="e">
        <f t="shared" si="94"/>
        <v>#REF!</v>
      </c>
      <c r="L501" s="50" t="e">
        <f t="shared" si="95"/>
        <v>#REF!</v>
      </c>
      <c r="M501" s="50" t="e">
        <f t="shared" si="96"/>
        <v>#REF!</v>
      </c>
      <c r="N501" s="50" t="e">
        <f t="shared" si="97"/>
        <v>#REF!</v>
      </c>
      <c r="O501" s="50" t="e">
        <f t="shared" si="98"/>
        <v>#REF!</v>
      </c>
      <c r="P501" s="53" t="e">
        <f t="shared" si="99"/>
        <v>#REF!</v>
      </c>
      <c r="Q501" s="54" t="e">
        <f>'Product info'!#REF!</f>
        <v>#REF!</v>
      </c>
      <c r="R501" s="54" t="e">
        <f>'Product info'!#REF!</f>
        <v>#REF!</v>
      </c>
      <c r="S501" s="54" t="e">
        <f>'Product info'!#REF!</f>
        <v>#REF!</v>
      </c>
      <c r="T501" s="50" t="e">
        <f>'Product info'!#REF!</f>
        <v>#REF!</v>
      </c>
      <c r="U501" s="52" t="e">
        <f t="shared" si="100"/>
        <v>#REF!</v>
      </c>
      <c r="V501" s="50" t="e">
        <f t="shared" si="101"/>
        <v>#REF!</v>
      </c>
      <c r="W501" s="50" t="e">
        <f t="shared" si="102"/>
        <v>#REF!</v>
      </c>
      <c r="X501" s="50" t="e">
        <f t="shared" si="103"/>
        <v>#REF!</v>
      </c>
      <c r="Y501" s="50" t="e">
        <f t="shared" si="104"/>
        <v>#REF!</v>
      </c>
      <c r="Z501" t="e">
        <f t="shared" si="105"/>
        <v>#REF!</v>
      </c>
    </row>
    <row r="502" spans="1:26" x14ac:dyDescent="0.4">
      <c r="A502" t="e">
        <f>'Product info'!#REF!</f>
        <v>#REF!</v>
      </c>
      <c r="B502" t="e">
        <f>'Product info'!#REF!</f>
        <v>#REF!</v>
      </c>
      <c r="C502" t="e">
        <f>'Product info'!#REF!</f>
        <v>#REF!</v>
      </c>
      <c r="D502" s="6" t="e">
        <f>'Product info'!#REF!</f>
        <v>#REF!</v>
      </c>
      <c r="E502" t="e">
        <f t="shared" si="93"/>
        <v>#REF!</v>
      </c>
      <c r="F502" s="50" t="e">
        <f>'Product info'!#REF!</f>
        <v>#REF!</v>
      </c>
      <c r="G502" s="50" t="e">
        <f>'Product info'!#REF!</f>
        <v>#REF!</v>
      </c>
      <c r="H502" s="50" t="e">
        <f>'Product info'!#REF!</f>
        <v>#REF!</v>
      </c>
      <c r="I502" s="50" t="e">
        <f>'Product info'!#REF!</f>
        <v>#REF!</v>
      </c>
      <c r="J502" s="51" t="e">
        <f>'Product info'!#REF!</f>
        <v>#REF!</v>
      </c>
      <c r="K502" s="52" t="e">
        <f t="shared" si="94"/>
        <v>#REF!</v>
      </c>
      <c r="L502" s="50" t="e">
        <f t="shared" si="95"/>
        <v>#REF!</v>
      </c>
      <c r="M502" s="50" t="e">
        <f t="shared" si="96"/>
        <v>#REF!</v>
      </c>
      <c r="N502" s="50" t="e">
        <f t="shared" si="97"/>
        <v>#REF!</v>
      </c>
      <c r="O502" s="50" t="e">
        <f t="shared" si="98"/>
        <v>#REF!</v>
      </c>
      <c r="P502" s="53" t="e">
        <f t="shared" si="99"/>
        <v>#REF!</v>
      </c>
      <c r="Q502" s="54" t="e">
        <f>'Product info'!#REF!</f>
        <v>#REF!</v>
      </c>
      <c r="R502" s="54" t="e">
        <f>'Product info'!#REF!</f>
        <v>#REF!</v>
      </c>
      <c r="S502" s="54" t="e">
        <f>'Product info'!#REF!</f>
        <v>#REF!</v>
      </c>
      <c r="T502" s="50" t="e">
        <f>'Product info'!#REF!</f>
        <v>#REF!</v>
      </c>
      <c r="U502" s="52" t="e">
        <f t="shared" si="100"/>
        <v>#REF!</v>
      </c>
      <c r="V502" s="50" t="e">
        <f t="shared" si="101"/>
        <v>#REF!</v>
      </c>
      <c r="W502" s="50" t="e">
        <f t="shared" si="102"/>
        <v>#REF!</v>
      </c>
      <c r="X502" s="50" t="e">
        <f t="shared" si="103"/>
        <v>#REF!</v>
      </c>
      <c r="Y502" s="50" t="e">
        <f t="shared" si="104"/>
        <v>#REF!</v>
      </c>
      <c r="Z502" t="e">
        <f t="shared" si="105"/>
        <v>#REF!</v>
      </c>
    </row>
    <row r="503" spans="1:26" x14ac:dyDescent="0.4">
      <c r="A503" t="e">
        <f>'Product info'!#REF!</f>
        <v>#REF!</v>
      </c>
      <c r="B503" t="e">
        <f>'Product info'!#REF!</f>
        <v>#REF!</v>
      </c>
      <c r="C503" t="e">
        <f>'Product info'!#REF!</f>
        <v>#REF!</v>
      </c>
      <c r="D503" s="6" t="e">
        <f>'Product info'!#REF!</f>
        <v>#REF!</v>
      </c>
      <c r="E503" t="e">
        <f t="shared" si="93"/>
        <v>#REF!</v>
      </c>
      <c r="F503" s="50" t="e">
        <f>'Product info'!#REF!</f>
        <v>#REF!</v>
      </c>
      <c r="G503" s="50" t="e">
        <f>'Product info'!#REF!</f>
        <v>#REF!</v>
      </c>
      <c r="H503" s="50" t="e">
        <f>'Product info'!#REF!</f>
        <v>#REF!</v>
      </c>
      <c r="I503" s="50" t="e">
        <f>'Product info'!#REF!</f>
        <v>#REF!</v>
      </c>
      <c r="J503" s="51" t="e">
        <f>'Product info'!#REF!</f>
        <v>#REF!</v>
      </c>
      <c r="K503" s="52" t="e">
        <f t="shared" si="94"/>
        <v>#REF!</v>
      </c>
      <c r="L503" s="50" t="e">
        <f t="shared" si="95"/>
        <v>#REF!</v>
      </c>
      <c r="M503" s="50" t="e">
        <f t="shared" si="96"/>
        <v>#REF!</v>
      </c>
      <c r="N503" s="50" t="e">
        <f t="shared" si="97"/>
        <v>#REF!</v>
      </c>
      <c r="O503" s="50" t="e">
        <f t="shared" si="98"/>
        <v>#REF!</v>
      </c>
      <c r="P503" s="53" t="e">
        <f t="shared" si="99"/>
        <v>#REF!</v>
      </c>
      <c r="Q503" s="54" t="e">
        <f>'Product info'!#REF!</f>
        <v>#REF!</v>
      </c>
      <c r="R503" s="54" t="e">
        <f>'Product info'!#REF!</f>
        <v>#REF!</v>
      </c>
      <c r="S503" s="54" t="e">
        <f>'Product info'!#REF!</f>
        <v>#REF!</v>
      </c>
      <c r="T503" s="50" t="e">
        <f>'Product info'!#REF!</f>
        <v>#REF!</v>
      </c>
      <c r="U503" s="52" t="e">
        <f t="shared" si="100"/>
        <v>#REF!</v>
      </c>
      <c r="V503" s="50" t="e">
        <f t="shared" si="101"/>
        <v>#REF!</v>
      </c>
      <c r="W503" s="50" t="e">
        <f t="shared" si="102"/>
        <v>#REF!</v>
      </c>
      <c r="X503" s="50" t="e">
        <f t="shared" si="103"/>
        <v>#REF!</v>
      </c>
      <c r="Y503" s="50" t="e">
        <f t="shared" si="104"/>
        <v>#REF!</v>
      </c>
      <c r="Z503" t="e">
        <f t="shared" si="105"/>
        <v>#REF!</v>
      </c>
    </row>
    <row r="504" spans="1:26" x14ac:dyDescent="0.4">
      <c r="A504" t="e">
        <f>'Product info'!#REF!</f>
        <v>#REF!</v>
      </c>
      <c r="B504" t="e">
        <f>'Product info'!#REF!</f>
        <v>#REF!</v>
      </c>
      <c r="C504" t="e">
        <f>'Product info'!#REF!</f>
        <v>#REF!</v>
      </c>
      <c r="D504" s="6" t="e">
        <f>'Product info'!#REF!</f>
        <v>#REF!</v>
      </c>
      <c r="E504" t="e">
        <f t="shared" si="93"/>
        <v>#REF!</v>
      </c>
      <c r="F504" s="50" t="e">
        <f>'Product info'!#REF!</f>
        <v>#REF!</v>
      </c>
      <c r="G504" s="50" t="e">
        <f>'Product info'!#REF!</f>
        <v>#REF!</v>
      </c>
      <c r="H504" s="50" t="e">
        <f>'Product info'!#REF!</f>
        <v>#REF!</v>
      </c>
      <c r="I504" s="50" t="e">
        <f>'Product info'!#REF!</f>
        <v>#REF!</v>
      </c>
      <c r="J504" s="51" t="e">
        <f>'Product info'!#REF!</f>
        <v>#REF!</v>
      </c>
      <c r="K504" s="52" t="e">
        <f t="shared" si="94"/>
        <v>#REF!</v>
      </c>
      <c r="L504" s="50" t="e">
        <f t="shared" si="95"/>
        <v>#REF!</v>
      </c>
      <c r="M504" s="50" t="e">
        <f t="shared" si="96"/>
        <v>#REF!</v>
      </c>
      <c r="N504" s="50" t="e">
        <f t="shared" si="97"/>
        <v>#REF!</v>
      </c>
      <c r="O504" s="50" t="e">
        <f t="shared" si="98"/>
        <v>#REF!</v>
      </c>
      <c r="P504" s="53" t="e">
        <f t="shared" si="99"/>
        <v>#REF!</v>
      </c>
      <c r="Q504" s="54" t="e">
        <f>'Product info'!#REF!</f>
        <v>#REF!</v>
      </c>
      <c r="R504" s="54" t="e">
        <f>'Product info'!#REF!</f>
        <v>#REF!</v>
      </c>
      <c r="S504" s="54" t="e">
        <f>'Product info'!#REF!</f>
        <v>#REF!</v>
      </c>
      <c r="T504" s="50" t="e">
        <f>'Product info'!#REF!</f>
        <v>#REF!</v>
      </c>
      <c r="U504" s="52" t="e">
        <f t="shared" si="100"/>
        <v>#REF!</v>
      </c>
      <c r="V504" s="50" t="e">
        <f t="shared" si="101"/>
        <v>#REF!</v>
      </c>
      <c r="W504" s="50" t="e">
        <f t="shared" si="102"/>
        <v>#REF!</v>
      </c>
      <c r="X504" s="50" t="e">
        <f t="shared" si="103"/>
        <v>#REF!</v>
      </c>
      <c r="Y504" s="50" t="e">
        <f t="shared" si="104"/>
        <v>#REF!</v>
      </c>
      <c r="Z504" t="e">
        <f t="shared" si="105"/>
        <v>#REF!</v>
      </c>
    </row>
    <row r="505" spans="1:26" x14ac:dyDescent="0.4">
      <c r="A505" t="e">
        <f>'Product info'!#REF!</f>
        <v>#REF!</v>
      </c>
      <c r="B505" t="e">
        <f>'Product info'!#REF!</f>
        <v>#REF!</v>
      </c>
      <c r="C505" t="e">
        <f>'Product info'!#REF!</f>
        <v>#REF!</v>
      </c>
      <c r="D505" s="6" t="e">
        <f>'Product info'!#REF!</f>
        <v>#REF!</v>
      </c>
      <c r="E505" t="e">
        <f t="shared" si="93"/>
        <v>#REF!</v>
      </c>
      <c r="F505" s="50" t="e">
        <f>'Product info'!#REF!</f>
        <v>#REF!</v>
      </c>
      <c r="G505" s="50" t="e">
        <f>'Product info'!#REF!</f>
        <v>#REF!</v>
      </c>
      <c r="H505" s="50" t="e">
        <f>'Product info'!#REF!</f>
        <v>#REF!</v>
      </c>
      <c r="I505" s="50" t="e">
        <f>'Product info'!#REF!</f>
        <v>#REF!</v>
      </c>
      <c r="J505" s="51" t="e">
        <f>'Product info'!#REF!</f>
        <v>#REF!</v>
      </c>
      <c r="K505" s="52" t="e">
        <f t="shared" si="94"/>
        <v>#REF!</v>
      </c>
      <c r="L505" s="50" t="e">
        <f t="shared" si="95"/>
        <v>#REF!</v>
      </c>
      <c r="M505" s="50" t="e">
        <f t="shared" si="96"/>
        <v>#REF!</v>
      </c>
      <c r="N505" s="50" t="e">
        <f t="shared" si="97"/>
        <v>#REF!</v>
      </c>
      <c r="O505" s="50" t="e">
        <f t="shared" si="98"/>
        <v>#REF!</v>
      </c>
      <c r="P505" s="53" t="e">
        <f t="shared" si="99"/>
        <v>#REF!</v>
      </c>
      <c r="Q505" s="54" t="e">
        <f>'Product info'!#REF!</f>
        <v>#REF!</v>
      </c>
      <c r="R505" s="54" t="e">
        <f>'Product info'!#REF!</f>
        <v>#REF!</v>
      </c>
      <c r="S505" s="54" t="e">
        <f>'Product info'!#REF!</f>
        <v>#REF!</v>
      </c>
      <c r="T505" s="50" t="e">
        <f>'Product info'!#REF!</f>
        <v>#REF!</v>
      </c>
      <c r="U505" s="52" t="e">
        <f t="shared" si="100"/>
        <v>#REF!</v>
      </c>
      <c r="V505" s="50" t="e">
        <f t="shared" si="101"/>
        <v>#REF!</v>
      </c>
      <c r="W505" s="50" t="e">
        <f t="shared" si="102"/>
        <v>#REF!</v>
      </c>
      <c r="X505" s="50" t="e">
        <f t="shared" si="103"/>
        <v>#REF!</v>
      </c>
      <c r="Y505" s="50" t="e">
        <f t="shared" si="104"/>
        <v>#REF!</v>
      </c>
      <c r="Z505" t="e">
        <f t="shared" si="105"/>
        <v>#REF!</v>
      </c>
    </row>
    <row r="506" spans="1:26" x14ac:dyDescent="0.4">
      <c r="A506" t="e">
        <f>'Product info'!#REF!</f>
        <v>#REF!</v>
      </c>
      <c r="B506" t="e">
        <f>'Product info'!#REF!</f>
        <v>#REF!</v>
      </c>
      <c r="C506" t="e">
        <f>'Product info'!#REF!</f>
        <v>#REF!</v>
      </c>
      <c r="D506" s="6" t="e">
        <f>'Product info'!#REF!</f>
        <v>#REF!</v>
      </c>
      <c r="E506" t="e">
        <f t="shared" si="93"/>
        <v>#REF!</v>
      </c>
      <c r="F506" s="50" t="e">
        <f>'Product info'!#REF!</f>
        <v>#REF!</v>
      </c>
      <c r="G506" s="50" t="e">
        <f>'Product info'!#REF!</f>
        <v>#REF!</v>
      </c>
      <c r="H506" s="50" t="e">
        <f>'Product info'!#REF!</f>
        <v>#REF!</v>
      </c>
      <c r="I506" s="50" t="e">
        <f>'Product info'!#REF!</f>
        <v>#REF!</v>
      </c>
      <c r="J506" s="51" t="e">
        <f>'Product info'!#REF!</f>
        <v>#REF!</v>
      </c>
      <c r="K506" s="52" t="e">
        <f t="shared" si="94"/>
        <v>#REF!</v>
      </c>
      <c r="L506" s="50" t="e">
        <f t="shared" si="95"/>
        <v>#REF!</v>
      </c>
      <c r="M506" s="50" t="e">
        <f t="shared" si="96"/>
        <v>#REF!</v>
      </c>
      <c r="N506" s="50" t="e">
        <f t="shared" si="97"/>
        <v>#REF!</v>
      </c>
      <c r="O506" s="50" t="e">
        <f t="shared" si="98"/>
        <v>#REF!</v>
      </c>
      <c r="P506" s="53" t="e">
        <f t="shared" si="99"/>
        <v>#REF!</v>
      </c>
      <c r="Q506" s="54" t="e">
        <f>'Product info'!#REF!</f>
        <v>#REF!</v>
      </c>
      <c r="R506" s="54" t="e">
        <f>'Product info'!#REF!</f>
        <v>#REF!</v>
      </c>
      <c r="S506" s="54" t="e">
        <f>'Product info'!#REF!</f>
        <v>#REF!</v>
      </c>
      <c r="T506" s="50" t="e">
        <f>'Product info'!#REF!</f>
        <v>#REF!</v>
      </c>
      <c r="U506" s="52" t="e">
        <f t="shared" si="100"/>
        <v>#REF!</v>
      </c>
      <c r="V506" s="50" t="e">
        <f t="shared" si="101"/>
        <v>#REF!</v>
      </c>
      <c r="W506" s="50" t="e">
        <f t="shared" si="102"/>
        <v>#REF!</v>
      </c>
      <c r="X506" s="50" t="e">
        <f t="shared" si="103"/>
        <v>#REF!</v>
      </c>
      <c r="Y506" s="50" t="e">
        <f t="shared" si="104"/>
        <v>#REF!</v>
      </c>
      <c r="Z506" t="e">
        <f t="shared" si="105"/>
        <v>#REF!</v>
      </c>
    </row>
    <row r="507" spans="1:26" x14ac:dyDescent="0.4">
      <c r="A507" t="e">
        <f>'Product info'!#REF!</f>
        <v>#REF!</v>
      </c>
      <c r="B507" t="e">
        <f>'Product info'!#REF!</f>
        <v>#REF!</v>
      </c>
      <c r="C507" t="e">
        <f>'Product info'!#REF!</f>
        <v>#REF!</v>
      </c>
      <c r="D507" s="6" t="e">
        <f>'Product info'!#REF!</f>
        <v>#REF!</v>
      </c>
      <c r="E507" t="e">
        <f t="shared" si="93"/>
        <v>#REF!</v>
      </c>
      <c r="F507" s="50" t="e">
        <f>'Product info'!#REF!</f>
        <v>#REF!</v>
      </c>
      <c r="G507" s="50" t="e">
        <f>'Product info'!#REF!</f>
        <v>#REF!</v>
      </c>
      <c r="H507" s="50" t="e">
        <f>'Product info'!#REF!</f>
        <v>#REF!</v>
      </c>
      <c r="I507" s="50" t="e">
        <f>'Product info'!#REF!</f>
        <v>#REF!</v>
      </c>
      <c r="J507" s="51" t="e">
        <f>'Product info'!#REF!</f>
        <v>#REF!</v>
      </c>
      <c r="K507" s="52" t="e">
        <f t="shared" si="94"/>
        <v>#REF!</v>
      </c>
      <c r="L507" s="50" t="e">
        <f t="shared" si="95"/>
        <v>#REF!</v>
      </c>
      <c r="M507" s="50" t="e">
        <f t="shared" si="96"/>
        <v>#REF!</v>
      </c>
      <c r="N507" s="50" t="e">
        <f t="shared" si="97"/>
        <v>#REF!</v>
      </c>
      <c r="O507" s="50" t="e">
        <f t="shared" si="98"/>
        <v>#REF!</v>
      </c>
      <c r="P507" s="53" t="e">
        <f t="shared" si="99"/>
        <v>#REF!</v>
      </c>
      <c r="Q507" s="54" t="e">
        <f>'Product info'!#REF!</f>
        <v>#REF!</v>
      </c>
      <c r="R507" s="54" t="e">
        <f>'Product info'!#REF!</f>
        <v>#REF!</v>
      </c>
      <c r="S507" s="54" t="e">
        <f>'Product info'!#REF!</f>
        <v>#REF!</v>
      </c>
      <c r="T507" s="50" t="e">
        <f>'Product info'!#REF!</f>
        <v>#REF!</v>
      </c>
      <c r="U507" s="52" t="e">
        <f t="shared" si="100"/>
        <v>#REF!</v>
      </c>
      <c r="V507" s="50" t="e">
        <f t="shared" si="101"/>
        <v>#REF!</v>
      </c>
      <c r="W507" s="50" t="e">
        <f t="shared" si="102"/>
        <v>#REF!</v>
      </c>
      <c r="X507" s="50" t="e">
        <f t="shared" si="103"/>
        <v>#REF!</v>
      </c>
      <c r="Y507" s="50" t="e">
        <f t="shared" si="104"/>
        <v>#REF!</v>
      </c>
      <c r="Z507" t="e">
        <f t="shared" si="105"/>
        <v>#REF!</v>
      </c>
    </row>
    <row r="508" spans="1:26" x14ac:dyDescent="0.4">
      <c r="A508" t="e">
        <f>'Product info'!#REF!</f>
        <v>#REF!</v>
      </c>
      <c r="B508" t="e">
        <f>'Product info'!#REF!</f>
        <v>#REF!</v>
      </c>
      <c r="C508" t="e">
        <f>'Product info'!#REF!</f>
        <v>#REF!</v>
      </c>
      <c r="D508" s="6" t="e">
        <f>'Product info'!#REF!</f>
        <v>#REF!</v>
      </c>
      <c r="E508" t="e">
        <f t="shared" si="93"/>
        <v>#REF!</v>
      </c>
      <c r="F508" s="50" t="e">
        <f>'Product info'!#REF!</f>
        <v>#REF!</v>
      </c>
      <c r="G508" s="50" t="e">
        <f>'Product info'!#REF!</f>
        <v>#REF!</v>
      </c>
      <c r="H508" s="50" t="e">
        <f>'Product info'!#REF!</f>
        <v>#REF!</v>
      </c>
      <c r="I508" s="50" t="e">
        <f>'Product info'!#REF!</f>
        <v>#REF!</v>
      </c>
      <c r="J508" s="51" t="e">
        <f>'Product info'!#REF!</f>
        <v>#REF!</v>
      </c>
      <c r="K508" s="52" t="e">
        <f t="shared" si="94"/>
        <v>#REF!</v>
      </c>
      <c r="L508" s="50" t="e">
        <f t="shared" si="95"/>
        <v>#REF!</v>
      </c>
      <c r="M508" s="50" t="e">
        <f t="shared" si="96"/>
        <v>#REF!</v>
      </c>
      <c r="N508" s="50" t="e">
        <f t="shared" si="97"/>
        <v>#REF!</v>
      </c>
      <c r="O508" s="50" t="e">
        <f t="shared" si="98"/>
        <v>#REF!</v>
      </c>
      <c r="P508" s="53" t="e">
        <f t="shared" si="99"/>
        <v>#REF!</v>
      </c>
      <c r="Q508" s="54" t="e">
        <f>'Product info'!#REF!</f>
        <v>#REF!</v>
      </c>
      <c r="R508" s="54" t="e">
        <f>'Product info'!#REF!</f>
        <v>#REF!</v>
      </c>
      <c r="S508" s="54" t="e">
        <f>'Product info'!#REF!</f>
        <v>#REF!</v>
      </c>
      <c r="T508" s="50" t="e">
        <f>'Product info'!#REF!</f>
        <v>#REF!</v>
      </c>
      <c r="U508" s="52" t="e">
        <f t="shared" si="100"/>
        <v>#REF!</v>
      </c>
      <c r="V508" s="50" t="e">
        <f t="shared" si="101"/>
        <v>#REF!</v>
      </c>
      <c r="W508" s="50" t="e">
        <f t="shared" si="102"/>
        <v>#REF!</v>
      </c>
      <c r="X508" s="50" t="e">
        <f t="shared" si="103"/>
        <v>#REF!</v>
      </c>
      <c r="Y508" s="50" t="e">
        <f t="shared" si="104"/>
        <v>#REF!</v>
      </c>
      <c r="Z508" t="e">
        <f t="shared" si="105"/>
        <v>#REF!</v>
      </c>
    </row>
    <row r="509" spans="1:26" x14ac:dyDescent="0.4">
      <c r="A509" t="e">
        <f>'Product info'!#REF!</f>
        <v>#REF!</v>
      </c>
      <c r="B509" t="e">
        <f>'Product info'!#REF!</f>
        <v>#REF!</v>
      </c>
      <c r="C509" t="e">
        <f>'Product info'!#REF!</f>
        <v>#REF!</v>
      </c>
      <c r="D509" s="6" t="e">
        <f>'Product info'!#REF!</f>
        <v>#REF!</v>
      </c>
      <c r="E509" t="e">
        <f t="shared" si="93"/>
        <v>#REF!</v>
      </c>
      <c r="F509" s="50" t="e">
        <f>'Product info'!#REF!</f>
        <v>#REF!</v>
      </c>
      <c r="G509" s="50" t="e">
        <f>'Product info'!#REF!</f>
        <v>#REF!</v>
      </c>
      <c r="H509" s="50" t="e">
        <f>'Product info'!#REF!</f>
        <v>#REF!</v>
      </c>
      <c r="I509" s="50" t="e">
        <f>'Product info'!#REF!</f>
        <v>#REF!</v>
      </c>
      <c r="J509" s="51" t="e">
        <f>'Product info'!#REF!</f>
        <v>#REF!</v>
      </c>
      <c r="K509" s="52" t="e">
        <f t="shared" si="94"/>
        <v>#REF!</v>
      </c>
      <c r="L509" s="50" t="e">
        <f t="shared" si="95"/>
        <v>#REF!</v>
      </c>
      <c r="M509" s="50" t="e">
        <f t="shared" si="96"/>
        <v>#REF!</v>
      </c>
      <c r="N509" s="50" t="e">
        <f t="shared" si="97"/>
        <v>#REF!</v>
      </c>
      <c r="O509" s="50" t="e">
        <f t="shared" si="98"/>
        <v>#REF!</v>
      </c>
      <c r="P509" s="53" t="e">
        <f t="shared" si="99"/>
        <v>#REF!</v>
      </c>
      <c r="Q509" s="54" t="e">
        <f>'Product info'!#REF!</f>
        <v>#REF!</v>
      </c>
      <c r="R509" s="54" t="e">
        <f>'Product info'!#REF!</f>
        <v>#REF!</v>
      </c>
      <c r="S509" s="54" t="e">
        <f>'Product info'!#REF!</f>
        <v>#REF!</v>
      </c>
      <c r="T509" s="50" t="e">
        <f>'Product info'!#REF!</f>
        <v>#REF!</v>
      </c>
      <c r="U509" s="52" t="e">
        <f t="shared" si="100"/>
        <v>#REF!</v>
      </c>
      <c r="V509" s="50" t="e">
        <f t="shared" si="101"/>
        <v>#REF!</v>
      </c>
      <c r="W509" s="50" t="e">
        <f t="shared" si="102"/>
        <v>#REF!</v>
      </c>
      <c r="X509" s="50" t="e">
        <f t="shared" si="103"/>
        <v>#REF!</v>
      </c>
      <c r="Y509" s="50" t="e">
        <f t="shared" si="104"/>
        <v>#REF!</v>
      </c>
      <c r="Z509" t="e">
        <f t="shared" si="105"/>
        <v>#REF!</v>
      </c>
    </row>
    <row r="510" spans="1:26" x14ac:dyDescent="0.4">
      <c r="A510" t="e">
        <f>'Product info'!#REF!</f>
        <v>#REF!</v>
      </c>
      <c r="B510" t="e">
        <f>'Product info'!#REF!</f>
        <v>#REF!</v>
      </c>
      <c r="C510" t="e">
        <f>'Product info'!#REF!</f>
        <v>#REF!</v>
      </c>
      <c r="D510" s="6" t="e">
        <f>'Product info'!#REF!</f>
        <v>#REF!</v>
      </c>
      <c r="E510" t="e">
        <f t="shared" si="93"/>
        <v>#REF!</v>
      </c>
      <c r="F510" s="50" t="e">
        <f>'Product info'!#REF!</f>
        <v>#REF!</v>
      </c>
      <c r="G510" s="50" t="e">
        <f>'Product info'!#REF!</f>
        <v>#REF!</v>
      </c>
      <c r="H510" s="50" t="e">
        <f>'Product info'!#REF!</f>
        <v>#REF!</v>
      </c>
      <c r="I510" s="50" t="e">
        <f>'Product info'!#REF!</f>
        <v>#REF!</v>
      </c>
      <c r="J510" s="51" t="e">
        <f>'Product info'!#REF!</f>
        <v>#REF!</v>
      </c>
      <c r="K510" s="52" t="e">
        <f t="shared" si="94"/>
        <v>#REF!</v>
      </c>
      <c r="L510" s="50" t="e">
        <f t="shared" si="95"/>
        <v>#REF!</v>
      </c>
      <c r="M510" s="50" t="e">
        <f t="shared" si="96"/>
        <v>#REF!</v>
      </c>
      <c r="N510" s="50" t="e">
        <f t="shared" si="97"/>
        <v>#REF!</v>
      </c>
      <c r="O510" s="50" t="e">
        <f t="shared" si="98"/>
        <v>#REF!</v>
      </c>
      <c r="P510" s="53" t="e">
        <f t="shared" si="99"/>
        <v>#REF!</v>
      </c>
      <c r="Q510" s="54" t="e">
        <f>'Product info'!#REF!</f>
        <v>#REF!</v>
      </c>
      <c r="R510" s="54" t="e">
        <f>'Product info'!#REF!</f>
        <v>#REF!</v>
      </c>
      <c r="S510" s="54" t="e">
        <f>'Product info'!#REF!</f>
        <v>#REF!</v>
      </c>
      <c r="T510" s="50" t="e">
        <f>'Product info'!#REF!</f>
        <v>#REF!</v>
      </c>
      <c r="U510" s="52" t="e">
        <f t="shared" si="100"/>
        <v>#REF!</v>
      </c>
      <c r="V510" s="50" t="e">
        <f t="shared" si="101"/>
        <v>#REF!</v>
      </c>
      <c r="W510" s="50" t="e">
        <f t="shared" si="102"/>
        <v>#REF!</v>
      </c>
      <c r="X510" s="50" t="e">
        <f t="shared" si="103"/>
        <v>#REF!</v>
      </c>
      <c r="Y510" s="50" t="e">
        <f t="shared" si="104"/>
        <v>#REF!</v>
      </c>
      <c r="Z510" t="e">
        <f t="shared" si="105"/>
        <v>#REF!</v>
      </c>
    </row>
    <row r="511" spans="1:26" x14ac:dyDescent="0.4">
      <c r="A511" t="e">
        <f>'Product info'!#REF!</f>
        <v>#REF!</v>
      </c>
      <c r="B511" t="e">
        <f>'Product info'!#REF!</f>
        <v>#REF!</v>
      </c>
      <c r="C511" t="e">
        <f>'Product info'!#REF!</f>
        <v>#REF!</v>
      </c>
      <c r="D511" s="6" t="e">
        <f>'Product info'!#REF!</f>
        <v>#REF!</v>
      </c>
      <c r="E511" t="e">
        <f t="shared" si="93"/>
        <v>#REF!</v>
      </c>
      <c r="F511" s="50" t="e">
        <f>'Product info'!#REF!</f>
        <v>#REF!</v>
      </c>
      <c r="G511" s="50" t="e">
        <f>'Product info'!#REF!</f>
        <v>#REF!</v>
      </c>
      <c r="H511" s="50" t="e">
        <f>'Product info'!#REF!</f>
        <v>#REF!</v>
      </c>
      <c r="I511" s="50" t="e">
        <f>'Product info'!#REF!</f>
        <v>#REF!</v>
      </c>
      <c r="J511" s="51" t="e">
        <f>'Product info'!#REF!</f>
        <v>#REF!</v>
      </c>
      <c r="K511" s="52" t="e">
        <f t="shared" si="94"/>
        <v>#REF!</v>
      </c>
      <c r="L511" s="50" t="e">
        <f t="shared" si="95"/>
        <v>#REF!</v>
      </c>
      <c r="M511" s="50" t="e">
        <f t="shared" si="96"/>
        <v>#REF!</v>
      </c>
      <c r="N511" s="50" t="e">
        <f t="shared" si="97"/>
        <v>#REF!</v>
      </c>
      <c r="O511" s="50" t="e">
        <f t="shared" si="98"/>
        <v>#REF!</v>
      </c>
      <c r="P511" s="53" t="e">
        <f t="shared" si="99"/>
        <v>#REF!</v>
      </c>
      <c r="Q511" s="54" t="e">
        <f>'Product info'!#REF!</f>
        <v>#REF!</v>
      </c>
      <c r="R511" s="54" t="e">
        <f>'Product info'!#REF!</f>
        <v>#REF!</v>
      </c>
      <c r="S511" s="54" t="e">
        <f>'Product info'!#REF!</f>
        <v>#REF!</v>
      </c>
      <c r="T511" s="50" t="e">
        <f>'Product info'!#REF!</f>
        <v>#REF!</v>
      </c>
      <c r="U511" s="52" t="e">
        <f t="shared" si="100"/>
        <v>#REF!</v>
      </c>
      <c r="V511" s="50" t="e">
        <f t="shared" si="101"/>
        <v>#REF!</v>
      </c>
      <c r="W511" s="50" t="e">
        <f t="shared" si="102"/>
        <v>#REF!</v>
      </c>
      <c r="X511" s="50" t="e">
        <f t="shared" si="103"/>
        <v>#REF!</v>
      </c>
      <c r="Y511" s="50" t="e">
        <f t="shared" si="104"/>
        <v>#REF!</v>
      </c>
      <c r="Z511" t="e">
        <f t="shared" si="105"/>
        <v>#REF!</v>
      </c>
    </row>
    <row r="512" spans="1:26" x14ac:dyDescent="0.4">
      <c r="A512" t="e">
        <f>'Product info'!#REF!</f>
        <v>#REF!</v>
      </c>
      <c r="B512" t="e">
        <f>'Product info'!#REF!</f>
        <v>#REF!</v>
      </c>
      <c r="C512" t="e">
        <f>'Product info'!#REF!</f>
        <v>#REF!</v>
      </c>
      <c r="D512" s="6" t="e">
        <f>'Product info'!#REF!</f>
        <v>#REF!</v>
      </c>
      <c r="E512" t="e">
        <f t="shared" si="93"/>
        <v>#REF!</v>
      </c>
      <c r="F512" s="50" t="e">
        <f>'Product info'!#REF!</f>
        <v>#REF!</v>
      </c>
      <c r="G512" s="50" t="e">
        <f>'Product info'!#REF!</f>
        <v>#REF!</v>
      </c>
      <c r="H512" s="50" t="e">
        <f>'Product info'!#REF!</f>
        <v>#REF!</v>
      </c>
      <c r="I512" s="50" t="e">
        <f>'Product info'!#REF!</f>
        <v>#REF!</v>
      </c>
      <c r="J512" s="51" t="e">
        <f>'Product info'!#REF!</f>
        <v>#REF!</v>
      </c>
      <c r="K512" s="52" t="e">
        <f t="shared" si="94"/>
        <v>#REF!</v>
      </c>
      <c r="L512" s="50" t="e">
        <f t="shared" si="95"/>
        <v>#REF!</v>
      </c>
      <c r="M512" s="50" t="e">
        <f t="shared" si="96"/>
        <v>#REF!</v>
      </c>
      <c r="N512" s="50" t="e">
        <f t="shared" si="97"/>
        <v>#REF!</v>
      </c>
      <c r="O512" s="50" t="e">
        <f t="shared" si="98"/>
        <v>#REF!</v>
      </c>
      <c r="P512" s="53" t="e">
        <f t="shared" si="99"/>
        <v>#REF!</v>
      </c>
      <c r="Q512" s="54" t="e">
        <f>'Product info'!#REF!</f>
        <v>#REF!</v>
      </c>
      <c r="R512" s="54" t="e">
        <f>'Product info'!#REF!</f>
        <v>#REF!</v>
      </c>
      <c r="S512" s="54" t="e">
        <f>'Product info'!#REF!</f>
        <v>#REF!</v>
      </c>
      <c r="T512" s="50" t="e">
        <f>'Product info'!#REF!</f>
        <v>#REF!</v>
      </c>
      <c r="U512" s="52" t="e">
        <f t="shared" si="100"/>
        <v>#REF!</v>
      </c>
      <c r="V512" s="50" t="e">
        <f t="shared" si="101"/>
        <v>#REF!</v>
      </c>
      <c r="W512" s="50" t="e">
        <f t="shared" si="102"/>
        <v>#REF!</v>
      </c>
      <c r="X512" s="50" t="e">
        <f t="shared" si="103"/>
        <v>#REF!</v>
      </c>
      <c r="Y512" s="50" t="e">
        <f t="shared" si="104"/>
        <v>#REF!</v>
      </c>
      <c r="Z512" t="e">
        <f t="shared" si="105"/>
        <v>#REF!</v>
      </c>
    </row>
    <row r="513" spans="1:26" x14ac:dyDescent="0.4">
      <c r="A513" t="e">
        <f>'Product info'!#REF!</f>
        <v>#REF!</v>
      </c>
      <c r="B513" t="e">
        <f>'Product info'!#REF!</f>
        <v>#REF!</v>
      </c>
      <c r="C513" t="e">
        <f>'Product info'!#REF!</f>
        <v>#REF!</v>
      </c>
      <c r="D513" s="6" t="e">
        <f>'Product info'!#REF!</f>
        <v>#REF!</v>
      </c>
      <c r="E513" t="e">
        <f t="shared" si="93"/>
        <v>#REF!</v>
      </c>
      <c r="F513" s="50" t="e">
        <f>'Product info'!#REF!</f>
        <v>#REF!</v>
      </c>
      <c r="G513" s="50" t="e">
        <f>'Product info'!#REF!</f>
        <v>#REF!</v>
      </c>
      <c r="H513" s="50" t="e">
        <f>'Product info'!#REF!</f>
        <v>#REF!</v>
      </c>
      <c r="I513" s="50" t="e">
        <f>'Product info'!#REF!</f>
        <v>#REF!</v>
      </c>
      <c r="J513" s="51" t="e">
        <f>'Product info'!#REF!</f>
        <v>#REF!</v>
      </c>
      <c r="K513" s="52" t="e">
        <f t="shared" si="94"/>
        <v>#REF!</v>
      </c>
      <c r="L513" s="50" t="e">
        <f t="shared" si="95"/>
        <v>#REF!</v>
      </c>
      <c r="M513" s="50" t="e">
        <f t="shared" si="96"/>
        <v>#REF!</v>
      </c>
      <c r="N513" s="50" t="e">
        <f t="shared" si="97"/>
        <v>#REF!</v>
      </c>
      <c r="O513" s="50" t="e">
        <f t="shared" si="98"/>
        <v>#REF!</v>
      </c>
      <c r="P513" s="53" t="e">
        <f t="shared" si="99"/>
        <v>#REF!</v>
      </c>
      <c r="Q513" s="54" t="e">
        <f>'Product info'!#REF!</f>
        <v>#REF!</v>
      </c>
      <c r="R513" s="54" t="e">
        <f>'Product info'!#REF!</f>
        <v>#REF!</v>
      </c>
      <c r="S513" s="54" t="e">
        <f>'Product info'!#REF!</f>
        <v>#REF!</v>
      </c>
      <c r="T513" s="50" t="e">
        <f>'Product info'!#REF!</f>
        <v>#REF!</v>
      </c>
      <c r="U513" s="52" t="e">
        <f t="shared" si="100"/>
        <v>#REF!</v>
      </c>
      <c r="V513" s="50" t="e">
        <f t="shared" si="101"/>
        <v>#REF!</v>
      </c>
      <c r="W513" s="50" t="e">
        <f t="shared" si="102"/>
        <v>#REF!</v>
      </c>
      <c r="X513" s="50" t="e">
        <f t="shared" si="103"/>
        <v>#REF!</v>
      </c>
      <c r="Y513" s="50" t="e">
        <f t="shared" si="104"/>
        <v>#REF!</v>
      </c>
      <c r="Z513" t="e">
        <f t="shared" si="105"/>
        <v>#REF!</v>
      </c>
    </row>
    <row r="514" spans="1:26" x14ac:dyDescent="0.4">
      <c r="A514" t="e">
        <f>'Product info'!#REF!</f>
        <v>#REF!</v>
      </c>
      <c r="B514" t="e">
        <f>'Product info'!#REF!</f>
        <v>#REF!</v>
      </c>
      <c r="C514" t="e">
        <f>'Product info'!#REF!</f>
        <v>#REF!</v>
      </c>
      <c r="D514" s="6" t="e">
        <f>'Product info'!#REF!</f>
        <v>#REF!</v>
      </c>
      <c r="E514" t="e">
        <f t="shared" si="93"/>
        <v>#REF!</v>
      </c>
      <c r="F514" s="50" t="e">
        <f>'Product info'!#REF!</f>
        <v>#REF!</v>
      </c>
      <c r="G514" s="50" t="e">
        <f>'Product info'!#REF!</f>
        <v>#REF!</v>
      </c>
      <c r="H514" s="50" t="e">
        <f>'Product info'!#REF!</f>
        <v>#REF!</v>
      </c>
      <c r="I514" s="50" t="e">
        <f>'Product info'!#REF!</f>
        <v>#REF!</v>
      </c>
      <c r="J514" s="51" t="e">
        <f>'Product info'!#REF!</f>
        <v>#REF!</v>
      </c>
      <c r="K514" s="52" t="e">
        <f t="shared" si="94"/>
        <v>#REF!</v>
      </c>
      <c r="L514" s="50" t="e">
        <f t="shared" si="95"/>
        <v>#REF!</v>
      </c>
      <c r="M514" s="50" t="e">
        <f t="shared" si="96"/>
        <v>#REF!</v>
      </c>
      <c r="N514" s="50" t="e">
        <f t="shared" si="97"/>
        <v>#REF!</v>
      </c>
      <c r="O514" s="50" t="e">
        <f t="shared" si="98"/>
        <v>#REF!</v>
      </c>
      <c r="P514" s="53" t="e">
        <f t="shared" si="99"/>
        <v>#REF!</v>
      </c>
      <c r="Q514" s="54" t="e">
        <f>'Product info'!#REF!</f>
        <v>#REF!</v>
      </c>
      <c r="R514" s="54" t="e">
        <f>'Product info'!#REF!</f>
        <v>#REF!</v>
      </c>
      <c r="S514" s="54" t="e">
        <f>'Product info'!#REF!</f>
        <v>#REF!</v>
      </c>
      <c r="T514" s="50" t="e">
        <f>'Product info'!#REF!</f>
        <v>#REF!</v>
      </c>
      <c r="U514" s="52" t="e">
        <f t="shared" si="100"/>
        <v>#REF!</v>
      </c>
      <c r="V514" s="50" t="e">
        <f t="shared" si="101"/>
        <v>#REF!</v>
      </c>
      <c r="W514" s="50" t="e">
        <f t="shared" si="102"/>
        <v>#REF!</v>
      </c>
      <c r="X514" s="50" t="e">
        <f t="shared" si="103"/>
        <v>#REF!</v>
      </c>
      <c r="Y514" s="50" t="e">
        <f t="shared" si="104"/>
        <v>#REF!</v>
      </c>
      <c r="Z514" t="e">
        <f t="shared" si="105"/>
        <v>#REF!</v>
      </c>
    </row>
    <row r="515" spans="1:26" x14ac:dyDescent="0.4">
      <c r="A515" t="e">
        <f>'Product info'!#REF!</f>
        <v>#REF!</v>
      </c>
      <c r="B515" t="e">
        <f>'Product info'!#REF!</f>
        <v>#REF!</v>
      </c>
      <c r="C515" t="e">
        <f>'Product info'!#REF!</f>
        <v>#REF!</v>
      </c>
      <c r="D515" s="6" t="e">
        <f>'Product info'!#REF!</f>
        <v>#REF!</v>
      </c>
      <c r="E515" t="e">
        <f t="shared" si="93"/>
        <v>#REF!</v>
      </c>
      <c r="F515" s="50" t="e">
        <f>'Product info'!#REF!</f>
        <v>#REF!</v>
      </c>
      <c r="G515" s="50" t="e">
        <f>'Product info'!#REF!</f>
        <v>#REF!</v>
      </c>
      <c r="H515" s="50" t="e">
        <f>'Product info'!#REF!</f>
        <v>#REF!</v>
      </c>
      <c r="I515" s="50" t="e">
        <f>'Product info'!#REF!</f>
        <v>#REF!</v>
      </c>
      <c r="J515" s="51" t="e">
        <f>'Product info'!#REF!</f>
        <v>#REF!</v>
      </c>
      <c r="K515" s="52" t="e">
        <f t="shared" si="94"/>
        <v>#REF!</v>
      </c>
      <c r="L515" s="50" t="e">
        <f t="shared" si="95"/>
        <v>#REF!</v>
      </c>
      <c r="M515" s="50" t="e">
        <f t="shared" si="96"/>
        <v>#REF!</v>
      </c>
      <c r="N515" s="50" t="e">
        <f t="shared" si="97"/>
        <v>#REF!</v>
      </c>
      <c r="O515" s="50" t="e">
        <f t="shared" si="98"/>
        <v>#REF!</v>
      </c>
      <c r="P515" s="53" t="e">
        <f t="shared" si="99"/>
        <v>#REF!</v>
      </c>
      <c r="Q515" s="54" t="e">
        <f>'Product info'!#REF!</f>
        <v>#REF!</v>
      </c>
      <c r="R515" s="54" t="e">
        <f>'Product info'!#REF!</f>
        <v>#REF!</v>
      </c>
      <c r="S515" s="54" t="e">
        <f>'Product info'!#REF!</f>
        <v>#REF!</v>
      </c>
      <c r="T515" s="50" t="e">
        <f>'Product info'!#REF!</f>
        <v>#REF!</v>
      </c>
      <c r="U515" s="52" t="e">
        <f t="shared" si="100"/>
        <v>#REF!</v>
      </c>
      <c r="V515" s="50" t="e">
        <f t="shared" si="101"/>
        <v>#REF!</v>
      </c>
      <c r="W515" s="50" t="e">
        <f t="shared" si="102"/>
        <v>#REF!</v>
      </c>
      <c r="X515" s="50" t="e">
        <f t="shared" si="103"/>
        <v>#REF!</v>
      </c>
      <c r="Y515" s="50" t="e">
        <f t="shared" si="104"/>
        <v>#REF!</v>
      </c>
      <c r="Z515" t="e">
        <f t="shared" si="105"/>
        <v>#REF!</v>
      </c>
    </row>
    <row r="516" spans="1:26" x14ac:dyDescent="0.4">
      <c r="A516" t="e">
        <f>'Product info'!#REF!</f>
        <v>#REF!</v>
      </c>
      <c r="B516" t="e">
        <f>'Product info'!#REF!</f>
        <v>#REF!</v>
      </c>
      <c r="C516" t="e">
        <f>'Product info'!#REF!</f>
        <v>#REF!</v>
      </c>
      <c r="D516" s="6" t="e">
        <f>'Product info'!#REF!</f>
        <v>#REF!</v>
      </c>
      <c r="E516" t="e">
        <f t="shared" ref="E516:E579" si="106">F516&amp;"*"&amp;G516&amp;"*"&amp;H516</f>
        <v>#REF!</v>
      </c>
      <c r="F516" s="50" t="e">
        <f>'Product info'!#REF!</f>
        <v>#REF!</v>
      </c>
      <c r="G516" s="50" t="e">
        <f>'Product info'!#REF!</f>
        <v>#REF!</v>
      </c>
      <c r="H516" s="50" t="e">
        <f>'Product info'!#REF!</f>
        <v>#REF!</v>
      </c>
      <c r="I516" s="50" t="e">
        <f>'Product info'!#REF!</f>
        <v>#REF!</v>
      </c>
      <c r="J516" s="51" t="e">
        <f>'Product info'!#REF!</f>
        <v>#REF!</v>
      </c>
      <c r="K516" s="52" t="e">
        <f t="shared" ref="K516:K579" si="107">F516*G516*H516/(100*100*100)</f>
        <v>#REF!</v>
      </c>
      <c r="L516" s="50" t="e">
        <f t="shared" ref="L516:L579" si="108">F516*0.393701</f>
        <v>#REF!</v>
      </c>
      <c r="M516" s="50" t="e">
        <f t="shared" ref="M516:M579" si="109">G516*0.393701</f>
        <v>#REF!</v>
      </c>
      <c r="N516" s="50" t="e">
        <f t="shared" ref="N516:N579" si="110">H516*0.393701</f>
        <v>#REF!</v>
      </c>
      <c r="O516" s="50" t="e">
        <f t="shared" ref="O516:O579" si="111">I516*2.20462</f>
        <v>#REF!</v>
      </c>
      <c r="P516" s="53" t="e">
        <f t="shared" ref="P516:P579" si="112">Q516&amp;"*"&amp;R516&amp;"*"&amp;S516</f>
        <v>#REF!</v>
      </c>
      <c r="Q516" s="54" t="e">
        <f>'Product info'!#REF!</f>
        <v>#REF!</v>
      </c>
      <c r="R516" s="54" t="e">
        <f>'Product info'!#REF!</f>
        <v>#REF!</v>
      </c>
      <c r="S516" s="54" t="e">
        <f>'Product info'!#REF!</f>
        <v>#REF!</v>
      </c>
      <c r="T516" s="50" t="e">
        <f>'Product info'!#REF!</f>
        <v>#REF!</v>
      </c>
      <c r="U516" s="52" t="e">
        <f t="shared" ref="U516:U579" si="113">Q516*R516*S516/(100*100*100)</f>
        <v>#REF!</v>
      </c>
      <c r="V516" s="50" t="e">
        <f t="shared" ref="V516:V579" si="114">Q516*0.393701</f>
        <v>#REF!</v>
      </c>
      <c r="W516" s="50" t="e">
        <f t="shared" ref="W516:W579" si="115">R516*0.393701</f>
        <v>#REF!</v>
      </c>
      <c r="X516" s="50" t="e">
        <f t="shared" ref="X516:X579" si="116">S516*0.393701</f>
        <v>#REF!</v>
      </c>
      <c r="Y516" s="50" t="e">
        <f t="shared" ref="Y516:Y579" si="117">T516*2.20462</f>
        <v>#REF!</v>
      </c>
      <c r="Z516" t="e">
        <f t="shared" ref="Z516:Z579" si="118">K516/J516</f>
        <v>#REF!</v>
      </c>
    </row>
    <row r="517" spans="1:26" x14ac:dyDescent="0.4">
      <c r="A517" t="e">
        <f>'Product info'!#REF!</f>
        <v>#REF!</v>
      </c>
      <c r="B517" t="e">
        <f>'Product info'!#REF!</f>
        <v>#REF!</v>
      </c>
      <c r="C517" t="e">
        <f>'Product info'!#REF!</f>
        <v>#REF!</v>
      </c>
      <c r="D517" s="6" t="e">
        <f>'Product info'!#REF!</f>
        <v>#REF!</v>
      </c>
      <c r="E517" t="e">
        <f t="shared" si="106"/>
        <v>#REF!</v>
      </c>
      <c r="F517" s="50" t="e">
        <f>'Product info'!#REF!</f>
        <v>#REF!</v>
      </c>
      <c r="G517" s="50" t="e">
        <f>'Product info'!#REF!</f>
        <v>#REF!</v>
      </c>
      <c r="H517" s="50" t="e">
        <f>'Product info'!#REF!</f>
        <v>#REF!</v>
      </c>
      <c r="I517" s="50" t="e">
        <f>'Product info'!#REF!</f>
        <v>#REF!</v>
      </c>
      <c r="J517" s="51" t="e">
        <f>'Product info'!#REF!</f>
        <v>#REF!</v>
      </c>
      <c r="K517" s="52" t="e">
        <f t="shared" si="107"/>
        <v>#REF!</v>
      </c>
      <c r="L517" s="50" t="e">
        <f t="shared" si="108"/>
        <v>#REF!</v>
      </c>
      <c r="M517" s="50" t="e">
        <f t="shared" si="109"/>
        <v>#REF!</v>
      </c>
      <c r="N517" s="50" t="e">
        <f t="shared" si="110"/>
        <v>#REF!</v>
      </c>
      <c r="O517" s="50" t="e">
        <f t="shared" si="111"/>
        <v>#REF!</v>
      </c>
      <c r="P517" s="53" t="e">
        <f t="shared" si="112"/>
        <v>#REF!</v>
      </c>
      <c r="Q517" s="54" t="e">
        <f>'Product info'!#REF!</f>
        <v>#REF!</v>
      </c>
      <c r="R517" s="54" t="e">
        <f>'Product info'!#REF!</f>
        <v>#REF!</v>
      </c>
      <c r="S517" s="54" t="e">
        <f>'Product info'!#REF!</f>
        <v>#REF!</v>
      </c>
      <c r="T517" s="50" t="e">
        <f>'Product info'!#REF!</f>
        <v>#REF!</v>
      </c>
      <c r="U517" s="52" t="e">
        <f t="shared" si="113"/>
        <v>#REF!</v>
      </c>
      <c r="V517" s="50" t="e">
        <f t="shared" si="114"/>
        <v>#REF!</v>
      </c>
      <c r="W517" s="50" t="e">
        <f t="shared" si="115"/>
        <v>#REF!</v>
      </c>
      <c r="X517" s="50" t="e">
        <f t="shared" si="116"/>
        <v>#REF!</v>
      </c>
      <c r="Y517" s="50" t="e">
        <f t="shared" si="117"/>
        <v>#REF!</v>
      </c>
      <c r="Z517" t="e">
        <f t="shared" si="118"/>
        <v>#REF!</v>
      </c>
    </row>
    <row r="518" spans="1:26" x14ac:dyDescent="0.4">
      <c r="A518" t="e">
        <f>'Product info'!#REF!</f>
        <v>#REF!</v>
      </c>
      <c r="B518" t="e">
        <f>'Product info'!#REF!</f>
        <v>#REF!</v>
      </c>
      <c r="C518" t="e">
        <f>'Product info'!#REF!</f>
        <v>#REF!</v>
      </c>
      <c r="D518" s="6" t="e">
        <f>'Product info'!#REF!</f>
        <v>#REF!</v>
      </c>
      <c r="E518" t="e">
        <f t="shared" si="106"/>
        <v>#REF!</v>
      </c>
      <c r="F518" s="50" t="e">
        <f>'Product info'!#REF!</f>
        <v>#REF!</v>
      </c>
      <c r="G518" s="50" t="e">
        <f>'Product info'!#REF!</f>
        <v>#REF!</v>
      </c>
      <c r="H518" s="50" t="e">
        <f>'Product info'!#REF!</f>
        <v>#REF!</v>
      </c>
      <c r="I518" s="50" t="e">
        <f>'Product info'!#REF!</f>
        <v>#REF!</v>
      </c>
      <c r="J518" s="51" t="e">
        <f>'Product info'!#REF!</f>
        <v>#REF!</v>
      </c>
      <c r="K518" s="52" t="e">
        <f t="shared" si="107"/>
        <v>#REF!</v>
      </c>
      <c r="L518" s="50" t="e">
        <f t="shared" si="108"/>
        <v>#REF!</v>
      </c>
      <c r="M518" s="50" t="e">
        <f t="shared" si="109"/>
        <v>#REF!</v>
      </c>
      <c r="N518" s="50" t="e">
        <f t="shared" si="110"/>
        <v>#REF!</v>
      </c>
      <c r="O518" s="50" t="e">
        <f t="shared" si="111"/>
        <v>#REF!</v>
      </c>
      <c r="P518" s="53" t="e">
        <f t="shared" si="112"/>
        <v>#REF!</v>
      </c>
      <c r="Q518" s="54" t="e">
        <f>'Product info'!#REF!</f>
        <v>#REF!</v>
      </c>
      <c r="R518" s="54" t="e">
        <f>'Product info'!#REF!</f>
        <v>#REF!</v>
      </c>
      <c r="S518" s="54" t="e">
        <f>'Product info'!#REF!</f>
        <v>#REF!</v>
      </c>
      <c r="T518" s="50" t="e">
        <f>'Product info'!#REF!</f>
        <v>#REF!</v>
      </c>
      <c r="U518" s="52" t="e">
        <f t="shared" si="113"/>
        <v>#REF!</v>
      </c>
      <c r="V518" s="50" t="e">
        <f t="shared" si="114"/>
        <v>#REF!</v>
      </c>
      <c r="W518" s="50" t="e">
        <f t="shared" si="115"/>
        <v>#REF!</v>
      </c>
      <c r="X518" s="50" t="e">
        <f t="shared" si="116"/>
        <v>#REF!</v>
      </c>
      <c r="Y518" s="50" t="e">
        <f t="shared" si="117"/>
        <v>#REF!</v>
      </c>
      <c r="Z518" t="e">
        <f t="shared" si="118"/>
        <v>#REF!</v>
      </c>
    </row>
    <row r="519" spans="1:26" x14ac:dyDescent="0.4">
      <c r="A519" t="e">
        <f>'Product info'!#REF!</f>
        <v>#REF!</v>
      </c>
      <c r="B519" t="e">
        <f>'Product info'!#REF!</f>
        <v>#REF!</v>
      </c>
      <c r="C519" t="e">
        <f>'Product info'!#REF!</f>
        <v>#REF!</v>
      </c>
      <c r="D519" s="6" t="e">
        <f>'Product info'!#REF!</f>
        <v>#REF!</v>
      </c>
      <c r="E519" t="e">
        <f t="shared" si="106"/>
        <v>#REF!</v>
      </c>
      <c r="F519" s="50" t="e">
        <f>'Product info'!#REF!</f>
        <v>#REF!</v>
      </c>
      <c r="G519" s="50" t="e">
        <f>'Product info'!#REF!</f>
        <v>#REF!</v>
      </c>
      <c r="H519" s="50" t="e">
        <f>'Product info'!#REF!</f>
        <v>#REF!</v>
      </c>
      <c r="I519" s="50" t="e">
        <f>'Product info'!#REF!</f>
        <v>#REF!</v>
      </c>
      <c r="J519" s="51" t="e">
        <f>'Product info'!#REF!</f>
        <v>#REF!</v>
      </c>
      <c r="K519" s="52" t="e">
        <f t="shared" si="107"/>
        <v>#REF!</v>
      </c>
      <c r="L519" s="50" t="e">
        <f t="shared" si="108"/>
        <v>#REF!</v>
      </c>
      <c r="M519" s="50" t="e">
        <f t="shared" si="109"/>
        <v>#REF!</v>
      </c>
      <c r="N519" s="50" t="e">
        <f t="shared" si="110"/>
        <v>#REF!</v>
      </c>
      <c r="O519" s="50" t="e">
        <f t="shared" si="111"/>
        <v>#REF!</v>
      </c>
      <c r="P519" s="53" t="e">
        <f t="shared" si="112"/>
        <v>#REF!</v>
      </c>
      <c r="Q519" s="54" t="e">
        <f>'Product info'!#REF!</f>
        <v>#REF!</v>
      </c>
      <c r="R519" s="54" t="e">
        <f>'Product info'!#REF!</f>
        <v>#REF!</v>
      </c>
      <c r="S519" s="54" t="e">
        <f>'Product info'!#REF!</f>
        <v>#REF!</v>
      </c>
      <c r="T519" s="50" t="e">
        <f>'Product info'!#REF!</f>
        <v>#REF!</v>
      </c>
      <c r="U519" s="52" t="e">
        <f t="shared" si="113"/>
        <v>#REF!</v>
      </c>
      <c r="V519" s="50" t="e">
        <f t="shared" si="114"/>
        <v>#REF!</v>
      </c>
      <c r="W519" s="50" t="e">
        <f t="shared" si="115"/>
        <v>#REF!</v>
      </c>
      <c r="X519" s="50" t="e">
        <f t="shared" si="116"/>
        <v>#REF!</v>
      </c>
      <c r="Y519" s="50" t="e">
        <f t="shared" si="117"/>
        <v>#REF!</v>
      </c>
      <c r="Z519" t="e">
        <f t="shared" si="118"/>
        <v>#REF!</v>
      </c>
    </row>
    <row r="520" spans="1:26" x14ac:dyDescent="0.4">
      <c r="A520" t="e">
        <f>'Product info'!#REF!</f>
        <v>#REF!</v>
      </c>
      <c r="B520" t="e">
        <f>'Product info'!#REF!</f>
        <v>#REF!</v>
      </c>
      <c r="C520" t="e">
        <f>'Product info'!#REF!</f>
        <v>#REF!</v>
      </c>
      <c r="D520" s="6" t="e">
        <f>'Product info'!#REF!</f>
        <v>#REF!</v>
      </c>
      <c r="E520" t="e">
        <f t="shared" si="106"/>
        <v>#REF!</v>
      </c>
      <c r="F520" s="50" t="e">
        <f>'Product info'!#REF!</f>
        <v>#REF!</v>
      </c>
      <c r="G520" s="50" t="e">
        <f>'Product info'!#REF!</f>
        <v>#REF!</v>
      </c>
      <c r="H520" s="50" t="e">
        <f>'Product info'!#REF!</f>
        <v>#REF!</v>
      </c>
      <c r="I520" s="50" t="e">
        <f>'Product info'!#REF!</f>
        <v>#REF!</v>
      </c>
      <c r="J520" s="51" t="e">
        <f>'Product info'!#REF!</f>
        <v>#REF!</v>
      </c>
      <c r="K520" s="52" t="e">
        <f t="shared" si="107"/>
        <v>#REF!</v>
      </c>
      <c r="L520" s="50" t="e">
        <f t="shared" si="108"/>
        <v>#REF!</v>
      </c>
      <c r="M520" s="50" t="e">
        <f t="shared" si="109"/>
        <v>#REF!</v>
      </c>
      <c r="N520" s="50" t="e">
        <f t="shared" si="110"/>
        <v>#REF!</v>
      </c>
      <c r="O520" s="50" t="e">
        <f t="shared" si="111"/>
        <v>#REF!</v>
      </c>
      <c r="P520" s="53" t="e">
        <f t="shared" si="112"/>
        <v>#REF!</v>
      </c>
      <c r="Q520" s="54" t="e">
        <f>'Product info'!#REF!</f>
        <v>#REF!</v>
      </c>
      <c r="R520" s="54" t="e">
        <f>'Product info'!#REF!</f>
        <v>#REF!</v>
      </c>
      <c r="S520" s="54" t="e">
        <f>'Product info'!#REF!</f>
        <v>#REF!</v>
      </c>
      <c r="T520" s="50" t="e">
        <f>'Product info'!#REF!</f>
        <v>#REF!</v>
      </c>
      <c r="U520" s="52" t="e">
        <f t="shared" si="113"/>
        <v>#REF!</v>
      </c>
      <c r="V520" s="50" t="e">
        <f t="shared" si="114"/>
        <v>#REF!</v>
      </c>
      <c r="W520" s="50" t="e">
        <f t="shared" si="115"/>
        <v>#REF!</v>
      </c>
      <c r="X520" s="50" t="e">
        <f t="shared" si="116"/>
        <v>#REF!</v>
      </c>
      <c r="Y520" s="50" t="e">
        <f t="shared" si="117"/>
        <v>#REF!</v>
      </c>
      <c r="Z520" t="e">
        <f t="shared" si="118"/>
        <v>#REF!</v>
      </c>
    </row>
    <row r="521" spans="1:26" x14ac:dyDescent="0.4">
      <c r="A521" t="e">
        <f>'Product info'!#REF!</f>
        <v>#REF!</v>
      </c>
      <c r="B521" t="e">
        <f>'Product info'!#REF!</f>
        <v>#REF!</v>
      </c>
      <c r="C521" t="e">
        <f>'Product info'!#REF!</f>
        <v>#REF!</v>
      </c>
      <c r="D521" s="6" t="e">
        <f>'Product info'!#REF!</f>
        <v>#REF!</v>
      </c>
      <c r="E521" t="e">
        <f t="shared" si="106"/>
        <v>#REF!</v>
      </c>
      <c r="F521" s="50" t="e">
        <f>'Product info'!#REF!</f>
        <v>#REF!</v>
      </c>
      <c r="G521" s="50" t="e">
        <f>'Product info'!#REF!</f>
        <v>#REF!</v>
      </c>
      <c r="H521" s="50" t="e">
        <f>'Product info'!#REF!</f>
        <v>#REF!</v>
      </c>
      <c r="I521" s="50" t="e">
        <f>'Product info'!#REF!</f>
        <v>#REF!</v>
      </c>
      <c r="J521" s="51" t="e">
        <f>'Product info'!#REF!</f>
        <v>#REF!</v>
      </c>
      <c r="K521" s="52" t="e">
        <f t="shared" si="107"/>
        <v>#REF!</v>
      </c>
      <c r="L521" s="50" t="e">
        <f t="shared" si="108"/>
        <v>#REF!</v>
      </c>
      <c r="M521" s="50" t="e">
        <f t="shared" si="109"/>
        <v>#REF!</v>
      </c>
      <c r="N521" s="50" t="e">
        <f t="shared" si="110"/>
        <v>#REF!</v>
      </c>
      <c r="O521" s="50" t="e">
        <f t="shared" si="111"/>
        <v>#REF!</v>
      </c>
      <c r="P521" s="53" t="e">
        <f t="shared" si="112"/>
        <v>#REF!</v>
      </c>
      <c r="Q521" s="54" t="e">
        <f>'Product info'!#REF!</f>
        <v>#REF!</v>
      </c>
      <c r="R521" s="54" t="e">
        <f>'Product info'!#REF!</f>
        <v>#REF!</v>
      </c>
      <c r="S521" s="54" t="e">
        <f>'Product info'!#REF!</f>
        <v>#REF!</v>
      </c>
      <c r="T521" s="50" t="e">
        <f>'Product info'!#REF!</f>
        <v>#REF!</v>
      </c>
      <c r="U521" s="52" t="e">
        <f t="shared" si="113"/>
        <v>#REF!</v>
      </c>
      <c r="V521" s="50" t="e">
        <f t="shared" si="114"/>
        <v>#REF!</v>
      </c>
      <c r="W521" s="50" t="e">
        <f t="shared" si="115"/>
        <v>#REF!</v>
      </c>
      <c r="X521" s="50" t="e">
        <f t="shared" si="116"/>
        <v>#REF!</v>
      </c>
      <c r="Y521" s="50" t="e">
        <f t="shared" si="117"/>
        <v>#REF!</v>
      </c>
      <c r="Z521" t="e">
        <f t="shared" si="118"/>
        <v>#REF!</v>
      </c>
    </row>
    <row r="522" spans="1:26" x14ac:dyDescent="0.4">
      <c r="A522" t="e">
        <f>'Product info'!#REF!</f>
        <v>#REF!</v>
      </c>
      <c r="B522" t="e">
        <f>'Product info'!#REF!</f>
        <v>#REF!</v>
      </c>
      <c r="C522" t="e">
        <f>'Product info'!#REF!</f>
        <v>#REF!</v>
      </c>
      <c r="D522" s="6" t="e">
        <f>'Product info'!#REF!</f>
        <v>#REF!</v>
      </c>
      <c r="E522" t="e">
        <f t="shared" si="106"/>
        <v>#REF!</v>
      </c>
      <c r="F522" s="50" t="e">
        <f>'Product info'!#REF!</f>
        <v>#REF!</v>
      </c>
      <c r="G522" s="50" t="e">
        <f>'Product info'!#REF!</f>
        <v>#REF!</v>
      </c>
      <c r="H522" s="50" t="e">
        <f>'Product info'!#REF!</f>
        <v>#REF!</v>
      </c>
      <c r="I522" s="50" t="e">
        <f>'Product info'!#REF!</f>
        <v>#REF!</v>
      </c>
      <c r="J522" s="51" t="e">
        <f>'Product info'!#REF!</f>
        <v>#REF!</v>
      </c>
      <c r="K522" s="52" t="e">
        <f t="shared" si="107"/>
        <v>#REF!</v>
      </c>
      <c r="L522" s="50" t="e">
        <f t="shared" si="108"/>
        <v>#REF!</v>
      </c>
      <c r="M522" s="50" t="e">
        <f t="shared" si="109"/>
        <v>#REF!</v>
      </c>
      <c r="N522" s="50" t="e">
        <f t="shared" si="110"/>
        <v>#REF!</v>
      </c>
      <c r="O522" s="50" t="e">
        <f t="shared" si="111"/>
        <v>#REF!</v>
      </c>
      <c r="P522" s="53" t="e">
        <f t="shared" si="112"/>
        <v>#REF!</v>
      </c>
      <c r="Q522" s="54" t="e">
        <f>'Product info'!#REF!</f>
        <v>#REF!</v>
      </c>
      <c r="R522" s="54" t="e">
        <f>'Product info'!#REF!</f>
        <v>#REF!</v>
      </c>
      <c r="S522" s="54" t="e">
        <f>'Product info'!#REF!</f>
        <v>#REF!</v>
      </c>
      <c r="T522" s="50" t="e">
        <f>'Product info'!#REF!</f>
        <v>#REF!</v>
      </c>
      <c r="U522" s="52" t="e">
        <f t="shared" si="113"/>
        <v>#REF!</v>
      </c>
      <c r="V522" s="50" t="e">
        <f t="shared" si="114"/>
        <v>#REF!</v>
      </c>
      <c r="W522" s="50" t="e">
        <f t="shared" si="115"/>
        <v>#REF!</v>
      </c>
      <c r="X522" s="50" t="e">
        <f t="shared" si="116"/>
        <v>#REF!</v>
      </c>
      <c r="Y522" s="50" t="e">
        <f t="shared" si="117"/>
        <v>#REF!</v>
      </c>
      <c r="Z522" t="e">
        <f t="shared" si="118"/>
        <v>#REF!</v>
      </c>
    </row>
    <row r="523" spans="1:26" x14ac:dyDescent="0.4">
      <c r="A523" t="e">
        <f>'Product info'!#REF!</f>
        <v>#REF!</v>
      </c>
      <c r="B523" t="e">
        <f>'Product info'!#REF!</f>
        <v>#REF!</v>
      </c>
      <c r="C523" t="e">
        <f>'Product info'!#REF!</f>
        <v>#REF!</v>
      </c>
      <c r="D523" s="6" t="e">
        <f>'Product info'!#REF!</f>
        <v>#REF!</v>
      </c>
      <c r="E523" t="e">
        <f t="shared" si="106"/>
        <v>#REF!</v>
      </c>
      <c r="F523" s="50" t="e">
        <f>'Product info'!#REF!</f>
        <v>#REF!</v>
      </c>
      <c r="G523" s="50" t="e">
        <f>'Product info'!#REF!</f>
        <v>#REF!</v>
      </c>
      <c r="H523" s="50" t="e">
        <f>'Product info'!#REF!</f>
        <v>#REF!</v>
      </c>
      <c r="I523" s="50" t="e">
        <f>'Product info'!#REF!</f>
        <v>#REF!</v>
      </c>
      <c r="J523" s="51" t="e">
        <f>'Product info'!#REF!</f>
        <v>#REF!</v>
      </c>
      <c r="K523" s="52" t="e">
        <f t="shared" si="107"/>
        <v>#REF!</v>
      </c>
      <c r="L523" s="50" t="e">
        <f t="shared" si="108"/>
        <v>#REF!</v>
      </c>
      <c r="M523" s="50" t="e">
        <f t="shared" si="109"/>
        <v>#REF!</v>
      </c>
      <c r="N523" s="50" t="e">
        <f t="shared" si="110"/>
        <v>#REF!</v>
      </c>
      <c r="O523" s="50" t="e">
        <f t="shared" si="111"/>
        <v>#REF!</v>
      </c>
      <c r="P523" s="53" t="e">
        <f t="shared" si="112"/>
        <v>#REF!</v>
      </c>
      <c r="Q523" s="54" t="e">
        <f>'Product info'!#REF!</f>
        <v>#REF!</v>
      </c>
      <c r="R523" s="54" t="e">
        <f>'Product info'!#REF!</f>
        <v>#REF!</v>
      </c>
      <c r="S523" s="54" t="e">
        <f>'Product info'!#REF!</f>
        <v>#REF!</v>
      </c>
      <c r="T523" s="50" t="e">
        <f>'Product info'!#REF!</f>
        <v>#REF!</v>
      </c>
      <c r="U523" s="52" t="e">
        <f t="shared" si="113"/>
        <v>#REF!</v>
      </c>
      <c r="V523" s="50" t="e">
        <f t="shared" si="114"/>
        <v>#REF!</v>
      </c>
      <c r="W523" s="50" t="e">
        <f t="shared" si="115"/>
        <v>#REF!</v>
      </c>
      <c r="X523" s="50" t="e">
        <f t="shared" si="116"/>
        <v>#REF!</v>
      </c>
      <c r="Y523" s="50" t="e">
        <f t="shared" si="117"/>
        <v>#REF!</v>
      </c>
      <c r="Z523" t="e">
        <f t="shared" si="118"/>
        <v>#REF!</v>
      </c>
    </row>
    <row r="524" spans="1:26" x14ac:dyDescent="0.4">
      <c r="A524" t="e">
        <f>'Product info'!#REF!</f>
        <v>#REF!</v>
      </c>
      <c r="B524" t="e">
        <f>'Product info'!#REF!</f>
        <v>#REF!</v>
      </c>
      <c r="C524" t="e">
        <f>'Product info'!#REF!</f>
        <v>#REF!</v>
      </c>
      <c r="D524" s="6" t="e">
        <f>'Product info'!#REF!</f>
        <v>#REF!</v>
      </c>
      <c r="E524" t="e">
        <f t="shared" si="106"/>
        <v>#REF!</v>
      </c>
      <c r="F524" s="50" t="e">
        <f>'Product info'!#REF!</f>
        <v>#REF!</v>
      </c>
      <c r="G524" s="50" t="e">
        <f>'Product info'!#REF!</f>
        <v>#REF!</v>
      </c>
      <c r="H524" s="50" t="e">
        <f>'Product info'!#REF!</f>
        <v>#REF!</v>
      </c>
      <c r="I524" s="50" t="e">
        <f>'Product info'!#REF!</f>
        <v>#REF!</v>
      </c>
      <c r="J524" s="51" t="e">
        <f>'Product info'!#REF!</f>
        <v>#REF!</v>
      </c>
      <c r="K524" s="52" t="e">
        <f t="shared" si="107"/>
        <v>#REF!</v>
      </c>
      <c r="L524" s="50" t="e">
        <f t="shared" si="108"/>
        <v>#REF!</v>
      </c>
      <c r="M524" s="50" t="e">
        <f t="shared" si="109"/>
        <v>#REF!</v>
      </c>
      <c r="N524" s="50" t="e">
        <f t="shared" si="110"/>
        <v>#REF!</v>
      </c>
      <c r="O524" s="50" t="e">
        <f t="shared" si="111"/>
        <v>#REF!</v>
      </c>
      <c r="P524" s="53" t="e">
        <f t="shared" si="112"/>
        <v>#REF!</v>
      </c>
      <c r="Q524" s="54" t="e">
        <f>'Product info'!#REF!</f>
        <v>#REF!</v>
      </c>
      <c r="R524" s="54" t="e">
        <f>'Product info'!#REF!</f>
        <v>#REF!</v>
      </c>
      <c r="S524" s="54" t="e">
        <f>'Product info'!#REF!</f>
        <v>#REF!</v>
      </c>
      <c r="T524" s="50" t="e">
        <f>'Product info'!#REF!</f>
        <v>#REF!</v>
      </c>
      <c r="U524" s="52" t="e">
        <f t="shared" si="113"/>
        <v>#REF!</v>
      </c>
      <c r="V524" s="50" t="e">
        <f t="shared" si="114"/>
        <v>#REF!</v>
      </c>
      <c r="W524" s="50" t="e">
        <f t="shared" si="115"/>
        <v>#REF!</v>
      </c>
      <c r="X524" s="50" t="e">
        <f t="shared" si="116"/>
        <v>#REF!</v>
      </c>
      <c r="Y524" s="50" t="e">
        <f t="shared" si="117"/>
        <v>#REF!</v>
      </c>
      <c r="Z524" t="e">
        <f t="shared" si="118"/>
        <v>#REF!</v>
      </c>
    </row>
    <row r="525" spans="1:26" x14ac:dyDescent="0.4">
      <c r="A525" t="e">
        <f>'Product info'!#REF!</f>
        <v>#REF!</v>
      </c>
      <c r="B525" t="e">
        <f>'Product info'!#REF!</f>
        <v>#REF!</v>
      </c>
      <c r="C525" t="e">
        <f>'Product info'!#REF!</f>
        <v>#REF!</v>
      </c>
      <c r="D525" s="6" t="e">
        <f>'Product info'!#REF!</f>
        <v>#REF!</v>
      </c>
      <c r="E525" t="e">
        <f t="shared" si="106"/>
        <v>#REF!</v>
      </c>
      <c r="F525" s="50" t="e">
        <f>'Product info'!#REF!</f>
        <v>#REF!</v>
      </c>
      <c r="G525" s="50" t="e">
        <f>'Product info'!#REF!</f>
        <v>#REF!</v>
      </c>
      <c r="H525" s="50" t="e">
        <f>'Product info'!#REF!</f>
        <v>#REF!</v>
      </c>
      <c r="I525" s="50" t="e">
        <f>'Product info'!#REF!</f>
        <v>#REF!</v>
      </c>
      <c r="J525" s="51" t="e">
        <f>'Product info'!#REF!</f>
        <v>#REF!</v>
      </c>
      <c r="K525" s="52" t="e">
        <f t="shared" si="107"/>
        <v>#REF!</v>
      </c>
      <c r="L525" s="50" t="e">
        <f t="shared" si="108"/>
        <v>#REF!</v>
      </c>
      <c r="M525" s="50" t="e">
        <f t="shared" si="109"/>
        <v>#REF!</v>
      </c>
      <c r="N525" s="50" t="e">
        <f t="shared" si="110"/>
        <v>#REF!</v>
      </c>
      <c r="O525" s="50" t="e">
        <f t="shared" si="111"/>
        <v>#REF!</v>
      </c>
      <c r="P525" s="53" t="e">
        <f t="shared" si="112"/>
        <v>#REF!</v>
      </c>
      <c r="Q525" s="54" t="e">
        <f>'Product info'!#REF!</f>
        <v>#REF!</v>
      </c>
      <c r="R525" s="54" t="e">
        <f>'Product info'!#REF!</f>
        <v>#REF!</v>
      </c>
      <c r="S525" s="54" t="e">
        <f>'Product info'!#REF!</f>
        <v>#REF!</v>
      </c>
      <c r="T525" s="50" t="e">
        <f>'Product info'!#REF!</f>
        <v>#REF!</v>
      </c>
      <c r="U525" s="52" t="e">
        <f t="shared" si="113"/>
        <v>#REF!</v>
      </c>
      <c r="V525" s="50" t="e">
        <f t="shared" si="114"/>
        <v>#REF!</v>
      </c>
      <c r="W525" s="50" t="e">
        <f t="shared" si="115"/>
        <v>#REF!</v>
      </c>
      <c r="X525" s="50" t="e">
        <f t="shared" si="116"/>
        <v>#REF!</v>
      </c>
      <c r="Y525" s="50" t="e">
        <f t="shared" si="117"/>
        <v>#REF!</v>
      </c>
      <c r="Z525" t="e">
        <f t="shared" si="118"/>
        <v>#REF!</v>
      </c>
    </row>
    <row r="526" spans="1:26" x14ac:dyDescent="0.4">
      <c r="A526" t="e">
        <f>'Product info'!#REF!</f>
        <v>#REF!</v>
      </c>
      <c r="B526" t="e">
        <f>'Product info'!#REF!</f>
        <v>#REF!</v>
      </c>
      <c r="C526" t="e">
        <f>'Product info'!#REF!</f>
        <v>#REF!</v>
      </c>
      <c r="D526" s="6" t="e">
        <f>'Product info'!#REF!</f>
        <v>#REF!</v>
      </c>
      <c r="E526" t="e">
        <f t="shared" si="106"/>
        <v>#REF!</v>
      </c>
      <c r="F526" s="50" t="e">
        <f>'Product info'!#REF!</f>
        <v>#REF!</v>
      </c>
      <c r="G526" s="50" t="e">
        <f>'Product info'!#REF!</f>
        <v>#REF!</v>
      </c>
      <c r="H526" s="50" t="e">
        <f>'Product info'!#REF!</f>
        <v>#REF!</v>
      </c>
      <c r="I526" s="50" t="e">
        <f>'Product info'!#REF!</f>
        <v>#REF!</v>
      </c>
      <c r="J526" s="51" t="e">
        <f>'Product info'!#REF!</f>
        <v>#REF!</v>
      </c>
      <c r="K526" s="52" t="e">
        <f t="shared" si="107"/>
        <v>#REF!</v>
      </c>
      <c r="L526" s="50" t="e">
        <f t="shared" si="108"/>
        <v>#REF!</v>
      </c>
      <c r="M526" s="50" t="e">
        <f t="shared" si="109"/>
        <v>#REF!</v>
      </c>
      <c r="N526" s="50" t="e">
        <f t="shared" si="110"/>
        <v>#REF!</v>
      </c>
      <c r="O526" s="50" t="e">
        <f t="shared" si="111"/>
        <v>#REF!</v>
      </c>
      <c r="P526" s="53" t="e">
        <f t="shared" si="112"/>
        <v>#REF!</v>
      </c>
      <c r="Q526" s="54" t="e">
        <f>'Product info'!#REF!</f>
        <v>#REF!</v>
      </c>
      <c r="R526" s="54" t="e">
        <f>'Product info'!#REF!</f>
        <v>#REF!</v>
      </c>
      <c r="S526" s="54" t="e">
        <f>'Product info'!#REF!</f>
        <v>#REF!</v>
      </c>
      <c r="T526" s="50" t="e">
        <f>'Product info'!#REF!</f>
        <v>#REF!</v>
      </c>
      <c r="U526" s="52" t="e">
        <f t="shared" si="113"/>
        <v>#REF!</v>
      </c>
      <c r="V526" s="50" t="e">
        <f t="shared" si="114"/>
        <v>#REF!</v>
      </c>
      <c r="W526" s="50" t="e">
        <f t="shared" si="115"/>
        <v>#REF!</v>
      </c>
      <c r="X526" s="50" t="e">
        <f t="shared" si="116"/>
        <v>#REF!</v>
      </c>
      <c r="Y526" s="50" t="e">
        <f t="shared" si="117"/>
        <v>#REF!</v>
      </c>
      <c r="Z526" t="e">
        <f t="shared" si="118"/>
        <v>#REF!</v>
      </c>
    </row>
    <row r="527" spans="1:26" x14ac:dyDescent="0.4">
      <c r="A527" t="e">
        <f>'Product info'!#REF!</f>
        <v>#REF!</v>
      </c>
      <c r="B527" t="e">
        <f>'Product info'!#REF!</f>
        <v>#REF!</v>
      </c>
      <c r="C527" t="e">
        <f>'Product info'!#REF!</f>
        <v>#REF!</v>
      </c>
      <c r="D527" s="6" t="e">
        <f>'Product info'!#REF!</f>
        <v>#REF!</v>
      </c>
      <c r="E527" t="e">
        <f t="shared" si="106"/>
        <v>#REF!</v>
      </c>
      <c r="F527" s="50" t="e">
        <f>'Product info'!#REF!</f>
        <v>#REF!</v>
      </c>
      <c r="G527" s="50" t="e">
        <f>'Product info'!#REF!</f>
        <v>#REF!</v>
      </c>
      <c r="H527" s="50" t="e">
        <f>'Product info'!#REF!</f>
        <v>#REF!</v>
      </c>
      <c r="I527" s="50" t="e">
        <f>'Product info'!#REF!</f>
        <v>#REF!</v>
      </c>
      <c r="J527" s="51" t="e">
        <f>'Product info'!#REF!</f>
        <v>#REF!</v>
      </c>
      <c r="K527" s="52" t="e">
        <f t="shared" si="107"/>
        <v>#REF!</v>
      </c>
      <c r="L527" s="50" t="e">
        <f t="shared" si="108"/>
        <v>#REF!</v>
      </c>
      <c r="M527" s="50" t="e">
        <f t="shared" si="109"/>
        <v>#REF!</v>
      </c>
      <c r="N527" s="50" t="e">
        <f t="shared" si="110"/>
        <v>#REF!</v>
      </c>
      <c r="O527" s="50" t="e">
        <f t="shared" si="111"/>
        <v>#REF!</v>
      </c>
      <c r="P527" s="53" t="e">
        <f t="shared" si="112"/>
        <v>#REF!</v>
      </c>
      <c r="Q527" s="54" t="e">
        <f>'Product info'!#REF!</f>
        <v>#REF!</v>
      </c>
      <c r="R527" s="54" t="e">
        <f>'Product info'!#REF!</f>
        <v>#REF!</v>
      </c>
      <c r="S527" s="54" t="e">
        <f>'Product info'!#REF!</f>
        <v>#REF!</v>
      </c>
      <c r="T527" s="50" t="e">
        <f>'Product info'!#REF!</f>
        <v>#REF!</v>
      </c>
      <c r="U527" s="52" t="e">
        <f t="shared" si="113"/>
        <v>#REF!</v>
      </c>
      <c r="V527" s="50" t="e">
        <f t="shared" si="114"/>
        <v>#REF!</v>
      </c>
      <c r="W527" s="50" t="e">
        <f t="shared" si="115"/>
        <v>#REF!</v>
      </c>
      <c r="X527" s="50" t="e">
        <f t="shared" si="116"/>
        <v>#REF!</v>
      </c>
      <c r="Y527" s="50" t="e">
        <f t="shared" si="117"/>
        <v>#REF!</v>
      </c>
      <c r="Z527" t="e">
        <f t="shared" si="118"/>
        <v>#REF!</v>
      </c>
    </row>
    <row r="528" spans="1:26" x14ac:dyDescent="0.4">
      <c r="A528" t="e">
        <f>'Product info'!#REF!</f>
        <v>#REF!</v>
      </c>
      <c r="B528" t="e">
        <f>'Product info'!#REF!</f>
        <v>#REF!</v>
      </c>
      <c r="C528" t="e">
        <f>'Product info'!#REF!</f>
        <v>#REF!</v>
      </c>
      <c r="D528" s="6" t="e">
        <f>'Product info'!#REF!</f>
        <v>#REF!</v>
      </c>
      <c r="E528" t="e">
        <f t="shared" si="106"/>
        <v>#REF!</v>
      </c>
      <c r="F528" s="50" t="e">
        <f>'Product info'!#REF!</f>
        <v>#REF!</v>
      </c>
      <c r="G528" s="50" t="e">
        <f>'Product info'!#REF!</f>
        <v>#REF!</v>
      </c>
      <c r="H528" s="50" t="e">
        <f>'Product info'!#REF!</f>
        <v>#REF!</v>
      </c>
      <c r="I528" s="50" t="e">
        <f>'Product info'!#REF!</f>
        <v>#REF!</v>
      </c>
      <c r="J528" s="51" t="e">
        <f>'Product info'!#REF!</f>
        <v>#REF!</v>
      </c>
      <c r="K528" s="52" t="e">
        <f t="shared" si="107"/>
        <v>#REF!</v>
      </c>
      <c r="L528" s="50" t="e">
        <f t="shared" si="108"/>
        <v>#REF!</v>
      </c>
      <c r="M528" s="50" t="e">
        <f t="shared" si="109"/>
        <v>#REF!</v>
      </c>
      <c r="N528" s="50" t="e">
        <f t="shared" si="110"/>
        <v>#REF!</v>
      </c>
      <c r="O528" s="50" t="e">
        <f t="shared" si="111"/>
        <v>#REF!</v>
      </c>
      <c r="P528" s="53" t="e">
        <f t="shared" si="112"/>
        <v>#REF!</v>
      </c>
      <c r="Q528" s="54" t="e">
        <f>'Product info'!#REF!</f>
        <v>#REF!</v>
      </c>
      <c r="R528" s="54" t="e">
        <f>'Product info'!#REF!</f>
        <v>#REF!</v>
      </c>
      <c r="S528" s="54" t="e">
        <f>'Product info'!#REF!</f>
        <v>#REF!</v>
      </c>
      <c r="T528" s="50" t="e">
        <f>'Product info'!#REF!</f>
        <v>#REF!</v>
      </c>
      <c r="U528" s="52" t="e">
        <f t="shared" si="113"/>
        <v>#REF!</v>
      </c>
      <c r="V528" s="50" t="e">
        <f t="shared" si="114"/>
        <v>#REF!</v>
      </c>
      <c r="W528" s="50" t="e">
        <f t="shared" si="115"/>
        <v>#REF!</v>
      </c>
      <c r="X528" s="50" t="e">
        <f t="shared" si="116"/>
        <v>#REF!</v>
      </c>
      <c r="Y528" s="50" t="e">
        <f t="shared" si="117"/>
        <v>#REF!</v>
      </c>
      <c r="Z528" t="e">
        <f t="shared" si="118"/>
        <v>#REF!</v>
      </c>
    </row>
    <row r="529" spans="1:26" x14ac:dyDescent="0.4">
      <c r="A529" t="e">
        <f>'Product info'!#REF!</f>
        <v>#REF!</v>
      </c>
      <c r="B529" t="e">
        <f>'Product info'!#REF!</f>
        <v>#REF!</v>
      </c>
      <c r="C529" t="e">
        <f>'Product info'!#REF!</f>
        <v>#REF!</v>
      </c>
      <c r="D529" s="6" t="e">
        <f>'Product info'!#REF!</f>
        <v>#REF!</v>
      </c>
      <c r="E529" t="e">
        <f t="shared" si="106"/>
        <v>#REF!</v>
      </c>
      <c r="F529" s="50" t="e">
        <f>'Product info'!#REF!</f>
        <v>#REF!</v>
      </c>
      <c r="G529" s="50" t="e">
        <f>'Product info'!#REF!</f>
        <v>#REF!</v>
      </c>
      <c r="H529" s="50" t="e">
        <f>'Product info'!#REF!</f>
        <v>#REF!</v>
      </c>
      <c r="I529" s="50" t="e">
        <f>'Product info'!#REF!</f>
        <v>#REF!</v>
      </c>
      <c r="J529" s="51" t="e">
        <f>'Product info'!#REF!</f>
        <v>#REF!</v>
      </c>
      <c r="K529" s="52" t="e">
        <f t="shared" si="107"/>
        <v>#REF!</v>
      </c>
      <c r="L529" s="50" t="e">
        <f t="shared" si="108"/>
        <v>#REF!</v>
      </c>
      <c r="M529" s="50" t="e">
        <f t="shared" si="109"/>
        <v>#REF!</v>
      </c>
      <c r="N529" s="50" t="e">
        <f t="shared" si="110"/>
        <v>#REF!</v>
      </c>
      <c r="O529" s="50" t="e">
        <f t="shared" si="111"/>
        <v>#REF!</v>
      </c>
      <c r="P529" s="53" t="e">
        <f t="shared" si="112"/>
        <v>#REF!</v>
      </c>
      <c r="Q529" s="54" t="e">
        <f>'Product info'!#REF!</f>
        <v>#REF!</v>
      </c>
      <c r="R529" s="54" t="e">
        <f>'Product info'!#REF!</f>
        <v>#REF!</v>
      </c>
      <c r="S529" s="54" t="e">
        <f>'Product info'!#REF!</f>
        <v>#REF!</v>
      </c>
      <c r="T529" s="50" t="e">
        <f>'Product info'!#REF!</f>
        <v>#REF!</v>
      </c>
      <c r="U529" s="52" t="e">
        <f t="shared" si="113"/>
        <v>#REF!</v>
      </c>
      <c r="V529" s="50" t="e">
        <f t="shared" si="114"/>
        <v>#REF!</v>
      </c>
      <c r="W529" s="50" t="e">
        <f t="shared" si="115"/>
        <v>#REF!</v>
      </c>
      <c r="X529" s="50" t="e">
        <f t="shared" si="116"/>
        <v>#REF!</v>
      </c>
      <c r="Y529" s="50" t="e">
        <f t="shared" si="117"/>
        <v>#REF!</v>
      </c>
      <c r="Z529" t="e">
        <f t="shared" si="118"/>
        <v>#REF!</v>
      </c>
    </row>
    <row r="530" spans="1:26" x14ac:dyDescent="0.4">
      <c r="A530" t="e">
        <f>'Product info'!#REF!</f>
        <v>#REF!</v>
      </c>
      <c r="B530" t="e">
        <f>'Product info'!#REF!</f>
        <v>#REF!</v>
      </c>
      <c r="C530" t="e">
        <f>'Product info'!#REF!</f>
        <v>#REF!</v>
      </c>
      <c r="D530" s="6" t="e">
        <f>'Product info'!#REF!</f>
        <v>#REF!</v>
      </c>
      <c r="E530" t="e">
        <f t="shared" si="106"/>
        <v>#REF!</v>
      </c>
      <c r="F530" s="50" t="e">
        <f>'Product info'!#REF!</f>
        <v>#REF!</v>
      </c>
      <c r="G530" s="50" t="e">
        <f>'Product info'!#REF!</f>
        <v>#REF!</v>
      </c>
      <c r="H530" s="50" t="e">
        <f>'Product info'!#REF!</f>
        <v>#REF!</v>
      </c>
      <c r="I530" s="50" t="e">
        <f>'Product info'!#REF!</f>
        <v>#REF!</v>
      </c>
      <c r="J530" s="51" t="e">
        <f>'Product info'!#REF!</f>
        <v>#REF!</v>
      </c>
      <c r="K530" s="52" t="e">
        <f t="shared" si="107"/>
        <v>#REF!</v>
      </c>
      <c r="L530" s="50" t="e">
        <f t="shared" si="108"/>
        <v>#REF!</v>
      </c>
      <c r="M530" s="50" t="e">
        <f t="shared" si="109"/>
        <v>#REF!</v>
      </c>
      <c r="N530" s="50" t="e">
        <f t="shared" si="110"/>
        <v>#REF!</v>
      </c>
      <c r="O530" s="50" t="e">
        <f t="shared" si="111"/>
        <v>#REF!</v>
      </c>
      <c r="P530" s="53" t="e">
        <f t="shared" si="112"/>
        <v>#REF!</v>
      </c>
      <c r="Q530" s="54" t="e">
        <f>'Product info'!#REF!</f>
        <v>#REF!</v>
      </c>
      <c r="R530" s="54" t="e">
        <f>'Product info'!#REF!</f>
        <v>#REF!</v>
      </c>
      <c r="S530" s="54" t="e">
        <f>'Product info'!#REF!</f>
        <v>#REF!</v>
      </c>
      <c r="T530" s="50" t="e">
        <f>'Product info'!#REF!</f>
        <v>#REF!</v>
      </c>
      <c r="U530" s="52" t="e">
        <f t="shared" si="113"/>
        <v>#REF!</v>
      </c>
      <c r="V530" s="50" t="e">
        <f t="shared" si="114"/>
        <v>#REF!</v>
      </c>
      <c r="W530" s="50" t="e">
        <f t="shared" si="115"/>
        <v>#REF!</v>
      </c>
      <c r="X530" s="50" t="e">
        <f t="shared" si="116"/>
        <v>#REF!</v>
      </c>
      <c r="Y530" s="50" t="e">
        <f t="shared" si="117"/>
        <v>#REF!</v>
      </c>
      <c r="Z530" t="e">
        <f t="shared" si="118"/>
        <v>#REF!</v>
      </c>
    </row>
    <row r="531" spans="1:26" x14ac:dyDescent="0.4">
      <c r="A531" t="e">
        <f>'Product info'!#REF!</f>
        <v>#REF!</v>
      </c>
      <c r="B531" t="e">
        <f>'Product info'!#REF!</f>
        <v>#REF!</v>
      </c>
      <c r="C531" t="e">
        <f>'Product info'!#REF!</f>
        <v>#REF!</v>
      </c>
      <c r="D531" s="6" t="e">
        <f>'Product info'!#REF!</f>
        <v>#REF!</v>
      </c>
      <c r="E531" t="e">
        <f t="shared" si="106"/>
        <v>#REF!</v>
      </c>
      <c r="F531" s="50" t="e">
        <f>'Product info'!#REF!</f>
        <v>#REF!</v>
      </c>
      <c r="G531" s="50" t="e">
        <f>'Product info'!#REF!</f>
        <v>#REF!</v>
      </c>
      <c r="H531" s="50" t="e">
        <f>'Product info'!#REF!</f>
        <v>#REF!</v>
      </c>
      <c r="I531" s="50" t="e">
        <f>'Product info'!#REF!</f>
        <v>#REF!</v>
      </c>
      <c r="J531" s="51" t="e">
        <f>'Product info'!#REF!</f>
        <v>#REF!</v>
      </c>
      <c r="K531" s="52" t="e">
        <f t="shared" si="107"/>
        <v>#REF!</v>
      </c>
      <c r="L531" s="50" t="e">
        <f t="shared" si="108"/>
        <v>#REF!</v>
      </c>
      <c r="M531" s="50" t="e">
        <f t="shared" si="109"/>
        <v>#REF!</v>
      </c>
      <c r="N531" s="50" t="e">
        <f t="shared" si="110"/>
        <v>#REF!</v>
      </c>
      <c r="O531" s="50" t="e">
        <f t="shared" si="111"/>
        <v>#REF!</v>
      </c>
      <c r="P531" s="53" t="e">
        <f t="shared" si="112"/>
        <v>#REF!</v>
      </c>
      <c r="Q531" s="54" t="e">
        <f>'Product info'!#REF!</f>
        <v>#REF!</v>
      </c>
      <c r="R531" s="54" t="e">
        <f>'Product info'!#REF!</f>
        <v>#REF!</v>
      </c>
      <c r="S531" s="54" t="e">
        <f>'Product info'!#REF!</f>
        <v>#REF!</v>
      </c>
      <c r="T531" s="50" t="e">
        <f>'Product info'!#REF!</f>
        <v>#REF!</v>
      </c>
      <c r="U531" s="52" t="e">
        <f t="shared" si="113"/>
        <v>#REF!</v>
      </c>
      <c r="V531" s="50" t="e">
        <f t="shared" si="114"/>
        <v>#REF!</v>
      </c>
      <c r="W531" s="50" t="e">
        <f t="shared" si="115"/>
        <v>#REF!</v>
      </c>
      <c r="X531" s="50" t="e">
        <f t="shared" si="116"/>
        <v>#REF!</v>
      </c>
      <c r="Y531" s="50" t="e">
        <f t="shared" si="117"/>
        <v>#REF!</v>
      </c>
      <c r="Z531" t="e">
        <f t="shared" si="118"/>
        <v>#REF!</v>
      </c>
    </row>
    <row r="532" spans="1:26" x14ac:dyDescent="0.4">
      <c r="A532" t="e">
        <f>'Product info'!#REF!</f>
        <v>#REF!</v>
      </c>
      <c r="B532" t="e">
        <f>'Product info'!#REF!</f>
        <v>#REF!</v>
      </c>
      <c r="C532" t="e">
        <f>'Product info'!#REF!</f>
        <v>#REF!</v>
      </c>
      <c r="D532" s="6" t="e">
        <f>'Product info'!#REF!</f>
        <v>#REF!</v>
      </c>
      <c r="E532" t="e">
        <f t="shared" si="106"/>
        <v>#REF!</v>
      </c>
      <c r="F532" s="50" t="e">
        <f>'Product info'!#REF!</f>
        <v>#REF!</v>
      </c>
      <c r="G532" s="50" t="e">
        <f>'Product info'!#REF!</f>
        <v>#REF!</v>
      </c>
      <c r="H532" s="50" t="e">
        <f>'Product info'!#REF!</f>
        <v>#REF!</v>
      </c>
      <c r="I532" s="50" t="e">
        <f>'Product info'!#REF!</f>
        <v>#REF!</v>
      </c>
      <c r="J532" s="51" t="e">
        <f>'Product info'!#REF!</f>
        <v>#REF!</v>
      </c>
      <c r="K532" s="52" t="e">
        <f t="shared" si="107"/>
        <v>#REF!</v>
      </c>
      <c r="L532" s="50" t="e">
        <f t="shared" si="108"/>
        <v>#REF!</v>
      </c>
      <c r="M532" s="50" t="e">
        <f t="shared" si="109"/>
        <v>#REF!</v>
      </c>
      <c r="N532" s="50" t="e">
        <f t="shared" si="110"/>
        <v>#REF!</v>
      </c>
      <c r="O532" s="50" t="e">
        <f t="shared" si="111"/>
        <v>#REF!</v>
      </c>
      <c r="P532" s="53" t="e">
        <f t="shared" si="112"/>
        <v>#REF!</v>
      </c>
      <c r="Q532" s="54" t="e">
        <f>'Product info'!#REF!</f>
        <v>#REF!</v>
      </c>
      <c r="R532" s="54" t="e">
        <f>'Product info'!#REF!</f>
        <v>#REF!</v>
      </c>
      <c r="S532" s="54" t="e">
        <f>'Product info'!#REF!</f>
        <v>#REF!</v>
      </c>
      <c r="T532" s="50" t="e">
        <f>'Product info'!#REF!</f>
        <v>#REF!</v>
      </c>
      <c r="U532" s="52" t="e">
        <f t="shared" si="113"/>
        <v>#REF!</v>
      </c>
      <c r="V532" s="50" t="e">
        <f t="shared" si="114"/>
        <v>#REF!</v>
      </c>
      <c r="W532" s="50" t="e">
        <f t="shared" si="115"/>
        <v>#REF!</v>
      </c>
      <c r="X532" s="50" t="e">
        <f t="shared" si="116"/>
        <v>#REF!</v>
      </c>
      <c r="Y532" s="50" t="e">
        <f t="shared" si="117"/>
        <v>#REF!</v>
      </c>
      <c r="Z532" t="e">
        <f t="shared" si="118"/>
        <v>#REF!</v>
      </c>
    </row>
    <row r="533" spans="1:26" x14ac:dyDescent="0.4">
      <c r="A533" t="e">
        <f>'Product info'!#REF!</f>
        <v>#REF!</v>
      </c>
      <c r="B533" t="e">
        <f>'Product info'!#REF!</f>
        <v>#REF!</v>
      </c>
      <c r="C533" t="e">
        <f>'Product info'!#REF!</f>
        <v>#REF!</v>
      </c>
      <c r="D533" s="6" t="e">
        <f>'Product info'!#REF!</f>
        <v>#REF!</v>
      </c>
      <c r="E533" t="e">
        <f t="shared" si="106"/>
        <v>#REF!</v>
      </c>
      <c r="F533" s="50" t="e">
        <f>'Product info'!#REF!</f>
        <v>#REF!</v>
      </c>
      <c r="G533" s="50" t="e">
        <f>'Product info'!#REF!</f>
        <v>#REF!</v>
      </c>
      <c r="H533" s="50" t="e">
        <f>'Product info'!#REF!</f>
        <v>#REF!</v>
      </c>
      <c r="I533" s="50" t="e">
        <f>'Product info'!#REF!</f>
        <v>#REF!</v>
      </c>
      <c r="J533" s="51" t="e">
        <f>'Product info'!#REF!</f>
        <v>#REF!</v>
      </c>
      <c r="K533" s="52" t="e">
        <f t="shared" si="107"/>
        <v>#REF!</v>
      </c>
      <c r="L533" s="50" t="e">
        <f t="shared" si="108"/>
        <v>#REF!</v>
      </c>
      <c r="M533" s="50" t="e">
        <f t="shared" si="109"/>
        <v>#REF!</v>
      </c>
      <c r="N533" s="50" t="e">
        <f t="shared" si="110"/>
        <v>#REF!</v>
      </c>
      <c r="O533" s="50" t="e">
        <f t="shared" si="111"/>
        <v>#REF!</v>
      </c>
      <c r="P533" s="53" t="e">
        <f t="shared" si="112"/>
        <v>#REF!</v>
      </c>
      <c r="Q533" s="54" t="e">
        <f>'Product info'!#REF!</f>
        <v>#REF!</v>
      </c>
      <c r="R533" s="54" t="e">
        <f>'Product info'!#REF!</f>
        <v>#REF!</v>
      </c>
      <c r="S533" s="54" t="e">
        <f>'Product info'!#REF!</f>
        <v>#REF!</v>
      </c>
      <c r="T533" s="50" t="e">
        <f>'Product info'!#REF!</f>
        <v>#REF!</v>
      </c>
      <c r="U533" s="52" t="e">
        <f t="shared" si="113"/>
        <v>#REF!</v>
      </c>
      <c r="V533" s="50" t="e">
        <f t="shared" si="114"/>
        <v>#REF!</v>
      </c>
      <c r="W533" s="50" t="e">
        <f t="shared" si="115"/>
        <v>#REF!</v>
      </c>
      <c r="X533" s="50" t="e">
        <f t="shared" si="116"/>
        <v>#REF!</v>
      </c>
      <c r="Y533" s="50" t="e">
        <f t="shared" si="117"/>
        <v>#REF!</v>
      </c>
      <c r="Z533" t="e">
        <f t="shared" si="118"/>
        <v>#REF!</v>
      </c>
    </row>
    <row r="534" spans="1:26" x14ac:dyDescent="0.4">
      <c r="A534" t="e">
        <f>'Product info'!#REF!</f>
        <v>#REF!</v>
      </c>
      <c r="B534" t="e">
        <f>'Product info'!#REF!</f>
        <v>#REF!</v>
      </c>
      <c r="C534" t="e">
        <f>'Product info'!#REF!</f>
        <v>#REF!</v>
      </c>
      <c r="D534" s="6" t="e">
        <f>'Product info'!#REF!</f>
        <v>#REF!</v>
      </c>
      <c r="E534" t="e">
        <f t="shared" si="106"/>
        <v>#REF!</v>
      </c>
      <c r="F534" s="50" t="e">
        <f>'Product info'!#REF!</f>
        <v>#REF!</v>
      </c>
      <c r="G534" s="50" t="e">
        <f>'Product info'!#REF!</f>
        <v>#REF!</v>
      </c>
      <c r="H534" s="50" t="e">
        <f>'Product info'!#REF!</f>
        <v>#REF!</v>
      </c>
      <c r="I534" s="50" t="e">
        <f>'Product info'!#REF!</f>
        <v>#REF!</v>
      </c>
      <c r="J534" s="51" t="e">
        <f>'Product info'!#REF!</f>
        <v>#REF!</v>
      </c>
      <c r="K534" s="52" t="e">
        <f t="shared" si="107"/>
        <v>#REF!</v>
      </c>
      <c r="L534" s="50" t="e">
        <f t="shared" si="108"/>
        <v>#REF!</v>
      </c>
      <c r="M534" s="50" t="e">
        <f t="shared" si="109"/>
        <v>#REF!</v>
      </c>
      <c r="N534" s="50" t="e">
        <f t="shared" si="110"/>
        <v>#REF!</v>
      </c>
      <c r="O534" s="50" t="e">
        <f t="shared" si="111"/>
        <v>#REF!</v>
      </c>
      <c r="P534" s="53" t="e">
        <f t="shared" si="112"/>
        <v>#REF!</v>
      </c>
      <c r="Q534" s="54" t="e">
        <f>'Product info'!#REF!</f>
        <v>#REF!</v>
      </c>
      <c r="R534" s="54" t="e">
        <f>'Product info'!#REF!</f>
        <v>#REF!</v>
      </c>
      <c r="S534" s="54" t="e">
        <f>'Product info'!#REF!</f>
        <v>#REF!</v>
      </c>
      <c r="T534" s="50" t="e">
        <f>'Product info'!#REF!</f>
        <v>#REF!</v>
      </c>
      <c r="U534" s="52" t="e">
        <f t="shared" si="113"/>
        <v>#REF!</v>
      </c>
      <c r="V534" s="50" t="e">
        <f t="shared" si="114"/>
        <v>#REF!</v>
      </c>
      <c r="W534" s="50" t="e">
        <f t="shared" si="115"/>
        <v>#REF!</v>
      </c>
      <c r="X534" s="50" t="e">
        <f t="shared" si="116"/>
        <v>#REF!</v>
      </c>
      <c r="Y534" s="50" t="e">
        <f t="shared" si="117"/>
        <v>#REF!</v>
      </c>
      <c r="Z534" t="e">
        <f t="shared" si="118"/>
        <v>#REF!</v>
      </c>
    </row>
    <row r="535" spans="1:26" x14ac:dyDescent="0.4">
      <c r="A535" t="e">
        <f>'Product info'!#REF!</f>
        <v>#REF!</v>
      </c>
      <c r="B535" t="e">
        <f>'Product info'!#REF!</f>
        <v>#REF!</v>
      </c>
      <c r="C535" t="e">
        <f>'Product info'!#REF!</f>
        <v>#REF!</v>
      </c>
      <c r="D535" s="6" t="e">
        <f>'Product info'!#REF!</f>
        <v>#REF!</v>
      </c>
      <c r="E535" t="e">
        <f t="shared" si="106"/>
        <v>#REF!</v>
      </c>
      <c r="F535" s="50" t="e">
        <f>'Product info'!#REF!</f>
        <v>#REF!</v>
      </c>
      <c r="G535" s="50" t="e">
        <f>'Product info'!#REF!</f>
        <v>#REF!</v>
      </c>
      <c r="H535" s="50" t="e">
        <f>'Product info'!#REF!</f>
        <v>#REF!</v>
      </c>
      <c r="I535" s="50" t="e">
        <f>'Product info'!#REF!</f>
        <v>#REF!</v>
      </c>
      <c r="J535" s="51" t="e">
        <f>'Product info'!#REF!</f>
        <v>#REF!</v>
      </c>
      <c r="K535" s="52" t="e">
        <f t="shared" si="107"/>
        <v>#REF!</v>
      </c>
      <c r="L535" s="50" t="e">
        <f t="shared" si="108"/>
        <v>#REF!</v>
      </c>
      <c r="M535" s="50" t="e">
        <f t="shared" si="109"/>
        <v>#REF!</v>
      </c>
      <c r="N535" s="50" t="e">
        <f t="shared" si="110"/>
        <v>#REF!</v>
      </c>
      <c r="O535" s="50" t="e">
        <f t="shared" si="111"/>
        <v>#REF!</v>
      </c>
      <c r="P535" s="53" t="e">
        <f t="shared" si="112"/>
        <v>#REF!</v>
      </c>
      <c r="Q535" s="54" t="e">
        <f>'Product info'!#REF!</f>
        <v>#REF!</v>
      </c>
      <c r="R535" s="54" t="e">
        <f>'Product info'!#REF!</f>
        <v>#REF!</v>
      </c>
      <c r="S535" s="54" t="e">
        <f>'Product info'!#REF!</f>
        <v>#REF!</v>
      </c>
      <c r="T535" s="50" t="e">
        <f>'Product info'!#REF!</f>
        <v>#REF!</v>
      </c>
      <c r="U535" s="52" t="e">
        <f t="shared" si="113"/>
        <v>#REF!</v>
      </c>
      <c r="V535" s="50" t="e">
        <f t="shared" si="114"/>
        <v>#REF!</v>
      </c>
      <c r="W535" s="50" t="e">
        <f t="shared" si="115"/>
        <v>#REF!</v>
      </c>
      <c r="X535" s="50" t="e">
        <f t="shared" si="116"/>
        <v>#REF!</v>
      </c>
      <c r="Y535" s="50" t="e">
        <f t="shared" si="117"/>
        <v>#REF!</v>
      </c>
      <c r="Z535" t="e">
        <f t="shared" si="118"/>
        <v>#REF!</v>
      </c>
    </row>
    <row r="536" spans="1:26" x14ac:dyDescent="0.4">
      <c r="A536" t="e">
        <f>'Product info'!#REF!</f>
        <v>#REF!</v>
      </c>
      <c r="B536" t="e">
        <f>'Product info'!#REF!</f>
        <v>#REF!</v>
      </c>
      <c r="C536" t="e">
        <f>'Product info'!#REF!</f>
        <v>#REF!</v>
      </c>
      <c r="D536" s="6" t="e">
        <f>'Product info'!#REF!</f>
        <v>#REF!</v>
      </c>
      <c r="E536" t="e">
        <f t="shared" si="106"/>
        <v>#REF!</v>
      </c>
      <c r="F536" s="50" t="e">
        <f>'Product info'!#REF!</f>
        <v>#REF!</v>
      </c>
      <c r="G536" s="50" t="e">
        <f>'Product info'!#REF!</f>
        <v>#REF!</v>
      </c>
      <c r="H536" s="50" t="e">
        <f>'Product info'!#REF!</f>
        <v>#REF!</v>
      </c>
      <c r="I536" s="50" t="e">
        <f>'Product info'!#REF!</f>
        <v>#REF!</v>
      </c>
      <c r="J536" s="51" t="e">
        <f>'Product info'!#REF!</f>
        <v>#REF!</v>
      </c>
      <c r="K536" s="52" t="e">
        <f t="shared" si="107"/>
        <v>#REF!</v>
      </c>
      <c r="L536" s="50" t="e">
        <f t="shared" si="108"/>
        <v>#REF!</v>
      </c>
      <c r="M536" s="50" t="e">
        <f t="shared" si="109"/>
        <v>#REF!</v>
      </c>
      <c r="N536" s="50" t="e">
        <f t="shared" si="110"/>
        <v>#REF!</v>
      </c>
      <c r="O536" s="50" t="e">
        <f t="shared" si="111"/>
        <v>#REF!</v>
      </c>
      <c r="P536" s="53" t="e">
        <f t="shared" si="112"/>
        <v>#REF!</v>
      </c>
      <c r="Q536" s="54" t="e">
        <f>'Product info'!#REF!</f>
        <v>#REF!</v>
      </c>
      <c r="R536" s="54" t="e">
        <f>'Product info'!#REF!</f>
        <v>#REF!</v>
      </c>
      <c r="S536" s="54" t="e">
        <f>'Product info'!#REF!</f>
        <v>#REF!</v>
      </c>
      <c r="T536" s="50" t="e">
        <f>'Product info'!#REF!</f>
        <v>#REF!</v>
      </c>
      <c r="U536" s="52" t="e">
        <f t="shared" si="113"/>
        <v>#REF!</v>
      </c>
      <c r="V536" s="50" t="e">
        <f t="shared" si="114"/>
        <v>#REF!</v>
      </c>
      <c r="W536" s="50" t="e">
        <f t="shared" si="115"/>
        <v>#REF!</v>
      </c>
      <c r="X536" s="50" t="e">
        <f t="shared" si="116"/>
        <v>#REF!</v>
      </c>
      <c r="Y536" s="50" t="e">
        <f t="shared" si="117"/>
        <v>#REF!</v>
      </c>
      <c r="Z536" t="e">
        <f t="shared" si="118"/>
        <v>#REF!</v>
      </c>
    </row>
    <row r="537" spans="1:26" x14ac:dyDescent="0.4">
      <c r="A537" t="e">
        <f>'Product info'!#REF!</f>
        <v>#REF!</v>
      </c>
      <c r="B537" t="e">
        <f>'Product info'!#REF!</f>
        <v>#REF!</v>
      </c>
      <c r="C537" t="e">
        <f>'Product info'!#REF!</f>
        <v>#REF!</v>
      </c>
      <c r="D537" s="6" t="e">
        <f>'Product info'!#REF!</f>
        <v>#REF!</v>
      </c>
      <c r="E537" t="e">
        <f t="shared" si="106"/>
        <v>#REF!</v>
      </c>
      <c r="F537" s="50" t="e">
        <f>'Product info'!#REF!</f>
        <v>#REF!</v>
      </c>
      <c r="G537" s="50" t="e">
        <f>'Product info'!#REF!</f>
        <v>#REF!</v>
      </c>
      <c r="H537" s="50" t="e">
        <f>'Product info'!#REF!</f>
        <v>#REF!</v>
      </c>
      <c r="I537" s="50" t="e">
        <f>'Product info'!#REF!</f>
        <v>#REF!</v>
      </c>
      <c r="J537" s="51" t="e">
        <f>'Product info'!#REF!</f>
        <v>#REF!</v>
      </c>
      <c r="K537" s="52" t="e">
        <f t="shared" si="107"/>
        <v>#REF!</v>
      </c>
      <c r="L537" s="50" t="e">
        <f t="shared" si="108"/>
        <v>#REF!</v>
      </c>
      <c r="M537" s="50" t="e">
        <f t="shared" si="109"/>
        <v>#REF!</v>
      </c>
      <c r="N537" s="50" t="e">
        <f t="shared" si="110"/>
        <v>#REF!</v>
      </c>
      <c r="O537" s="50" t="e">
        <f t="shared" si="111"/>
        <v>#REF!</v>
      </c>
      <c r="P537" s="53" t="e">
        <f t="shared" si="112"/>
        <v>#REF!</v>
      </c>
      <c r="Q537" s="54" t="e">
        <f>'Product info'!#REF!</f>
        <v>#REF!</v>
      </c>
      <c r="R537" s="54" t="e">
        <f>'Product info'!#REF!</f>
        <v>#REF!</v>
      </c>
      <c r="S537" s="54" t="e">
        <f>'Product info'!#REF!</f>
        <v>#REF!</v>
      </c>
      <c r="T537" s="50" t="e">
        <f>'Product info'!#REF!</f>
        <v>#REF!</v>
      </c>
      <c r="U537" s="52" t="e">
        <f t="shared" si="113"/>
        <v>#REF!</v>
      </c>
      <c r="V537" s="50" t="e">
        <f t="shared" si="114"/>
        <v>#REF!</v>
      </c>
      <c r="W537" s="50" t="e">
        <f t="shared" si="115"/>
        <v>#REF!</v>
      </c>
      <c r="X537" s="50" t="e">
        <f t="shared" si="116"/>
        <v>#REF!</v>
      </c>
      <c r="Y537" s="50" t="e">
        <f t="shared" si="117"/>
        <v>#REF!</v>
      </c>
      <c r="Z537" t="e">
        <f t="shared" si="118"/>
        <v>#REF!</v>
      </c>
    </row>
    <row r="538" spans="1:26" x14ac:dyDescent="0.4">
      <c r="A538" t="e">
        <f>'Product info'!#REF!</f>
        <v>#REF!</v>
      </c>
      <c r="B538" t="e">
        <f>'Product info'!#REF!</f>
        <v>#REF!</v>
      </c>
      <c r="C538" t="e">
        <f>'Product info'!#REF!</f>
        <v>#REF!</v>
      </c>
      <c r="D538" s="6" t="e">
        <f>'Product info'!#REF!</f>
        <v>#REF!</v>
      </c>
      <c r="E538" t="e">
        <f t="shared" si="106"/>
        <v>#REF!</v>
      </c>
      <c r="F538" s="50" t="e">
        <f>'Product info'!#REF!</f>
        <v>#REF!</v>
      </c>
      <c r="G538" s="50" t="e">
        <f>'Product info'!#REF!</f>
        <v>#REF!</v>
      </c>
      <c r="H538" s="50" t="e">
        <f>'Product info'!#REF!</f>
        <v>#REF!</v>
      </c>
      <c r="I538" s="50" t="e">
        <f>'Product info'!#REF!</f>
        <v>#REF!</v>
      </c>
      <c r="J538" s="51" t="e">
        <f>'Product info'!#REF!</f>
        <v>#REF!</v>
      </c>
      <c r="K538" s="52" t="e">
        <f t="shared" si="107"/>
        <v>#REF!</v>
      </c>
      <c r="L538" s="50" t="e">
        <f t="shared" si="108"/>
        <v>#REF!</v>
      </c>
      <c r="M538" s="50" t="e">
        <f t="shared" si="109"/>
        <v>#REF!</v>
      </c>
      <c r="N538" s="50" t="e">
        <f t="shared" si="110"/>
        <v>#REF!</v>
      </c>
      <c r="O538" s="50" t="e">
        <f t="shared" si="111"/>
        <v>#REF!</v>
      </c>
      <c r="P538" s="53" t="e">
        <f t="shared" si="112"/>
        <v>#REF!</v>
      </c>
      <c r="Q538" s="54" t="e">
        <f>'Product info'!#REF!</f>
        <v>#REF!</v>
      </c>
      <c r="R538" s="54" t="e">
        <f>'Product info'!#REF!</f>
        <v>#REF!</v>
      </c>
      <c r="S538" s="54" t="e">
        <f>'Product info'!#REF!</f>
        <v>#REF!</v>
      </c>
      <c r="T538" s="50" t="e">
        <f>'Product info'!#REF!</f>
        <v>#REF!</v>
      </c>
      <c r="U538" s="52" t="e">
        <f t="shared" si="113"/>
        <v>#REF!</v>
      </c>
      <c r="V538" s="50" t="e">
        <f t="shared" si="114"/>
        <v>#REF!</v>
      </c>
      <c r="W538" s="50" t="e">
        <f t="shared" si="115"/>
        <v>#REF!</v>
      </c>
      <c r="X538" s="50" t="e">
        <f t="shared" si="116"/>
        <v>#REF!</v>
      </c>
      <c r="Y538" s="50" t="e">
        <f t="shared" si="117"/>
        <v>#REF!</v>
      </c>
      <c r="Z538" t="e">
        <f t="shared" si="118"/>
        <v>#REF!</v>
      </c>
    </row>
    <row r="539" spans="1:26" x14ac:dyDescent="0.4">
      <c r="A539" t="e">
        <f>'Product info'!#REF!</f>
        <v>#REF!</v>
      </c>
      <c r="B539" t="e">
        <f>'Product info'!#REF!</f>
        <v>#REF!</v>
      </c>
      <c r="C539" t="e">
        <f>'Product info'!#REF!</f>
        <v>#REF!</v>
      </c>
      <c r="D539" s="6" t="e">
        <f>'Product info'!#REF!</f>
        <v>#REF!</v>
      </c>
      <c r="E539" t="e">
        <f t="shared" si="106"/>
        <v>#REF!</v>
      </c>
      <c r="F539" s="50" t="e">
        <f>'Product info'!#REF!</f>
        <v>#REF!</v>
      </c>
      <c r="G539" s="50" t="e">
        <f>'Product info'!#REF!</f>
        <v>#REF!</v>
      </c>
      <c r="H539" s="50" t="e">
        <f>'Product info'!#REF!</f>
        <v>#REF!</v>
      </c>
      <c r="I539" s="50" t="e">
        <f>'Product info'!#REF!</f>
        <v>#REF!</v>
      </c>
      <c r="J539" s="51" t="e">
        <f>'Product info'!#REF!</f>
        <v>#REF!</v>
      </c>
      <c r="K539" s="52" t="e">
        <f t="shared" si="107"/>
        <v>#REF!</v>
      </c>
      <c r="L539" s="50" t="e">
        <f t="shared" si="108"/>
        <v>#REF!</v>
      </c>
      <c r="M539" s="50" t="e">
        <f t="shared" si="109"/>
        <v>#REF!</v>
      </c>
      <c r="N539" s="50" t="e">
        <f t="shared" si="110"/>
        <v>#REF!</v>
      </c>
      <c r="O539" s="50" t="e">
        <f t="shared" si="111"/>
        <v>#REF!</v>
      </c>
      <c r="P539" s="53" t="e">
        <f t="shared" si="112"/>
        <v>#REF!</v>
      </c>
      <c r="Q539" s="54" t="e">
        <f>'Product info'!#REF!</f>
        <v>#REF!</v>
      </c>
      <c r="R539" s="54" t="e">
        <f>'Product info'!#REF!</f>
        <v>#REF!</v>
      </c>
      <c r="S539" s="54" t="e">
        <f>'Product info'!#REF!</f>
        <v>#REF!</v>
      </c>
      <c r="T539" s="50" t="e">
        <f>'Product info'!#REF!</f>
        <v>#REF!</v>
      </c>
      <c r="U539" s="52" t="e">
        <f t="shared" si="113"/>
        <v>#REF!</v>
      </c>
      <c r="V539" s="50" t="e">
        <f t="shared" si="114"/>
        <v>#REF!</v>
      </c>
      <c r="W539" s="50" t="e">
        <f t="shared" si="115"/>
        <v>#REF!</v>
      </c>
      <c r="X539" s="50" t="e">
        <f t="shared" si="116"/>
        <v>#REF!</v>
      </c>
      <c r="Y539" s="50" t="e">
        <f t="shared" si="117"/>
        <v>#REF!</v>
      </c>
      <c r="Z539" t="e">
        <f t="shared" si="118"/>
        <v>#REF!</v>
      </c>
    </row>
    <row r="540" spans="1:26" x14ac:dyDescent="0.4">
      <c r="A540" t="e">
        <f>'Product info'!#REF!</f>
        <v>#REF!</v>
      </c>
      <c r="B540" t="e">
        <f>'Product info'!#REF!</f>
        <v>#REF!</v>
      </c>
      <c r="C540" t="e">
        <f>'Product info'!#REF!</f>
        <v>#REF!</v>
      </c>
      <c r="D540" s="6" t="e">
        <f>'Product info'!#REF!</f>
        <v>#REF!</v>
      </c>
      <c r="E540" t="e">
        <f t="shared" si="106"/>
        <v>#REF!</v>
      </c>
      <c r="F540" s="50" t="e">
        <f>'Product info'!#REF!</f>
        <v>#REF!</v>
      </c>
      <c r="G540" s="50" t="e">
        <f>'Product info'!#REF!</f>
        <v>#REF!</v>
      </c>
      <c r="H540" s="50" t="e">
        <f>'Product info'!#REF!</f>
        <v>#REF!</v>
      </c>
      <c r="I540" s="50" t="e">
        <f>'Product info'!#REF!</f>
        <v>#REF!</v>
      </c>
      <c r="J540" s="51" t="e">
        <f>'Product info'!#REF!</f>
        <v>#REF!</v>
      </c>
      <c r="K540" s="52" t="e">
        <f t="shared" si="107"/>
        <v>#REF!</v>
      </c>
      <c r="L540" s="50" t="e">
        <f t="shared" si="108"/>
        <v>#REF!</v>
      </c>
      <c r="M540" s="50" t="e">
        <f t="shared" si="109"/>
        <v>#REF!</v>
      </c>
      <c r="N540" s="50" t="e">
        <f t="shared" si="110"/>
        <v>#REF!</v>
      </c>
      <c r="O540" s="50" t="e">
        <f t="shared" si="111"/>
        <v>#REF!</v>
      </c>
      <c r="P540" s="53" t="e">
        <f t="shared" si="112"/>
        <v>#REF!</v>
      </c>
      <c r="Q540" s="54" t="e">
        <f>'Product info'!#REF!</f>
        <v>#REF!</v>
      </c>
      <c r="R540" s="54" t="e">
        <f>'Product info'!#REF!</f>
        <v>#REF!</v>
      </c>
      <c r="S540" s="54" t="e">
        <f>'Product info'!#REF!</f>
        <v>#REF!</v>
      </c>
      <c r="T540" s="50" t="e">
        <f>'Product info'!#REF!</f>
        <v>#REF!</v>
      </c>
      <c r="U540" s="52" t="e">
        <f t="shared" si="113"/>
        <v>#REF!</v>
      </c>
      <c r="V540" s="50" t="e">
        <f t="shared" si="114"/>
        <v>#REF!</v>
      </c>
      <c r="W540" s="50" t="e">
        <f t="shared" si="115"/>
        <v>#REF!</v>
      </c>
      <c r="X540" s="50" t="e">
        <f t="shared" si="116"/>
        <v>#REF!</v>
      </c>
      <c r="Y540" s="50" t="e">
        <f t="shared" si="117"/>
        <v>#REF!</v>
      </c>
      <c r="Z540" t="e">
        <f t="shared" si="118"/>
        <v>#REF!</v>
      </c>
    </row>
    <row r="541" spans="1:26" x14ac:dyDescent="0.4">
      <c r="A541" t="e">
        <f>'Product info'!#REF!</f>
        <v>#REF!</v>
      </c>
      <c r="B541" t="e">
        <f>'Product info'!#REF!</f>
        <v>#REF!</v>
      </c>
      <c r="C541" t="e">
        <f>'Product info'!#REF!</f>
        <v>#REF!</v>
      </c>
      <c r="D541" s="6" t="e">
        <f>'Product info'!#REF!</f>
        <v>#REF!</v>
      </c>
      <c r="E541" t="e">
        <f t="shared" si="106"/>
        <v>#REF!</v>
      </c>
      <c r="F541" s="50" t="e">
        <f>'Product info'!#REF!</f>
        <v>#REF!</v>
      </c>
      <c r="G541" s="50" t="e">
        <f>'Product info'!#REF!</f>
        <v>#REF!</v>
      </c>
      <c r="H541" s="50" t="e">
        <f>'Product info'!#REF!</f>
        <v>#REF!</v>
      </c>
      <c r="I541" s="50" t="e">
        <f>'Product info'!#REF!</f>
        <v>#REF!</v>
      </c>
      <c r="J541" s="51" t="e">
        <f>'Product info'!#REF!</f>
        <v>#REF!</v>
      </c>
      <c r="K541" s="52" t="e">
        <f t="shared" si="107"/>
        <v>#REF!</v>
      </c>
      <c r="L541" s="50" t="e">
        <f t="shared" si="108"/>
        <v>#REF!</v>
      </c>
      <c r="M541" s="50" t="e">
        <f t="shared" si="109"/>
        <v>#REF!</v>
      </c>
      <c r="N541" s="50" t="e">
        <f t="shared" si="110"/>
        <v>#REF!</v>
      </c>
      <c r="O541" s="50" t="e">
        <f t="shared" si="111"/>
        <v>#REF!</v>
      </c>
      <c r="P541" s="53" t="e">
        <f t="shared" si="112"/>
        <v>#REF!</v>
      </c>
      <c r="Q541" s="54" t="e">
        <f>'Product info'!#REF!</f>
        <v>#REF!</v>
      </c>
      <c r="R541" s="54" t="e">
        <f>'Product info'!#REF!</f>
        <v>#REF!</v>
      </c>
      <c r="S541" s="54" t="e">
        <f>'Product info'!#REF!</f>
        <v>#REF!</v>
      </c>
      <c r="T541" s="50" t="e">
        <f>'Product info'!#REF!</f>
        <v>#REF!</v>
      </c>
      <c r="U541" s="52" t="e">
        <f t="shared" si="113"/>
        <v>#REF!</v>
      </c>
      <c r="V541" s="50" t="e">
        <f t="shared" si="114"/>
        <v>#REF!</v>
      </c>
      <c r="W541" s="50" t="e">
        <f t="shared" si="115"/>
        <v>#REF!</v>
      </c>
      <c r="X541" s="50" t="e">
        <f t="shared" si="116"/>
        <v>#REF!</v>
      </c>
      <c r="Y541" s="50" t="e">
        <f t="shared" si="117"/>
        <v>#REF!</v>
      </c>
      <c r="Z541" t="e">
        <f t="shared" si="118"/>
        <v>#REF!</v>
      </c>
    </row>
    <row r="542" spans="1:26" x14ac:dyDescent="0.4">
      <c r="A542" t="e">
        <f>'Product info'!#REF!</f>
        <v>#REF!</v>
      </c>
      <c r="B542" t="e">
        <f>'Product info'!#REF!</f>
        <v>#REF!</v>
      </c>
      <c r="C542" t="e">
        <f>'Product info'!#REF!</f>
        <v>#REF!</v>
      </c>
      <c r="D542" s="6" t="e">
        <f>'Product info'!#REF!</f>
        <v>#REF!</v>
      </c>
      <c r="E542" t="e">
        <f t="shared" si="106"/>
        <v>#REF!</v>
      </c>
      <c r="F542" s="50" t="e">
        <f>'Product info'!#REF!</f>
        <v>#REF!</v>
      </c>
      <c r="G542" s="50" t="e">
        <f>'Product info'!#REF!</f>
        <v>#REF!</v>
      </c>
      <c r="H542" s="50" t="e">
        <f>'Product info'!#REF!</f>
        <v>#REF!</v>
      </c>
      <c r="I542" s="50" t="e">
        <f>'Product info'!#REF!</f>
        <v>#REF!</v>
      </c>
      <c r="J542" s="51" t="e">
        <f>'Product info'!#REF!</f>
        <v>#REF!</v>
      </c>
      <c r="K542" s="52" t="e">
        <f t="shared" si="107"/>
        <v>#REF!</v>
      </c>
      <c r="L542" s="50" t="e">
        <f t="shared" si="108"/>
        <v>#REF!</v>
      </c>
      <c r="M542" s="50" t="e">
        <f t="shared" si="109"/>
        <v>#REF!</v>
      </c>
      <c r="N542" s="50" t="e">
        <f t="shared" si="110"/>
        <v>#REF!</v>
      </c>
      <c r="O542" s="50" t="e">
        <f t="shared" si="111"/>
        <v>#REF!</v>
      </c>
      <c r="P542" s="53" t="e">
        <f t="shared" si="112"/>
        <v>#REF!</v>
      </c>
      <c r="Q542" s="54" t="e">
        <f>'Product info'!#REF!</f>
        <v>#REF!</v>
      </c>
      <c r="R542" s="54" t="e">
        <f>'Product info'!#REF!</f>
        <v>#REF!</v>
      </c>
      <c r="S542" s="54" t="e">
        <f>'Product info'!#REF!</f>
        <v>#REF!</v>
      </c>
      <c r="T542" s="50" t="e">
        <f>'Product info'!#REF!</f>
        <v>#REF!</v>
      </c>
      <c r="U542" s="52" t="e">
        <f t="shared" si="113"/>
        <v>#REF!</v>
      </c>
      <c r="V542" s="50" t="e">
        <f t="shared" si="114"/>
        <v>#REF!</v>
      </c>
      <c r="W542" s="50" t="e">
        <f t="shared" si="115"/>
        <v>#REF!</v>
      </c>
      <c r="X542" s="50" t="e">
        <f t="shared" si="116"/>
        <v>#REF!</v>
      </c>
      <c r="Y542" s="50" t="e">
        <f t="shared" si="117"/>
        <v>#REF!</v>
      </c>
      <c r="Z542" t="e">
        <f t="shared" si="118"/>
        <v>#REF!</v>
      </c>
    </row>
    <row r="543" spans="1:26" x14ac:dyDescent="0.4">
      <c r="A543" t="e">
        <f>'Product info'!#REF!</f>
        <v>#REF!</v>
      </c>
      <c r="B543" t="e">
        <f>'Product info'!#REF!</f>
        <v>#REF!</v>
      </c>
      <c r="C543" t="e">
        <f>'Product info'!#REF!</f>
        <v>#REF!</v>
      </c>
      <c r="D543" s="6" t="e">
        <f>'Product info'!#REF!</f>
        <v>#REF!</v>
      </c>
      <c r="E543" t="e">
        <f t="shared" si="106"/>
        <v>#REF!</v>
      </c>
      <c r="F543" s="50" t="e">
        <f>'Product info'!#REF!</f>
        <v>#REF!</v>
      </c>
      <c r="G543" s="50" t="e">
        <f>'Product info'!#REF!</f>
        <v>#REF!</v>
      </c>
      <c r="H543" s="50" t="e">
        <f>'Product info'!#REF!</f>
        <v>#REF!</v>
      </c>
      <c r="I543" s="50" t="e">
        <f>'Product info'!#REF!</f>
        <v>#REF!</v>
      </c>
      <c r="J543" s="51" t="e">
        <f>'Product info'!#REF!</f>
        <v>#REF!</v>
      </c>
      <c r="K543" s="52" t="e">
        <f t="shared" si="107"/>
        <v>#REF!</v>
      </c>
      <c r="L543" s="50" t="e">
        <f t="shared" si="108"/>
        <v>#REF!</v>
      </c>
      <c r="M543" s="50" t="e">
        <f t="shared" si="109"/>
        <v>#REF!</v>
      </c>
      <c r="N543" s="50" t="e">
        <f t="shared" si="110"/>
        <v>#REF!</v>
      </c>
      <c r="O543" s="50" t="e">
        <f t="shared" si="111"/>
        <v>#REF!</v>
      </c>
      <c r="P543" s="53" t="e">
        <f t="shared" si="112"/>
        <v>#REF!</v>
      </c>
      <c r="Q543" s="54" t="e">
        <f>'Product info'!#REF!</f>
        <v>#REF!</v>
      </c>
      <c r="R543" s="54" t="e">
        <f>'Product info'!#REF!</f>
        <v>#REF!</v>
      </c>
      <c r="S543" s="54" t="e">
        <f>'Product info'!#REF!</f>
        <v>#REF!</v>
      </c>
      <c r="T543" s="50" t="e">
        <f>'Product info'!#REF!</f>
        <v>#REF!</v>
      </c>
      <c r="U543" s="52" t="e">
        <f t="shared" si="113"/>
        <v>#REF!</v>
      </c>
      <c r="V543" s="50" t="e">
        <f t="shared" si="114"/>
        <v>#REF!</v>
      </c>
      <c r="W543" s="50" t="e">
        <f t="shared" si="115"/>
        <v>#REF!</v>
      </c>
      <c r="X543" s="50" t="e">
        <f t="shared" si="116"/>
        <v>#REF!</v>
      </c>
      <c r="Y543" s="50" t="e">
        <f t="shared" si="117"/>
        <v>#REF!</v>
      </c>
      <c r="Z543" t="e">
        <f t="shared" si="118"/>
        <v>#REF!</v>
      </c>
    </row>
    <row r="544" spans="1:26" x14ac:dyDescent="0.4">
      <c r="A544" t="e">
        <f>'Product info'!#REF!</f>
        <v>#REF!</v>
      </c>
      <c r="B544" t="e">
        <f>'Product info'!#REF!</f>
        <v>#REF!</v>
      </c>
      <c r="C544" t="e">
        <f>'Product info'!#REF!</f>
        <v>#REF!</v>
      </c>
      <c r="D544" s="6" t="e">
        <f>'Product info'!#REF!</f>
        <v>#REF!</v>
      </c>
      <c r="E544" t="e">
        <f t="shared" si="106"/>
        <v>#REF!</v>
      </c>
      <c r="F544" s="50" t="e">
        <f>'Product info'!#REF!</f>
        <v>#REF!</v>
      </c>
      <c r="G544" s="50" t="e">
        <f>'Product info'!#REF!</f>
        <v>#REF!</v>
      </c>
      <c r="H544" s="50" t="e">
        <f>'Product info'!#REF!</f>
        <v>#REF!</v>
      </c>
      <c r="I544" s="50" t="e">
        <f>'Product info'!#REF!</f>
        <v>#REF!</v>
      </c>
      <c r="J544" s="51" t="e">
        <f>'Product info'!#REF!</f>
        <v>#REF!</v>
      </c>
      <c r="K544" s="52" t="e">
        <f t="shared" si="107"/>
        <v>#REF!</v>
      </c>
      <c r="L544" s="50" t="e">
        <f t="shared" si="108"/>
        <v>#REF!</v>
      </c>
      <c r="M544" s="50" t="e">
        <f t="shared" si="109"/>
        <v>#REF!</v>
      </c>
      <c r="N544" s="50" t="e">
        <f t="shared" si="110"/>
        <v>#REF!</v>
      </c>
      <c r="O544" s="50" t="e">
        <f t="shared" si="111"/>
        <v>#REF!</v>
      </c>
      <c r="P544" s="53" t="e">
        <f t="shared" si="112"/>
        <v>#REF!</v>
      </c>
      <c r="Q544" s="54" t="e">
        <f>'Product info'!#REF!</f>
        <v>#REF!</v>
      </c>
      <c r="R544" s="54" t="e">
        <f>'Product info'!#REF!</f>
        <v>#REF!</v>
      </c>
      <c r="S544" s="54" t="e">
        <f>'Product info'!#REF!</f>
        <v>#REF!</v>
      </c>
      <c r="T544" s="50" t="e">
        <f>'Product info'!#REF!</f>
        <v>#REF!</v>
      </c>
      <c r="U544" s="52" t="e">
        <f t="shared" si="113"/>
        <v>#REF!</v>
      </c>
      <c r="V544" s="50" t="e">
        <f t="shared" si="114"/>
        <v>#REF!</v>
      </c>
      <c r="W544" s="50" t="e">
        <f t="shared" si="115"/>
        <v>#REF!</v>
      </c>
      <c r="X544" s="50" t="e">
        <f t="shared" si="116"/>
        <v>#REF!</v>
      </c>
      <c r="Y544" s="50" t="e">
        <f t="shared" si="117"/>
        <v>#REF!</v>
      </c>
      <c r="Z544" t="e">
        <f t="shared" si="118"/>
        <v>#REF!</v>
      </c>
    </row>
    <row r="545" spans="1:26" x14ac:dyDescent="0.4">
      <c r="A545" t="e">
        <f>'Product info'!#REF!</f>
        <v>#REF!</v>
      </c>
      <c r="B545" t="e">
        <f>'Product info'!#REF!</f>
        <v>#REF!</v>
      </c>
      <c r="C545" t="e">
        <f>'Product info'!#REF!</f>
        <v>#REF!</v>
      </c>
      <c r="D545" s="6" t="e">
        <f>'Product info'!#REF!</f>
        <v>#REF!</v>
      </c>
      <c r="E545" t="e">
        <f t="shared" si="106"/>
        <v>#REF!</v>
      </c>
      <c r="F545" s="50" t="e">
        <f>'Product info'!#REF!</f>
        <v>#REF!</v>
      </c>
      <c r="G545" s="50" t="e">
        <f>'Product info'!#REF!</f>
        <v>#REF!</v>
      </c>
      <c r="H545" s="50" t="e">
        <f>'Product info'!#REF!</f>
        <v>#REF!</v>
      </c>
      <c r="I545" s="50" t="e">
        <f>'Product info'!#REF!</f>
        <v>#REF!</v>
      </c>
      <c r="J545" s="51" t="e">
        <f>'Product info'!#REF!</f>
        <v>#REF!</v>
      </c>
      <c r="K545" s="52" t="e">
        <f t="shared" si="107"/>
        <v>#REF!</v>
      </c>
      <c r="L545" s="50" t="e">
        <f t="shared" si="108"/>
        <v>#REF!</v>
      </c>
      <c r="M545" s="50" t="e">
        <f t="shared" si="109"/>
        <v>#REF!</v>
      </c>
      <c r="N545" s="50" t="e">
        <f t="shared" si="110"/>
        <v>#REF!</v>
      </c>
      <c r="O545" s="50" t="e">
        <f t="shared" si="111"/>
        <v>#REF!</v>
      </c>
      <c r="P545" s="53" t="e">
        <f t="shared" si="112"/>
        <v>#REF!</v>
      </c>
      <c r="Q545" s="54" t="e">
        <f>'Product info'!#REF!</f>
        <v>#REF!</v>
      </c>
      <c r="R545" s="54" t="e">
        <f>'Product info'!#REF!</f>
        <v>#REF!</v>
      </c>
      <c r="S545" s="54" t="e">
        <f>'Product info'!#REF!</f>
        <v>#REF!</v>
      </c>
      <c r="T545" s="50" t="e">
        <f>'Product info'!#REF!</f>
        <v>#REF!</v>
      </c>
      <c r="U545" s="52" t="e">
        <f t="shared" si="113"/>
        <v>#REF!</v>
      </c>
      <c r="V545" s="50" t="e">
        <f t="shared" si="114"/>
        <v>#REF!</v>
      </c>
      <c r="W545" s="50" t="e">
        <f t="shared" si="115"/>
        <v>#REF!</v>
      </c>
      <c r="X545" s="50" t="e">
        <f t="shared" si="116"/>
        <v>#REF!</v>
      </c>
      <c r="Y545" s="50" t="e">
        <f t="shared" si="117"/>
        <v>#REF!</v>
      </c>
      <c r="Z545" t="e">
        <f t="shared" si="118"/>
        <v>#REF!</v>
      </c>
    </row>
    <row r="546" spans="1:26" x14ac:dyDescent="0.4">
      <c r="A546" t="e">
        <f>'Product info'!#REF!</f>
        <v>#REF!</v>
      </c>
      <c r="B546" t="e">
        <f>'Product info'!#REF!</f>
        <v>#REF!</v>
      </c>
      <c r="C546" t="e">
        <f>'Product info'!#REF!</f>
        <v>#REF!</v>
      </c>
      <c r="D546" s="6" t="e">
        <f>'Product info'!#REF!</f>
        <v>#REF!</v>
      </c>
      <c r="E546" t="e">
        <f t="shared" si="106"/>
        <v>#REF!</v>
      </c>
      <c r="F546" s="50" t="e">
        <f>'Product info'!#REF!</f>
        <v>#REF!</v>
      </c>
      <c r="G546" s="50" t="e">
        <f>'Product info'!#REF!</f>
        <v>#REF!</v>
      </c>
      <c r="H546" s="50" t="e">
        <f>'Product info'!#REF!</f>
        <v>#REF!</v>
      </c>
      <c r="I546" s="50" t="e">
        <f>'Product info'!#REF!</f>
        <v>#REF!</v>
      </c>
      <c r="J546" s="51" t="e">
        <f>'Product info'!#REF!</f>
        <v>#REF!</v>
      </c>
      <c r="K546" s="52" t="e">
        <f t="shared" si="107"/>
        <v>#REF!</v>
      </c>
      <c r="L546" s="50" t="e">
        <f t="shared" si="108"/>
        <v>#REF!</v>
      </c>
      <c r="M546" s="50" t="e">
        <f t="shared" si="109"/>
        <v>#REF!</v>
      </c>
      <c r="N546" s="50" t="e">
        <f t="shared" si="110"/>
        <v>#REF!</v>
      </c>
      <c r="O546" s="50" t="e">
        <f t="shared" si="111"/>
        <v>#REF!</v>
      </c>
      <c r="P546" s="53" t="e">
        <f t="shared" si="112"/>
        <v>#REF!</v>
      </c>
      <c r="Q546" s="54" t="e">
        <f>'Product info'!#REF!</f>
        <v>#REF!</v>
      </c>
      <c r="R546" s="54" t="e">
        <f>'Product info'!#REF!</f>
        <v>#REF!</v>
      </c>
      <c r="S546" s="54" t="e">
        <f>'Product info'!#REF!</f>
        <v>#REF!</v>
      </c>
      <c r="T546" s="50" t="e">
        <f>'Product info'!#REF!</f>
        <v>#REF!</v>
      </c>
      <c r="U546" s="52" t="e">
        <f t="shared" si="113"/>
        <v>#REF!</v>
      </c>
      <c r="V546" s="50" t="e">
        <f t="shared" si="114"/>
        <v>#REF!</v>
      </c>
      <c r="W546" s="50" t="e">
        <f t="shared" si="115"/>
        <v>#REF!</v>
      </c>
      <c r="X546" s="50" t="e">
        <f t="shared" si="116"/>
        <v>#REF!</v>
      </c>
      <c r="Y546" s="50" t="e">
        <f t="shared" si="117"/>
        <v>#REF!</v>
      </c>
      <c r="Z546" t="e">
        <f t="shared" si="118"/>
        <v>#REF!</v>
      </c>
    </row>
    <row r="547" spans="1:26" x14ac:dyDescent="0.4">
      <c r="A547" t="e">
        <f>'Product info'!#REF!</f>
        <v>#REF!</v>
      </c>
      <c r="B547" t="e">
        <f>'Product info'!#REF!</f>
        <v>#REF!</v>
      </c>
      <c r="C547" t="e">
        <f>'Product info'!#REF!</f>
        <v>#REF!</v>
      </c>
      <c r="D547" s="6" t="e">
        <f>'Product info'!#REF!</f>
        <v>#REF!</v>
      </c>
      <c r="E547" t="e">
        <f t="shared" si="106"/>
        <v>#REF!</v>
      </c>
      <c r="F547" s="50" t="e">
        <f>'Product info'!#REF!</f>
        <v>#REF!</v>
      </c>
      <c r="G547" s="50" t="e">
        <f>'Product info'!#REF!</f>
        <v>#REF!</v>
      </c>
      <c r="H547" s="50" t="e">
        <f>'Product info'!#REF!</f>
        <v>#REF!</v>
      </c>
      <c r="I547" s="50" t="e">
        <f>'Product info'!#REF!</f>
        <v>#REF!</v>
      </c>
      <c r="J547" s="51" t="e">
        <f>'Product info'!#REF!</f>
        <v>#REF!</v>
      </c>
      <c r="K547" s="52" t="e">
        <f t="shared" si="107"/>
        <v>#REF!</v>
      </c>
      <c r="L547" s="50" t="e">
        <f t="shared" si="108"/>
        <v>#REF!</v>
      </c>
      <c r="M547" s="50" t="e">
        <f t="shared" si="109"/>
        <v>#REF!</v>
      </c>
      <c r="N547" s="50" t="e">
        <f t="shared" si="110"/>
        <v>#REF!</v>
      </c>
      <c r="O547" s="50" t="e">
        <f t="shared" si="111"/>
        <v>#REF!</v>
      </c>
      <c r="P547" s="53" t="e">
        <f t="shared" si="112"/>
        <v>#REF!</v>
      </c>
      <c r="Q547" s="54" t="e">
        <f>'Product info'!#REF!</f>
        <v>#REF!</v>
      </c>
      <c r="R547" s="54" t="e">
        <f>'Product info'!#REF!</f>
        <v>#REF!</v>
      </c>
      <c r="S547" s="54" t="e">
        <f>'Product info'!#REF!</f>
        <v>#REF!</v>
      </c>
      <c r="T547" s="50" t="e">
        <f>'Product info'!#REF!</f>
        <v>#REF!</v>
      </c>
      <c r="U547" s="52" t="e">
        <f t="shared" si="113"/>
        <v>#REF!</v>
      </c>
      <c r="V547" s="50" t="e">
        <f t="shared" si="114"/>
        <v>#REF!</v>
      </c>
      <c r="W547" s="50" t="e">
        <f t="shared" si="115"/>
        <v>#REF!</v>
      </c>
      <c r="X547" s="50" t="e">
        <f t="shared" si="116"/>
        <v>#REF!</v>
      </c>
      <c r="Y547" s="50" t="e">
        <f t="shared" si="117"/>
        <v>#REF!</v>
      </c>
      <c r="Z547" t="e">
        <f t="shared" si="118"/>
        <v>#REF!</v>
      </c>
    </row>
    <row r="548" spans="1:26" x14ac:dyDescent="0.4">
      <c r="A548" t="e">
        <f>'Product info'!#REF!</f>
        <v>#REF!</v>
      </c>
      <c r="B548" t="e">
        <f>'Product info'!#REF!</f>
        <v>#REF!</v>
      </c>
      <c r="C548" t="e">
        <f>'Product info'!#REF!</f>
        <v>#REF!</v>
      </c>
      <c r="D548" s="6" t="e">
        <f>'Product info'!#REF!</f>
        <v>#REF!</v>
      </c>
      <c r="E548" t="e">
        <f t="shared" si="106"/>
        <v>#REF!</v>
      </c>
      <c r="F548" s="50" t="e">
        <f>'Product info'!#REF!</f>
        <v>#REF!</v>
      </c>
      <c r="G548" s="50" t="e">
        <f>'Product info'!#REF!</f>
        <v>#REF!</v>
      </c>
      <c r="H548" s="50" t="e">
        <f>'Product info'!#REF!</f>
        <v>#REF!</v>
      </c>
      <c r="I548" s="50" t="e">
        <f>'Product info'!#REF!</f>
        <v>#REF!</v>
      </c>
      <c r="J548" s="51" t="e">
        <f>'Product info'!#REF!</f>
        <v>#REF!</v>
      </c>
      <c r="K548" s="52" t="e">
        <f t="shared" si="107"/>
        <v>#REF!</v>
      </c>
      <c r="L548" s="50" t="e">
        <f t="shared" si="108"/>
        <v>#REF!</v>
      </c>
      <c r="M548" s="50" t="e">
        <f t="shared" si="109"/>
        <v>#REF!</v>
      </c>
      <c r="N548" s="50" t="e">
        <f t="shared" si="110"/>
        <v>#REF!</v>
      </c>
      <c r="O548" s="50" t="e">
        <f t="shared" si="111"/>
        <v>#REF!</v>
      </c>
      <c r="P548" s="53" t="e">
        <f t="shared" si="112"/>
        <v>#REF!</v>
      </c>
      <c r="Q548" s="54" t="e">
        <f>'Product info'!#REF!</f>
        <v>#REF!</v>
      </c>
      <c r="R548" s="54" t="e">
        <f>'Product info'!#REF!</f>
        <v>#REF!</v>
      </c>
      <c r="S548" s="54" t="e">
        <f>'Product info'!#REF!</f>
        <v>#REF!</v>
      </c>
      <c r="T548" s="50" t="e">
        <f>'Product info'!#REF!</f>
        <v>#REF!</v>
      </c>
      <c r="U548" s="52" t="e">
        <f t="shared" si="113"/>
        <v>#REF!</v>
      </c>
      <c r="V548" s="50" t="e">
        <f t="shared" si="114"/>
        <v>#REF!</v>
      </c>
      <c r="W548" s="50" t="e">
        <f t="shared" si="115"/>
        <v>#REF!</v>
      </c>
      <c r="X548" s="50" t="e">
        <f t="shared" si="116"/>
        <v>#REF!</v>
      </c>
      <c r="Y548" s="50" t="e">
        <f t="shared" si="117"/>
        <v>#REF!</v>
      </c>
      <c r="Z548" t="e">
        <f t="shared" si="118"/>
        <v>#REF!</v>
      </c>
    </row>
    <row r="549" spans="1:26" x14ac:dyDescent="0.4">
      <c r="A549" t="e">
        <f>'Product info'!#REF!</f>
        <v>#REF!</v>
      </c>
      <c r="B549" t="e">
        <f>'Product info'!#REF!</f>
        <v>#REF!</v>
      </c>
      <c r="C549" t="e">
        <f>'Product info'!#REF!</f>
        <v>#REF!</v>
      </c>
      <c r="D549" s="6" t="e">
        <f>'Product info'!#REF!</f>
        <v>#REF!</v>
      </c>
      <c r="E549" t="e">
        <f t="shared" si="106"/>
        <v>#REF!</v>
      </c>
      <c r="F549" s="50" t="e">
        <f>'Product info'!#REF!</f>
        <v>#REF!</v>
      </c>
      <c r="G549" s="50" t="e">
        <f>'Product info'!#REF!</f>
        <v>#REF!</v>
      </c>
      <c r="H549" s="50" t="e">
        <f>'Product info'!#REF!</f>
        <v>#REF!</v>
      </c>
      <c r="I549" s="50" t="e">
        <f>'Product info'!#REF!</f>
        <v>#REF!</v>
      </c>
      <c r="J549" s="51" t="e">
        <f>'Product info'!#REF!</f>
        <v>#REF!</v>
      </c>
      <c r="K549" s="52" t="e">
        <f t="shared" si="107"/>
        <v>#REF!</v>
      </c>
      <c r="L549" s="50" t="e">
        <f t="shared" si="108"/>
        <v>#REF!</v>
      </c>
      <c r="M549" s="50" t="e">
        <f t="shared" si="109"/>
        <v>#REF!</v>
      </c>
      <c r="N549" s="50" t="e">
        <f t="shared" si="110"/>
        <v>#REF!</v>
      </c>
      <c r="O549" s="50" t="e">
        <f t="shared" si="111"/>
        <v>#REF!</v>
      </c>
      <c r="P549" s="53" t="e">
        <f t="shared" si="112"/>
        <v>#REF!</v>
      </c>
      <c r="Q549" s="54" t="e">
        <f>'Product info'!#REF!</f>
        <v>#REF!</v>
      </c>
      <c r="R549" s="54" t="e">
        <f>'Product info'!#REF!</f>
        <v>#REF!</v>
      </c>
      <c r="S549" s="54" t="e">
        <f>'Product info'!#REF!</f>
        <v>#REF!</v>
      </c>
      <c r="T549" s="50" t="e">
        <f>'Product info'!#REF!</f>
        <v>#REF!</v>
      </c>
      <c r="U549" s="52" t="e">
        <f t="shared" si="113"/>
        <v>#REF!</v>
      </c>
      <c r="V549" s="50" t="e">
        <f t="shared" si="114"/>
        <v>#REF!</v>
      </c>
      <c r="W549" s="50" t="e">
        <f t="shared" si="115"/>
        <v>#REF!</v>
      </c>
      <c r="X549" s="50" t="e">
        <f t="shared" si="116"/>
        <v>#REF!</v>
      </c>
      <c r="Y549" s="50" t="e">
        <f t="shared" si="117"/>
        <v>#REF!</v>
      </c>
      <c r="Z549" t="e">
        <f t="shared" si="118"/>
        <v>#REF!</v>
      </c>
    </row>
    <row r="550" spans="1:26" x14ac:dyDescent="0.4">
      <c r="A550" t="e">
        <f>'Product info'!#REF!</f>
        <v>#REF!</v>
      </c>
      <c r="B550" t="e">
        <f>'Product info'!#REF!</f>
        <v>#REF!</v>
      </c>
      <c r="C550" t="e">
        <f>'Product info'!#REF!</f>
        <v>#REF!</v>
      </c>
      <c r="D550" s="6" t="e">
        <f>'Product info'!#REF!</f>
        <v>#REF!</v>
      </c>
      <c r="E550" t="e">
        <f t="shared" si="106"/>
        <v>#REF!</v>
      </c>
      <c r="F550" s="50" t="e">
        <f>'Product info'!#REF!</f>
        <v>#REF!</v>
      </c>
      <c r="G550" s="50" t="e">
        <f>'Product info'!#REF!</f>
        <v>#REF!</v>
      </c>
      <c r="H550" s="50" t="e">
        <f>'Product info'!#REF!</f>
        <v>#REF!</v>
      </c>
      <c r="I550" s="50" t="e">
        <f>'Product info'!#REF!</f>
        <v>#REF!</v>
      </c>
      <c r="J550" s="51" t="e">
        <f>'Product info'!#REF!</f>
        <v>#REF!</v>
      </c>
      <c r="K550" s="52" t="e">
        <f t="shared" si="107"/>
        <v>#REF!</v>
      </c>
      <c r="L550" s="50" t="e">
        <f t="shared" si="108"/>
        <v>#REF!</v>
      </c>
      <c r="M550" s="50" t="e">
        <f t="shared" si="109"/>
        <v>#REF!</v>
      </c>
      <c r="N550" s="50" t="e">
        <f t="shared" si="110"/>
        <v>#REF!</v>
      </c>
      <c r="O550" s="50" t="e">
        <f t="shared" si="111"/>
        <v>#REF!</v>
      </c>
      <c r="P550" s="53" t="e">
        <f t="shared" si="112"/>
        <v>#REF!</v>
      </c>
      <c r="Q550" s="54" t="e">
        <f>'Product info'!#REF!</f>
        <v>#REF!</v>
      </c>
      <c r="R550" s="54" t="e">
        <f>'Product info'!#REF!</f>
        <v>#REF!</v>
      </c>
      <c r="S550" s="54" t="e">
        <f>'Product info'!#REF!</f>
        <v>#REF!</v>
      </c>
      <c r="T550" s="50" t="e">
        <f>'Product info'!#REF!</f>
        <v>#REF!</v>
      </c>
      <c r="U550" s="52" t="e">
        <f t="shared" si="113"/>
        <v>#REF!</v>
      </c>
      <c r="V550" s="50" t="e">
        <f t="shared" si="114"/>
        <v>#REF!</v>
      </c>
      <c r="W550" s="50" t="e">
        <f t="shared" si="115"/>
        <v>#REF!</v>
      </c>
      <c r="X550" s="50" t="e">
        <f t="shared" si="116"/>
        <v>#REF!</v>
      </c>
      <c r="Y550" s="50" t="e">
        <f t="shared" si="117"/>
        <v>#REF!</v>
      </c>
      <c r="Z550" t="e">
        <f t="shared" si="118"/>
        <v>#REF!</v>
      </c>
    </row>
    <row r="551" spans="1:26" x14ac:dyDescent="0.4">
      <c r="A551" t="e">
        <f>'Product info'!#REF!</f>
        <v>#REF!</v>
      </c>
      <c r="B551" t="e">
        <f>'Product info'!#REF!</f>
        <v>#REF!</v>
      </c>
      <c r="C551" t="e">
        <f>'Product info'!#REF!</f>
        <v>#REF!</v>
      </c>
      <c r="D551" s="6" t="e">
        <f>'Product info'!#REF!</f>
        <v>#REF!</v>
      </c>
      <c r="E551" t="e">
        <f t="shared" si="106"/>
        <v>#REF!</v>
      </c>
      <c r="F551" s="50" t="e">
        <f>'Product info'!#REF!</f>
        <v>#REF!</v>
      </c>
      <c r="G551" s="50" t="e">
        <f>'Product info'!#REF!</f>
        <v>#REF!</v>
      </c>
      <c r="H551" s="50" t="e">
        <f>'Product info'!#REF!</f>
        <v>#REF!</v>
      </c>
      <c r="I551" s="50" t="e">
        <f>'Product info'!#REF!</f>
        <v>#REF!</v>
      </c>
      <c r="J551" s="51" t="e">
        <f>'Product info'!#REF!</f>
        <v>#REF!</v>
      </c>
      <c r="K551" s="52" t="e">
        <f t="shared" si="107"/>
        <v>#REF!</v>
      </c>
      <c r="L551" s="50" t="e">
        <f t="shared" si="108"/>
        <v>#REF!</v>
      </c>
      <c r="M551" s="50" t="e">
        <f t="shared" si="109"/>
        <v>#REF!</v>
      </c>
      <c r="N551" s="50" t="e">
        <f t="shared" si="110"/>
        <v>#REF!</v>
      </c>
      <c r="O551" s="50" t="e">
        <f t="shared" si="111"/>
        <v>#REF!</v>
      </c>
      <c r="P551" s="53" t="e">
        <f t="shared" si="112"/>
        <v>#REF!</v>
      </c>
      <c r="Q551" s="54" t="e">
        <f>'Product info'!#REF!</f>
        <v>#REF!</v>
      </c>
      <c r="R551" s="54" t="e">
        <f>'Product info'!#REF!</f>
        <v>#REF!</v>
      </c>
      <c r="S551" s="54" t="e">
        <f>'Product info'!#REF!</f>
        <v>#REF!</v>
      </c>
      <c r="T551" s="50" t="e">
        <f>'Product info'!#REF!</f>
        <v>#REF!</v>
      </c>
      <c r="U551" s="52" t="e">
        <f t="shared" si="113"/>
        <v>#REF!</v>
      </c>
      <c r="V551" s="50" t="e">
        <f t="shared" si="114"/>
        <v>#REF!</v>
      </c>
      <c r="W551" s="50" t="e">
        <f t="shared" si="115"/>
        <v>#REF!</v>
      </c>
      <c r="X551" s="50" t="e">
        <f t="shared" si="116"/>
        <v>#REF!</v>
      </c>
      <c r="Y551" s="50" t="e">
        <f t="shared" si="117"/>
        <v>#REF!</v>
      </c>
      <c r="Z551" t="e">
        <f t="shared" si="118"/>
        <v>#REF!</v>
      </c>
    </row>
    <row r="552" spans="1:26" x14ac:dyDescent="0.4">
      <c r="A552" t="e">
        <f>'Product info'!#REF!</f>
        <v>#REF!</v>
      </c>
      <c r="B552" t="e">
        <f>'Product info'!#REF!</f>
        <v>#REF!</v>
      </c>
      <c r="C552" t="e">
        <f>'Product info'!#REF!</f>
        <v>#REF!</v>
      </c>
      <c r="D552" s="6" t="e">
        <f>'Product info'!#REF!</f>
        <v>#REF!</v>
      </c>
      <c r="E552" t="e">
        <f t="shared" si="106"/>
        <v>#REF!</v>
      </c>
      <c r="F552" s="50" t="e">
        <f>'Product info'!#REF!</f>
        <v>#REF!</v>
      </c>
      <c r="G552" s="50" t="e">
        <f>'Product info'!#REF!</f>
        <v>#REF!</v>
      </c>
      <c r="H552" s="50" t="e">
        <f>'Product info'!#REF!</f>
        <v>#REF!</v>
      </c>
      <c r="I552" s="50" t="e">
        <f>'Product info'!#REF!</f>
        <v>#REF!</v>
      </c>
      <c r="J552" s="51" t="e">
        <f>'Product info'!#REF!</f>
        <v>#REF!</v>
      </c>
      <c r="K552" s="52" t="e">
        <f t="shared" si="107"/>
        <v>#REF!</v>
      </c>
      <c r="L552" s="50" t="e">
        <f t="shared" si="108"/>
        <v>#REF!</v>
      </c>
      <c r="M552" s="50" t="e">
        <f t="shared" si="109"/>
        <v>#REF!</v>
      </c>
      <c r="N552" s="50" t="e">
        <f t="shared" si="110"/>
        <v>#REF!</v>
      </c>
      <c r="O552" s="50" t="e">
        <f t="shared" si="111"/>
        <v>#REF!</v>
      </c>
      <c r="P552" s="53" t="e">
        <f t="shared" si="112"/>
        <v>#REF!</v>
      </c>
      <c r="Q552" s="54" t="e">
        <f>'Product info'!#REF!</f>
        <v>#REF!</v>
      </c>
      <c r="R552" s="54" t="e">
        <f>'Product info'!#REF!</f>
        <v>#REF!</v>
      </c>
      <c r="S552" s="54" t="e">
        <f>'Product info'!#REF!</f>
        <v>#REF!</v>
      </c>
      <c r="T552" s="50" t="e">
        <f>'Product info'!#REF!</f>
        <v>#REF!</v>
      </c>
      <c r="U552" s="52" t="e">
        <f t="shared" si="113"/>
        <v>#REF!</v>
      </c>
      <c r="V552" s="50" t="e">
        <f t="shared" si="114"/>
        <v>#REF!</v>
      </c>
      <c r="W552" s="50" t="e">
        <f t="shared" si="115"/>
        <v>#REF!</v>
      </c>
      <c r="X552" s="50" t="e">
        <f t="shared" si="116"/>
        <v>#REF!</v>
      </c>
      <c r="Y552" s="50" t="e">
        <f t="shared" si="117"/>
        <v>#REF!</v>
      </c>
      <c r="Z552" t="e">
        <f t="shared" si="118"/>
        <v>#REF!</v>
      </c>
    </row>
    <row r="553" spans="1:26" x14ac:dyDescent="0.4">
      <c r="A553" t="e">
        <f>'Product info'!#REF!</f>
        <v>#REF!</v>
      </c>
      <c r="B553" t="e">
        <f>'Product info'!#REF!</f>
        <v>#REF!</v>
      </c>
      <c r="C553" t="e">
        <f>'Product info'!#REF!</f>
        <v>#REF!</v>
      </c>
      <c r="D553" s="6" t="e">
        <f>'Product info'!#REF!</f>
        <v>#REF!</v>
      </c>
      <c r="E553" t="e">
        <f t="shared" si="106"/>
        <v>#REF!</v>
      </c>
      <c r="F553" s="50" t="e">
        <f>'Product info'!#REF!</f>
        <v>#REF!</v>
      </c>
      <c r="G553" s="50" t="e">
        <f>'Product info'!#REF!</f>
        <v>#REF!</v>
      </c>
      <c r="H553" s="50" t="e">
        <f>'Product info'!#REF!</f>
        <v>#REF!</v>
      </c>
      <c r="I553" s="50" t="e">
        <f>'Product info'!#REF!</f>
        <v>#REF!</v>
      </c>
      <c r="J553" s="51" t="e">
        <f>'Product info'!#REF!</f>
        <v>#REF!</v>
      </c>
      <c r="K553" s="52" t="e">
        <f t="shared" si="107"/>
        <v>#REF!</v>
      </c>
      <c r="L553" s="50" t="e">
        <f t="shared" si="108"/>
        <v>#REF!</v>
      </c>
      <c r="M553" s="50" t="e">
        <f t="shared" si="109"/>
        <v>#REF!</v>
      </c>
      <c r="N553" s="50" t="e">
        <f t="shared" si="110"/>
        <v>#REF!</v>
      </c>
      <c r="O553" s="50" t="e">
        <f t="shared" si="111"/>
        <v>#REF!</v>
      </c>
      <c r="P553" s="53" t="e">
        <f t="shared" si="112"/>
        <v>#REF!</v>
      </c>
      <c r="Q553" s="54" t="e">
        <f>'Product info'!#REF!</f>
        <v>#REF!</v>
      </c>
      <c r="R553" s="54" t="e">
        <f>'Product info'!#REF!</f>
        <v>#REF!</v>
      </c>
      <c r="S553" s="54" t="e">
        <f>'Product info'!#REF!</f>
        <v>#REF!</v>
      </c>
      <c r="T553" s="50" t="e">
        <f>'Product info'!#REF!</f>
        <v>#REF!</v>
      </c>
      <c r="U553" s="52" t="e">
        <f t="shared" si="113"/>
        <v>#REF!</v>
      </c>
      <c r="V553" s="50" t="e">
        <f t="shared" si="114"/>
        <v>#REF!</v>
      </c>
      <c r="W553" s="50" t="e">
        <f t="shared" si="115"/>
        <v>#REF!</v>
      </c>
      <c r="X553" s="50" t="e">
        <f t="shared" si="116"/>
        <v>#REF!</v>
      </c>
      <c r="Y553" s="50" t="e">
        <f t="shared" si="117"/>
        <v>#REF!</v>
      </c>
      <c r="Z553" t="e">
        <f t="shared" si="118"/>
        <v>#REF!</v>
      </c>
    </row>
    <row r="554" spans="1:26" x14ac:dyDescent="0.4">
      <c r="A554" t="e">
        <f>'Product info'!#REF!</f>
        <v>#REF!</v>
      </c>
      <c r="B554" t="e">
        <f>'Product info'!#REF!</f>
        <v>#REF!</v>
      </c>
      <c r="C554" t="e">
        <f>'Product info'!#REF!</f>
        <v>#REF!</v>
      </c>
      <c r="D554" s="6" t="e">
        <f>'Product info'!#REF!</f>
        <v>#REF!</v>
      </c>
      <c r="E554" t="e">
        <f t="shared" si="106"/>
        <v>#REF!</v>
      </c>
      <c r="F554" s="50" t="e">
        <f>'Product info'!#REF!</f>
        <v>#REF!</v>
      </c>
      <c r="G554" s="50" t="e">
        <f>'Product info'!#REF!</f>
        <v>#REF!</v>
      </c>
      <c r="H554" s="50" t="e">
        <f>'Product info'!#REF!</f>
        <v>#REF!</v>
      </c>
      <c r="I554" s="50" t="e">
        <f>'Product info'!#REF!</f>
        <v>#REF!</v>
      </c>
      <c r="J554" s="51" t="e">
        <f>'Product info'!#REF!</f>
        <v>#REF!</v>
      </c>
      <c r="K554" s="52" t="e">
        <f t="shared" si="107"/>
        <v>#REF!</v>
      </c>
      <c r="L554" s="50" t="e">
        <f t="shared" si="108"/>
        <v>#REF!</v>
      </c>
      <c r="M554" s="50" t="e">
        <f t="shared" si="109"/>
        <v>#REF!</v>
      </c>
      <c r="N554" s="50" t="e">
        <f t="shared" si="110"/>
        <v>#REF!</v>
      </c>
      <c r="O554" s="50" t="e">
        <f t="shared" si="111"/>
        <v>#REF!</v>
      </c>
      <c r="P554" s="53" t="e">
        <f t="shared" si="112"/>
        <v>#REF!</v>
      </c>
      <c r="Q554" s="54" t="e">
        <f>'Product info'!#REF!</f>
        <v>#REF!</v>
      </c>
      <c r="R554" s="54" t="e">
        <f>'Product info'!#REF!</f>
        <v>#REF!</v>
      </c>
      <c r="S554" s="54" t="e">
        <f>'Product info'!#REF!</f>
        <v>#REF!</v>
      </c>
      <c r="T554" s="50" t="e">
        <f>'Product info'!#REF!</f>
        <v>#REF!</v>
      </c>
      <c r="U554" s="52" t="e">
        <f t="shared" si="113"/>
        <v>#REF!</v>
      </c>
      <c r="V554" s="50" t="e">
        <f t="shared" si="114"/>
        <v>#REF!</v>
      </c>
      <c r="W554" s="50" t="e">
        <f t="shared" si="115"/>
        <v>#REF!</v>
      </c>
      <c r="X554" s="50" t="e">
        <f t="shared" si="116"/>
        <v>#REF!</v>
      </c>
      <c r="Y554" s="50" t="e">
        <f t="shared" si="117"/>
        <v>#REF!</v>
      </c>
      <c r="Z554" t="e">
        <f t="shared" si="118"/>
        <v>#REF!</v>
      </c>
    </row>
    <row r="555" spans="1:26" x14ac:dyDescent="0.4">
      <c r="A555" t="e">
        <f>'Product info'!#REF!</f>
        <v>#REF!</v>
      </c>
      <c r="B555" t="e">
        <f>'Product info'!#REF!</f>
        <v>#REF!</v>
      </c>
      <c r="C555" t="e">
        <f>'Product info'!#REF!</f>
        <v>#REF!</v>
      </c>
      <c r="D555" s="6" t="e">
        <f>'Product info'!#REF!</f>
        <v>#REF!</v>
      </c>
      <c r="E555" t="e">
        <f t="shared" si="106"/>
        <v>#REF!</v>
      </c>
      <c r="F555" s="50" t="e">
        <f>'Product info'!#REF!</f>
        <v>#REF!</v>
      </c>
      <c r="G555" s="50" t="e">
        <f>'Product info'!#REF!</f>
        <v>#REF!</v>
      </c>
      <c r="H555" s="50" t="e">
        <f>'Product info'!#REF!</f>
        <v>#REF!</v>
      </c>
      <c r="I555" s="50" t="e">
        <f>'Product info'!#REF!</f>
        <v>#REF!</v>
      </c>
      <c r="J555" s="51" t="e">
        <f>'Product info'!#REF!</f>
        <v>#REF!</v>
      </c>
      <c r="K555" s="52" t="e">
        <f t="shared" si="107"/>
        <v>#REF!</v>
      </c>
      <c r="L555" s="50" t="e">
        <f t="shared" si="108"/>
        <v>#REF!</v>
      </c>
      <c r="M555" s="50" t="e">
        <f t="shared" si="109"/>
        <v>#REF!</v>
      </c>
      <c r="N555" s="50" t="e">
        <f t="shared" si="110"/>
        <v>#REF!</v>
      </c>
      <c r="O555" s="50" t="e">
        <f t="shared" si="111"/>
        <v>#REF!</v>
      </c>
      <c r="P555" s="53" t="e">
        <f t="shared" si="112"/>
        <v>#REF!</v>
      </c>
      <c r="Q555" s="54" t="e">
        <f>'Product info'!#REF!</f>
        <v>#REF!</v>
      </c>
      <c r="R555" s="54" t="e">
        <f>'Product info'!#REF!</f>
        <v>#REF!</v>
      </c>
      <c r="S555" s="54" t="e">
        <f>'Product info'!#REF!</f>
        <v>#REF!</v>
      </c>
      <c r="T555" s="50" t="e">
        <f>'Product info'!#REF!</f>
        <v>#REF!</v>
      </c>
      <c r="U555" s="52" t="e">
        <f t="shared" si="113"/>
        <v>#REF!</v>
      </c>
      <c r="V555" s="50" t="e">
        <f t="shared" si="114"/>
        <v>#REF!</v>
      </c>
      <c r="W555" s="50" t="e">
        <f t="shared" si="115"/>
        <v>#REF!</v>
      </c>
      <c r="X555" s="50" t="e">
        <f t="shared" si="116"/>
        <v>#REF!</v>
      </c>
      <c r="Y555" s="50" t="e">
        <f t="shared" si="117"/>
        <v>#REF!</v>
      </c>
      <c r="Z555" t="e">
        <f t="shared" si="118"/>
        <v>#REF!</v>
      </c>
    </row>
    <row r="556" spans="1:26" x14ac:dyDescent="0.4">
      <c r="A556" t="e">
        <f>'Product info'!#REF!</f>
        <v>#REF!</v>
      </c>
      <c r="B556" t="e">
        <f>'Product info'!#REF!</f>
        <v>#REF!</v>
      </c>
      <c r="C556" t="e">
        <f>'Product info'!#REF!</f>
        <v>#REF!</v>
      </c>
      <c r="D556" s="6" t="e">
        <f>'Product info'!#REF!</f>
        <v>#REF!</v>
      </c>
      <c r="E556" t="e">
        <f t="shared" si="106"/>
        <v>#REF!</v>
      </c>
      <c r="F556" s="50" t="e">
        <f>'Product info'!#REF!</f>
        <v>#REF!</v>
      </c>
      <c r="G556" s="50" t="e">
        <f>'Product info'!#REF!</f>
        <v>#REF!</v>
      </c>
      <c r="H556" s="50" t="e">
        <f>'Product info'!#REF!</f>
        <v>#REF!</v>
      </c>
      <c r="I556" s="50" t="e">
        <f>'Product info'!#REF!</f>
        <v>#REF!</v>
      </c>
      <c r="J556" s="51" t="e">
        <f>'Product info'!#REF!</f>
        <v>#REF!</v>
      </c>
      <c r="K556" s="52" t="e">
        <f t="shared" si="107"/>
        <v>#REF!</v>
      </c>
      <c r="L556" s="50" t="e">
        <f t="shared" si="108"/>
        <v>#REF!</v>
      </c>
      <c r="M556" s="50" t="e">
        <f t="shared" si="109"/>
        <v>#REF!</v>
      </c>
      <c r="N556" s="50" t="e">
        <f t="shared" si="110"/>
        <v>#REF!</v>
      </c>
      <c r="O556" s="50" t="e">
        <f t="shared" si="111"/>
        <v>#REF!</v>
      </c>
      <c r="P556" s="53" t="e">
        <f t="shared" si="112"/>
        <v>#REF!</v>
      </c>
      <c r="Q556" s="54" t="e">
        <f>'Product info'!#REF!</f>
        <v>#REF!</v>
      </c>
      <c r="R556" s="54" t="e">
        <f>'Product info'!#REF!</f>
        <v>#REF!</v>
      </c>
      <c r="S556" s="54" t="e">
        <f>'Product info'!#REF!</f>
        <v>#REF!</v>
      </c>
      <c r="T556" s="50" t="e">
        <f>'Product info'!#REF!</f>
        <v>#REF!</v>
      </c>
      <c r="U556" s="52" t="e">
        <f t="shared" si="113"/>
        <v>#REF!</v>
      </c>
      <c r="V556" s="50" t="e">
        <f t="shared" si="114"/>
        <v>#REF!</v>
      </c>
      <c r="W556" s="50" t="e">
        <f t="shared" si="115"/>
        <v>#REF!</v>
      </c>
      <c r="X556" s="50" t="e">
        <f t="shared" si="116"/>
        <v>#REF!</v>
      </c>
      <c r="Y556" s="50" t="e">
        <f t="shared" si="117"/>
        <v>#REF!</v>
      </c>
      <c r="Z556" t="e">
        <f t="shared" si="118"/>
        <v>#REF!</v>
      </c>
    </row>
    <row r="557" spans="1:26" x14ac:dyDescent="0.4">
      <c r="A557" t="e">
        <f>'Product info'!#REF!</f>
        <v>#REF!</v>
      </c>
      <c r="B557" t="e">
        <f>'Product info'!#REF!</f>
        <v>#REF!</v>
      </c>
      <c r="C557" t="e">
        <f>'Product info'!#REF!</f>
        <v>#REF!</v>
      </c>
      <c r="D557" s="6" t="e">
        <f>'Product info'!#REF!</f>
        <v>#REF!</v>
      </c>
      <c r="E557" t="e">
        <f t="shared" si="106"/>
        <v>#REF!</v>
      </c>
      <c r="F557" s="50" t="e">
        <f>'Product info'!#REF!</f>
        <v>#REF!</v>
      </c>
      <c r="G557" s="50" t="e">
        <f>'Product info'!#REF!</f>
        <v>#REF!</v>
      </c>
      <c r="H557" s="50" t="e">
        <f>'Product info'!#REF!</f>
        <v>#REF!</v>
      </c>
      <c r="I557" s="50" t="e">
        <f>'Product info'!#REF!</f>
        <v>#REF!</v>
      </c>
      <c r="J557" s="51" t="e">
        <f>'Product info'!#REF!</f>
        <v>#REF!</v>
      </c>
      <c r="K557" s="52" t="e">
        <f t="shared" si="107"/>
        <v>#REF!</v>
      </c>
      <c r="L557" s="50" t="e">
        <f t="shared" si="108"/>
        <v>#REF!</v>
      </c>
      <c r="M557" s="50" t="e">
        <f t="shared" si="109"/>
        <v>#REF!</v>
      </c>
      <c r="N557" s="50" t="e">
        <f t="shared" si="110"/>
        <v>#REF!</v>
      </c>
      <c r="O557" s="50" t="e">
        <f t="shared" si="111"/>
        <v>#REF!</v>
      </c>
      <c r="P557" s="53" t="e">
        <f t="shared" si="112"/>
        <v>#REF!</v>
      </c>
      <c r="Q557" s="54" t="e">
        <f>'Product info'!#REF!</f>
        <v>#REF!</v>
      </c>
      <c r="R557" s="54" t="e">
        <f>'Product info'!#REF!</f>
        <v>#REF!</v>
      </c>
      <c r="S557" s="54" t="e">
        <f>'Product info'!#REF!</f>
        <v>#REF!</v>
      </c>
      <c r="T557" s="50" t="e">
        <f>'Product info'!#REF!</f>
        <v>#REF!</v>
      </c>
      <c r="U557" s="52" t="e">
        <f t="shared" si="113"/>
        <v>#REF!</v>
      </c>
      <c r="V557" s="50" t="e">
        <f t="shared" si="114"/>
        <v>#REF!</v>
      </c>
      <c r="W557" s="50" t="e">
        <f t="shared" si="115"/>
        <v>#REF!</v>
      </c>
      <c r="X557" s="50" t="e">
        <f t="shared" si="116"/>
        <v>#REF!</v>
      </c>
      <c r="Y557" s="50" t="e">
        <f t="shared" si="117"/>
        <v>#REF!</v>
      </c>
      <c r="Z557" t="e">
        <f t="shared" si="118"/>
        <v>#REF!</v>
      </c>
    </row>
    <row r="558" spans="1:26" x14ac:dyDescent="0.4">
      <c r="A558" t="e">
        <f>'Product info'!#REF!</f>
        <v>#REF!</v>
      </c>
      <c r="B558" t="e">
        <f>'Product info'!#REF!</f>
        <v>#REF!</v>
      </c>
      <c r="C558" t="e">
        <f>'Product info'!#REF!</f>
        <v>#REF!</v>
      </c>
      <c r="D558" s="6" t="e">
        <f>'Product info'!#REF!</f>
        <v>#REF!</v>
      </c>
      <c r="E558" t="e">
        <f t="shared" si="106"/>
        <v>#REF!</v>
      </c>
      <c r="F558" s="50" t="e">
        <f>'Product info'!#REF!</f>
        <v>#REF!</v>
      </c>
      <c r="G558" s="50" t="e">
        <f>'Product info'!#REF!</f>
        <v>#REF!</v>
      </c>
      <c r="H558" s="50" t="e">
        <f>'Product info'!#REF!</f>
        <v>#REF!</v>
      </c>
      <c r="I558" s="50" t="e">
        <f>'Product info'!#REF!</f>
        <v>#REF!</v>
      </c>
      <c r="J558" s="51" t="e">
        <f>'Product info'!#REF!</f>
        <v>#REF!</v>
      </c>
      <c r="K558" s="52" t="e">
        <f t="shared" si="107"/>
        <v>#REF!</v>
      </c>
      <c r="L558" s="50" t="e">
        <f t="shared" si="108"/>
        <v>#REF!</v>
      </c>
      <c r="M558" s="50" t="e">
        <f t="shared" si="109"/>
        <v>#REF!</v>
      </c>
      <c r="N558" s="50" t="e">
        <f t="shared" si="110"/>
        <v>#REF!</v>
      </c>
      <c r="O558" s="50" t="e">
        <f t="shared" si="111"/>
        <v>#REF!</v>
      </c>
      <c r="P558" s="53" t="e">
        <f t="shared" si="112"/>
        <v>#REF!</v>
      </c>
      <c r="Q558" s="54" t="e">
        <f>'Product info'!#REF!</f>
        <v>#REF!</v>
      </c>
      <c r="R558" s="54" t="e">
        <f>'Product info'!#REF!</f>
        <v>#REF!</v>
      </c>
      <c r="S558" s="54" t="e">
        <f>'Product info'!#REF!</f>
        <v>#REF!</v>
      </c>
      <c r="T558" s="50" t="e">
        <f>'Product info'!#REF!</f>
        <v>#REF!</v>
      </c>
      <c r="U558" s="52" t="e">
        <f t="shared" si="113"/>
        <v>#REF!</v>
      </c>
      <c r="V558" s="50" t="e">
        <f t="shared" si="114"/>
        <v>#REF!</v>
      </c>
      <c r="W558" s="50" t="e">
        <f t="shared" si="115"/>
        <v>#REF!</v>
      </c>
      <c r="X558" s="50" t="e">
        <f t="shared" si="116"/>
        <v>#REF!</v>
      </c>
      <c r="Y558" s="50" t="e">
        <f t="shared" si="117"/>
        <v>#REF!</v>
      </c>
      <c r="Z558" t="e">
        <f t="shared" si="118"/>
        <v>#REF!</v>
      </c>
    </row>
    <row r="559" spans="1:26" x14ac:dyDescent="0.4">
      <c r="A559" t="e">
        <f>'Product info'!#REF!</f>
        <v>#REF!</v>
      </c>
      <c r="B559" t="e">
        <f>'Product info'!#REF!</f>
        <v>#REF!</v>
      </c>
      <c r="C559" t="e">
        <f>'Product info'!#REF!</f>
        <v>#REF!</v>
      </c>
      <c r="D559" s="6" t="e">
        <f>'Product info'!#REF!</f>
        <v>#REF!</v>
      </c>
      <c r="E559" t="e">
        <f t="shared" si="106"/>
        <v>#REF!</v>
      </c>
      <c r="F559" s="50" t="e">
        <f>'Product info'!#REF!</f>
        <v>#REF!</v>
      </c>
      <c r="G559" s="50" t="e">
        <f>'Product info'!#REF!</f>
        <v>#REF!</v>
      </c>
      <c r="H559" s="50" t="e">
        <f>'Product info'!#REF!</f>
        <v>#REF!</v>
      </c>
      <c r="I559" s="50" t="e">
        <f>'Product info'!#REF!</f>
        <v>#REF!</v>
      </c>
      <c r="J559" s="51" t="e">
        <f>'Product info'!#REF!</f>
        <v>#REF!</v>
      </c>
      <c r="K559" s="52" t="e">
        <f t="shared" si="107"/>
        <v>#REF!</v>
      </c>
      <c r="L559" s="50" t="e">
        <f t="shared" si="108"/>
        <v>#REF!</v>
      </c>
      <c r="M559" s="50" t="e">
        <f t="shared" si="109"/>
        <v>#REF!</v>
      </c>
      <c r="N559" s="50" t="e">
        <f t="shared" si="110"/>
        <v>#REF!</v>
      </c>
      <c r="O559" s="50" t="e">
        <f t="shared" si="111"/>
        <v>#REF!</v>
      </c>
      <c r="P559" s="53" t="e">
        <f t="shared" si="112"/>
        <v>#REF!</v>
      </c>
      <c r="Q559" s="54" t="e">
        <f>'Product info'!#REF!</f>
        <v>#REF!</v>
      </c>
      <c r="R559" s="54" t="e">
        <f>'Product info'!#REF!</f>
        <v>#REF!</v>
      </c>
      <c r="S559" s="54" t="e">
        <f>'Product info'!#REF!</f>
        <v>#REF!</v>
      </c>
      <c r="T559" s="50" t="e">
        <f>'Product info'!#REF!</f>
        <v>#REF!</v>
      </c>
      <c r="U559" s="52" t="e">
        <f t="shared" si="113"/>
        <v>#REF!</v>
      </c>
      <c r="V559" s="50" t="e">
        <f t="shared" si="114"/>
        <v>#REF!</v>
      </c>
      <c r="W559" s="50" t="e">
        <f t="shared" si="115"/>
        <v>#REF!</v>
      </c>
      <c r="X559" s="50" t="e">
        <f t="shared" si="116"/>
        <v>#REF!</v>
      </c>
      <c r="Y559" s="50" t="e">
        <f t="shared" si="117"/>
        <v>#REF!</v>
      </c>
      <c r="Z559" t="e">
        <f t="shared" si="118"/>
        <v>#REF!</v>
      </c>
    </row>
    <row r="560" spans="1:26" x14ac:dyDescent="0.4">
      <c r="A560" t="e">
        <f>'Product info'!#REF!</f>
        <v>#REF!</v>
      </c>
      <c r="B560" t="e">
        <f>'Product info'!#REF!</f>
        <v>#REF!</v>
      </c>
      <c r="C560" t="e">
        <f>'Product info'!#REF!</f>
        <v>#REF!</v>
      </c>
      <c r="D560" s="6" t="e">
        <f>'Product info'!#REF!</f>
        <v>#REF!</v>
      </c>
      <c r="E560" t="e">
        <f t="shared" si="106"/>
        <v>#REF!</v>
      </c>
      <c r="F560" s="50" t="e">
        <f>'Product info'!#REF!</f>
        <v>#REF!</v>
      </c>
      <c r="G560" s="50" t="e">
        <f>'Product info'!#REF!</f>
        <v>#REF!</v>
      </c>
      <c r="H560" s="50" t="e">
        <f>'Product info'!#REF!</f>
        <v>#REF!</v>
      </c>
      <c r="I560" s="50" t="e">
        <f>'Product info'!#REF!</f>
        <v>#REF!</v>
      </c>
      <c r="J560" s="51" t="e">
        <f>'Product info'!#REF!</f>
        <v>#REF!</v>
      </c>
      <c r="K560" s="52" t="e">
        <f t="shared" si="107"/>
        <v>#REF!</v>
      </c>
      <c r="L560" s="50" t="e">
        <f t="shared" si="108"/>
        <v>#REF!</v>
      </c>
      <c r="M560" s="50" t="e">
        <f t="shared" si="109"/>
        <v>#REF!</v>
      </c>
      <c r="N560" s="50" t="e">
        <f t="shared" si="110"/>
        <v>#REF!</v>
      </c>
      <c r="O560" s="50" t="e">
        <f t="shared" si="111"/>
        <v>#REF!</v>
      </c>
      <c r="P560" s="53" t="e">
        <f t="shared" si="112"/>
        <v>#REF!</v>
      </c>
      <c r="Q560" s="54" t="e">
        <f>'Product info'!#REF!</f>
        <v>#REF!</v>
      </c>
      <c r="R560" s="54" t="e">
        <f>'Product info'!#REF!</f>
        <v>#REF!</v>
      </c>
      <c r="S560" s="54" t="e">
        <f>'Product info'!#REF!</f>
        <v>#REF!</v>
      </c>
      <c r="T560" s="50" t="e">
        <f>'Product info'!#REF!</f>
        <v>#REF!</v>
      </c>
      <c r="U560" s="52" t="e">
        <f t="shared" si="113"/>
        <v>#REF!</v>
      </c>
      <c r="V560" s="50" t="e">
        <f t="shared" si="114"/>
        <v>#REF!</v>
      </c>
      <c r="W560" s="50" t="e">
        <f t="shared" si="115"/>
        <v>#REF!</v>
      </c>
      <c r="X560" s="50" t="e">
        <f t="shared" si="116"/>
        <v>#REF!</v>
      </c>
      <c r="Y560" s="50" t="e">
        <f t="shared" si="117"/>
        <v>#REF!</v>
      </c>
      <c r="Z560" t="e">
        <f t="shared" si="118"/>
        <v>#REF!</v>
      </c>
    </row>
    <row r="561" spans="1:26" x14ac:dyDescent="0.4">
      <c r="A561" t="e">
        <f>'Product info'!#REF!</f>
        <v>#REF!</v>
      </c>
      <c r="B561" t="e">
        <f>'Product info'!#REF!</f>
        <v>#REF!</v>
      </c>
      <c r="C561" t="e">
        <f>'Product info'!#REF!</f>
        <v>#REF!</v>
      </c>
      <c r="D561" s="6" t="e">
        <f>'Product info'!#REF!</f>
        <v>#REF!</v>
      </c>
      <c r="E561" t="e">
        <f t="shared" si="106"/>
        <v>#REF!</v>
      </c>
      <c r="F561" s="50" t="e">
        <f>'Product info'!#REF!</f>
        <v>#REF!</v>
      </c>
      <c r="G561" s="50" t="e">
        <f>'Product info'!#REF!</f>
        <v>#REF!</v>
      </c>
      <c r="H561" s="50" t="e">
        <f>'Product info'!#REF!</f>
        <v>#REF!</v>
      </c>
      <c r="I561" s="50" t="e">
        <f>'Product info'!#REF!</f>
        <v>#REF!</v>
      </c>
      <c r="J561" s="51" t="e">
        <f>'Product info'!#REF!</f>
        <v>#REF!</v>
      </c>
      <c r="K561" s="52" t="e">
        <f t="shared" si="107"/>
        <v>#REF!</v>
      </c>
      <c r="L561" s="50" t="e">
        <f t="shared" si="108"/>
        <v>#REF!</v>
      </c>
      <c r="M561" s="50" t="e">
        <f t="shared" si="109"/>
        <v>#REF!</v>
      </c>
      <c r="N561" s="50" t="e">
        <f t="shared" si="110"/>
        <v>#REF!</v>
      </c>
      <c r="O561" s="50" t="e">
        <f t="shared" si="111"/>
        <v>#REF!</v>
      </c>
      <c r="P561" s="53" t="e">
        <f t="shared" si="112"/>
        <v>#REF!</v>
      </c>
      <c r="Q561" s="54" t="e">
        <f>'Product info'!#REF!</f>
        <v>#REF!</v>
      </c>
      <c r="R561" s="54" t="e">
        <f>'Product info'!#REF!</f>
        <v>#REF!</v>
      </c>
      <c r="S561" s="54" t="e">
        <f>'Product info'!#REF!</f>
        <v>#REF!</v>
      </c>
      <c r="T561" s="50" t="e">
        <f>'Product info'!#REF!</f>
        <v>#REF!</v>
      </c>
      <c r="U561" s="52" t="e">
        <f t="shared" si="113"/>
        <v>#REF!</v>
      </c>
      <c r="V561" s="50" t="e">
        <f t="shared" si="114"/>
        <v>#REF!</v>
      </c>
      <c r="W561" s="50" t="e">
        <f t="shared" si="115"/>
        <v>#REF!</v>
      </c>
      <c r="X561" s="50" t="e">
        <f t="shared" si="116"/>
        <v>#REF!</v>
      </c>
      <c r="Y561" s="50" t="e">
        <f t="shared" si="117"/>
        <v>#REF!</v>
      </c>
      <c r="Z561" t="e">
        <f t="shared" si="118"/>
        <v>#REF!</v>
      </c>
    </row>
    <row r="562" spans="1:26" x14ac:dyDescent="0.4">
      <c r="A562" t="e">
        <f>'Product info'!#REF!</f>
        <v>#REF!</v>
      </c>
      <c r="B562" t="e">
        <f>'Product info'!#REF!</f>
        <v>#REF!</v>
      </c>
      <c r="C562" t="e">
        <f>'Product info'!#REF!</f>
        <v>#REF!</v>
      </c>
      <c r="D562" s="6" t="e">
        <f>'Product info'!#REF!</f>
        <v>#REF!</v>
      </c>
      <c r="E562" t="e">
        <f t="shared" si="106"/>
        <v>#REF!</v>
      </c>
      <c r="F562" s="50" t="e">
        <f>'Product info'!#REF!</f>
        <v>#REF!</v>
      </c>
      <c r="G562" s="50" t="e">
        <f>'Product info'!#REF!</f>
        <v>#REF!</v>
      </c>
      <c r="H562" s="50" t="e">
        <f>'Product info'!#REF!</f>
        <v>#REF!</v>
      </c>
      <c r="I562" s="50" t="e">
        <f>'Product info'!#REF!</f>
        <v>#REF!</v>
      </c>
      <c r="J562" s="51" t="e">
        <f>'Product info'!#REF!</f>
        <v>#REF!</v>
      </c>
      <c r="K562" s="52" t="e">
        <f t="shared" si="107"/>
        <v>#REF!</v>
      </c>
      <c r="L562" s="50" t="e">
        <f t="shared" si="108"/>
        <v>#REF!</v>
      </c>
      <c r="M562" s="50" t="e">
        <f t="shared" si="109"/>
        <v>#REF!</v>
      </c>
      <c r="N562" s="50" t="e">
        <f t="shared" si="110"/>
        <v>#REF!</v>
      </c>
      <c r="O562" s="50" t="e">
        <f t="shared" si="111"/>
        <v>#REF!</v>
      </c>
      <c r="P562" s="53" t="e">
        <f t="shared" si="112"/>
        <v>#REF!</v>
      </c>
      <c r="Q562" s="54" t="e">
        <f>'Product info'!#REF!</f>
        <v>#REF!</v>
      </c>
      <c r="R562" s="54" t="e">
        <f>'Product info'!#REF!</f>
        <v>#REF!</v>
      </c>
      <c r="S562" s="54" t="e">
        <f>'Product info'!#REF!</f>
        <v>#REF!</v>
      </c>
      <c r="T562" s="50" t="e">
        <f>'Product info'!#REF!</f>
        <v>#REF!</v>
      </c>
      <c r="U562" s="52" t="e">
        <f t="shared" si="113"/>
        <v>#REF!</v>
      </c>
      <c r="V562" s="50" t="e">
        <f t="shared" si="114"/>
        <v>#REF!</v>
      </c>
      <c r="W562" s="50" t="e">
        <f t="shared" si="115"/>
        <v>#REF!</v>
      </c>
      <c r="X562" s="50" t="e">
        <f t="shared" si="116"/>
        <v>#REF!</v>
      </c>
      <c r="Y562" s="50" t="e">
        <f t="shared" si="117"/>
        <v>#REF!</v>
      </c>
      <c r="Z562" t="e">
        <f t="shared" si="118"/>
        <v>#REF!</v>
      </c>
    </row>
    <row r="563" spans="1:26" x14ac:dyDescent="0.4">
      <c r="A563" t="e">
        <f>'Product info'!#REF!</f>
        <v>#REF!</v>
      </c>
      <c r="B563" t="e">
        <f>'Product info'!#REF!</f>
        <v>#REF!</v>
      </c>
      <c r="C563" t="e">
        <f>'Product info'!#REF!</f>
        <v>#REF!</v>
      </c>
      <c r="D563" s="6" t="e">
        <f>'Product info'!#REF!</f>
        <v>#REF!</v>
      </c>
      <c r="E563" t="e">
        <f t="shared" si="106"/>
        <v>#REF!</v>
      </c>
      <c r="F563" s="50" t="e">
        <f>'Product info'!#REF!</f>
        <v>#REF!</v>
      </c>
      <c r="G563" s="50" t="e">
        <f>'Product info'!#REF!</f>
        <v>#REF!</v>
      </c>
      <c r="H563" s="50" t="e">
        <f>'Product info'!#REF!</f>
        <v>#REF!</v>
      </c>
      <c r="I563" s="50" t="e">
        <f>'Product info'!#REF!</f>
        <v>#REF!</v>
      </c>
      <c r="J563" s="51" t="e">
        <f>'Product info'!#REF!</f>
        <v>#REF!</v>
      </c>
      <c r="K563" s="52" t="e">
        <f t="shared" si="107"/>
        <v>#REF!</v>
      </c>
      <c r="L563" s="50" t="e">
        <f t="shared" si="108"/>
        <v>#REF!</v>
      </c>
      <c r="M563" s="50" t="e">
        <f t="shared" si="109"/>
        <v>#REF!</v>
      </c>
      <c r="N563" s="50" t="e">
        <f t="shared" si="110"/>
        <v>#REF!</v>
      </c>
      <c r="O563" s="50" t="e">
        <f t="shared" si="111"/>
        <v>#REF!</v>
      </c>
      <c r="P563" s="53" t="e">
        <f t="shared" si="112"/>
        <v>#REF!</v>
      </c>
      <c r="Q563" s="54" t="e">
        <f>'Product info'!#REF!</f>
        <v>#REF!</v>
      </c>
      <c r="R563" s="54" t="e">
        <f>'Product info'!#REF!</f>
        <v>#REF!</v>
      </c>
      <c r="S563" s="54" t="e">
        <f>'Product info'!#REF!</f>
        <v>#REF!</v>
      </c>
      <c r="T563" s="50" t="e">
        <f>'Product info'!#REF!</f>
        <v>#REF!</v>
      </c>
      <c r="U563" s="52" t="e">
        <f t="shared" si="113"/>
        <v>#REF!</v>
      </c>
      <c r="V563" s="50" t="e">
        <f t="shared" si="114"/>
        <v>#REF!</v>
      </c>
      <c r="W563" s="50" t="e">
        <f t="shared" si="115"/>
        <v>#REF!</v>
      </c>
      <c r="X563" s="50" t="e">
        <f t="shared" si="116"/>
        <v>#REF!</v>
      </c>
      <c r="Y563" s="50" t="e">
        <f t="shared" si="117"/>
        <v>#REF!</v>
      </c>
      <c r="Z563" t="e">
        <f t="shared" si="118"/>
        <v>#REF!</v>
      </c>
    </row>
    <row r="564" spans="1:26" x14ac:dyDescent="0.4">
      <c r="A564" t="e">
        <f>'Product info'!#REF!</f>
        <v>#REF!</v>
      </c>
      <c r="B564" t="e">
        <f>'Product info'!#REF!</f>
        <v>#REF!</v>
      </c>
      <c r="C564" t="e">
        <f>'Product info'!#REF!</f>
        <v>#REF!</v>
      </c>
      <c r="D564" s="6" t="e">
        <f>'Product info'!#REF!</f>
        <v>#REF!</v>
      </c>
      <c r="E564" t="e">
        <f t="shared" si="106"/>
        <v>#REF!</v>
      </c>
      <c r="F564" s="50" t="e">
        <f>'Product info'!#REF!</f>
        <v>#REF!</v>
      </c>
      <c r="G564" s="50" t="e">
        <f>'Product info'!#REF!</f>
        <v>#REF!</v>
      </c>
      <c r="H564" s="50" t="e">
        <f>'Product info'!#REF!</f>
        <v>#REF!</v>
      </c>
      <c r="I564" s="50" t="e">
        <f>'Product info'!#REF!</f>
        <v>#REF!</v>
      </c>
      <c r="J564" s="51" t="e">
        <f>'Product info'!#REF!</f>
        <v>#REF!</v>
      </c>
      <c r="K564" s="52" t="e">
        <f t="shared" si="107"/>
        <v>#REF!</v>
      </c>
      <c r="L564" s="50" t="e">
        <f t="shared" si="108"/>
        <v>#REF!</v>
      </c>
      <c r="M564" s="50" t="e">
        <f t="shared" si="109"/>
        <v>#REF!</v>
      </c>
      <c r="N564" s="50" t="e">
        <f t="shared" si="110"/>
        <v>#REF!</v>
      </c>
      <c r="O564" s="50" t="e">
        <f t="shared" si="111"/>
        <v>#REF!</v>
      </c>
      <c r="P564" s="53" t="e">
        <f t="shared" si="112"/>
        <v>#REF!</v>
      </c>
      <c r="Q564" s="54" t="e">
        <f>'Product info'!#REF!</f>
        <v>#REF!</v>
      </c>
      <c r="R564" s="54" t="e">
        <f>'Product info'!#REF!</f>
        <v>#REF!</v>
      </c>
      <c r="S564" s="54" t="e">
        <f>'Product info'!#REF!</f>
        <v>#REF!</v>
      </c>
      <c r="T564" s="50" t="e">
        <f>'Product info'!#REF!</f>
        <v>#REF!</v>
      </c>
      <c r="U564" s="52" t="e">
        <f t="shared" si="113"/>
        <v>#REF!</v>
      </c>
      <c r="V564" s="50" t="e">
        <f t="shared" si="114"/>
        <v>#REF!</v>
      </c>
      <c r="W564" s="50" t="e">
        <f t="shared" si="115"/>
        <v>#REF!</v>
      </c>
      <c r="X564" s="50" t="e">
        <f t="shared" si="116"/>
        <v>#REF!</v>
      </c>
      <c r="Y564" s="50" t="e">
        <f t="shared" si="117"/>
        <v>#REF!</v>
      </c>
      <c r="Z564" t="e">
        <f t="shared" si="118"/>
        <v>#REF!</v>
      </c>
    </row>
    <row r="565" spans="1:26" x14ac:dyDescent="0.4">
      <c r="A565" t="e">
        <f>'Product info'!#REF!</f>
        <v>#REF!</v>
      </c>
      <c r="B565" t="e">
        <f>'Product info'!#REF!</f>
        <v>#REF!</v>
      </c>
      <c r="C565" t="e">
        <f>'Product info'!#REF!</f>
        <v>#REF!</v>
      </c>
      <c r="D565" s="6" t="e">
        <f>'Product info'!#REF!</f>
        <v>#REF!</v>
      </c>
      <c r="E565" t="e">
        <f t="shared" si="106"/>
        <v>#REF!</v>
      </c>
      <c r="F565" s="50" t="e">
        <f>'Product info'!#REF!</f>
        <v>#REF!</v>
      </c>
      <c r="G565" s="50" t="e">
        <f>'Product info'!#REF!</f>
        <v>#REF!</v>
      </c>
      <c r="H565" s="50" t="e">
        <f>'Product info'!#REF!</f>
        <v>#REF!</v>
      </c>
      <c r="I565" s="50" t="e">
        <f>'Product info'!#REF!</f>
        <v>#REF!</v>
      </c>
      <c r="J565" s="51" t="e">
        <f>'Product info'!#REF!</f>
        <v>#REF!</v>
      </c>
      <c r="K565" s="52" t="e">
        <f t="shared" si="107"/>
        <v>#REF!</v>
      </c>
      <c r="L565" s="50" t="e">
        <f t="shared" si="108"/>
        <v>#REF!</v>
      </c>
      <c r="M565" s="50" t="e">
        <f t="shared" si="109"/>
        <v>#REF!</v>
      </c>
      <c r="N565" s="50" t="e">
        <f t="shared" si="110"/>
        <v>#REF!</v>
      </c>
      <c r="O565" s="50" t="e">
        <f t="shared" si="111"/>
        <v>#REF!</v>
      </c>
      <c r="P565" s="53" t="e">
        <f t="shared" si="112"/>
        <v>#REF!</v>
      </c>
      <c r="Q565" s="54" t="e">
        <f>'Product info'!#REF!</f>
        <v>#REF!</v>
      </c>
      <c r="R565" s="54" t="e">
        <f>'Product info'!#REF!</f>
        <v>#REF!</v>
      </c>
      <c r="S565" s="54" t="e">
        <f>'Product info'!#REF!</f>
        <v>#REF!</v>
      </c>
      <c r="T565" s="50" t="e">
        <f>'Product info'!#REF!</f>
        <v>#REF!</v>
      </c>
      <c r="U565" s="52" t="e">
        <f t="shared" si="113"/>
        <v>#REF!</v>
      </c>
      <c r="V565" s="50" t="e">
        <f t="shared" si="114"/>
        <v>#REF!</v>
      </c>
      <c r="W565" s="50" t="e">
        <f t="shared" si="115"/>
        <v>#REF!</v>
      </c>
      <c r="X565" s="50" t="e">
        <f t="shared" si="116"/>
        <v>#REF!</v>
      </c>
      <c r="Y565" s="50" t="e">
        <f t="shared" si="117"/>
        <v>#REF!</v>
      </c>
      <c r="Z565" t="e">
        <f t="shared" si="118"/>
        <v>#REF!</v>
      </c>
    </row>
    <row r="566" spans="1:26" x14ac:dyDescent="0.4">
      <c r="A566" t="e">
        <f>'Product info'!#REF!</f>
        <v>#REF!</v>
      </c>
      <c r="B566" t="e">
        <f>'Product info'!#REF!</f>
        <v>#REF!</v>
      </c>
      <c r="C566" t="e">
        <f>'Product info'!#REF!</f>
        <v>#REF!</v>
      </c>
      <c r="D566" s="6" t="e">
        <f>'Product info'!#REF!</f>
        <v>#REF!</v>
      </c>
      <c r="E566" t="e">
        <f t="shared" si="106"/>
        <v>#REF!</v>
      </c>
      <c r="F566" s="50" t="e">
        <f>'Product info'!#REF!</f>
        <v>#REF!</v>
      </c>
      <c r="G566" s="50" t="e">
        <f>'Product info'!#REF!</f>
        <v>#REF!</v>
      </c>
      <c r="H566" s="50" t="e">
        <f>'Product info'!#REF!</f>
        <v>#REF!</v>
      </c>
      <c r="I566" s="50" t="e">
        <f>'Product info'!#REF!</f>
        <v>#REF!</v>
      </c>
      <c r="J566" s="51" t="e">
        <f>'Product info'!#REF!</f>
        <v>#REF!</v>
      </c>
      <c r="K566" s="52" t="e">
        <f t="shared" si="107"/>
        <v>#REF!</v>
      </c>
      <c r="L566" s="50" t="e">
        <f t="shared" si="108"/>
        <v>#REF!</v>
      </c>
      <c r="M566" s="50" t="e">
        <f t="shared" si="109"/>
        <v>#REF!</v>
      </c>
      <c r="N566" s="50" t="e">
        <f t="shared" si="110"/>
        <v>#REF!</v>
      </c>
      <c r="O566" s="50" t="e">
        <f t="shared" si="111"/>
        <v>#REF!</v>
      </c>
      <c r="P566" s="53" t="e">
        <f t="shared" si="112"/>
        <v>#REF!</v>
      </c>
      <c r="Q566" s="54" t="e">
        <f>'Product info'!#REF!</f>
        <v>#REF!</v>
      </c>
      <c r="R566" s="54" t="e">
        <f>'Product info'!#REF!</f>
        <v>#REF!</v>
      </c>
      <c r="S566" s="54" t="e">
        <f>'Product info'!#REF!</f>
        <v>#REF!</v>
      </c>
      <c r="T566" s="50" t="e">
        <f>'Product info'!#REF!</f>
        <v>#REF!</v>
      </c>
      <c r="U566" s="52" t="e">
        <f t="shared" si="113"/>
        <v>#REF!</v>
      </c>
      <c r="V566" s="50" t="e">
        <f t="shared" si="114"/>
        <v>#REF!</v>
      </c>
      <c r="W566" s="50" t="e">
        <f t="shared" si="115"/>
        <v>#REF!</v>
      </c>
      <c r="X566" s="50" t="e">
        <f t="shared" si="116"/>
        <v>#REF!</v>
      </c>
      <c r="Y566" s="50" t="e">
        <f t="shared" si="117"/>
        <v>#REF!</v>
      </c>
      <c r="Z566" t="e">
        <f t="shared" si="118"/>
        <v>#REF!</v>
      </c>
    </row>
    <row r="567" spans="1:26" x14ac:dyDescent="0.4">
      <c r="A567" t="e">
        <f>'Product info'!#REF!</f>
        <v>#REF!</v>
      </c>
      <c r="B567" t="e">
        <f>'Product info'!#REF!</f>
        <v>#REF!</v>
      </c>
      <c r="C567" t="e">
        <f>'Product info'!#REF!</f>
        <v>#REF!</v>
      </c>
      <c r="D567" s="6" t="e">
        <f>'Product info'!#REF!</f>
        <v>#REF!</v>
      </c>
      <c r="E567" t="e">
        <f t="shared" si="106"/>
        <v>#REF!</v>
      </c>
      <c r="F567" s="50" t="e">
        <f>'Product info'!#REF!</f>
        <v>#REF!</v>
      </c>
      <c r="G567" s="50" t="e">
        <f>'Product info'!#REF!</f>
        <v>#REF!</v>
      </c>
      <c r="H567" s="50" t="e">
        <f>'Product info'!#REF!</f>
        <v>#REF!</v>
      </c>
      <c r="I567" s="50" t="e">
        <f>'Product info'!#REF!</f>
        <v>#REF!</v>
      </c>
      <c r="J567" s="51" t="e">
        <f>'Product info'!#REF!</f>
        <v>#REF!</v>
      </c>
      <c r="K567" s="52" t="e">
        <f t="shared" si="107"/>
        <v>#REF!</v>
      </c>
      <c r="L567" s="50" t="e">
        <f t="shared" si="108"/>
        <v>#REF!</v>
      </c>
      <c r="M567" s="50" t="e">
        <f t="shared" si="109"/>
        <v>#REF!</v>
      </c>
      <c r="N567" s="50" t="e">
        <f t="shared" si="110"/>
        <v>#REF!</v>
      </c>
      <c r="O567" s="50" t="e">
        <f t="shared" si="111"/>
        <v>#REF!</v>
      </c>
      <c r="P567" s="53" t="e">
        <f t="shared" si="112"/>
        <v>#REF!</v>
      </c>
      <c r="Q567" s="54" t="e">
        <f>'Product info'!#REF!</f>
        <v>#REF!</v>
      </c>
      <c r="R567" s="54" t="e">
        <f>'Product info'!#REF!</f>
        <v>#REF!</v>
      </c>
      <c r="S567" s="54" t="e">
        <f>'Product info'!#REF!</f>
        <v>#REF!</v>
      </c>
      <c r="T567" s="50" t="e">
        <f>'Product info'!#REF!</f>
        <v>#REF!</v>
      </c>
      <c r="U567" s="52" t="e">
        <f t="shared" si="113"/>
        <v>#REF!</v>
      </c>
      <c r="V567" s="50" t="e">
        <f t="shared" si="114"/>
        <v>#REF!</v>
      </c>
      <c r="W567" s="50" t="e">
        <f t="shared" si="115"/>
        <v>#REF!</v>
      </c>
      <c r="X567" s="50" t="e">
        <f t="shared" si="116"/>
        <v>#REF!</v>
      </c>
      <c r="Y567" s="50" t="e">
        <f t="shared" si="117"/>
        <v>#REF!</v>
      </c>
      <c r="Z567" t="e">
        <f t="shared" si="118"/>
        <v>#REF!</v>
      </c>
    </row>
    <row r="568" spans="1:26" x14ac:dyDescent="0.4">
      <c r="A568" t="e">
        <f>'Product info'!#REF!</f>
        <v>#REF!</v>
      </c>
      <c r="B568" t="e">
        <f>'Product info'!#REF!</f>
        <v>#REF!</v>
      </c>
      <c r="C568" t="e">
        <f>'Product info'!#REF!</f>
        <v>#REF!</v>
      </c>
      <c r="D568" s="6" t="e">
        <f>'Product info'!#REF!</f>
        <v>#REF!</v>
      </c>
      <c r="E568" t="e">
        <f t="shared" si="106"/>
        <v>#REF!</v>
      </c>
      <c r="F568" s="50" t="e">
        <f>'Product info'!#REF!</f>
        <v>#REF!</v>
      </c>
      <c r="G568" s="50" t="e">
        <f>'Product info'!#REF!</f>
        <v>#REF!</v>
      </c>
      <c r="H568" s="50" t="e">
        <f>'Product info'!#REF!</f>
        <v>#REF!</v>
      </c>
      <c r="I568" s="50" t="e">
        <f>'Product info'!#REF!</f>
        <v>#REF!</v>
      </c>
      <c r="J568" s="51" t="e">
        <f>'Product info'!#REF!</f>
        <v>#REF!</v>
      </c>
      <c r="K568" s="52" t="e">
        <f t="shared" si="107"/>
        <v>#REF!</v>
      </c>
      <c r="L568" s="50" t="e">
        <f t="shared" si="108"/>
        <v>#REF!</v>
      </c>
      <c r="M568" s="50" t="e">
        <f t="shared" si="109"/>
        <v>#REF!</v>
      </c>
      <c r="N568" s="50" t="e">
        <f t="shared" si="110"/>
        <v>#REF!</v>
      </c>
      <c r="O568" s="50" t="e">
        <f t="shared" si="111"/>
        <v>#REF!</v>
      </c>
      <c r="P568" s="53" t="e">
        <f t="shared" si="112"/>
        <v>#REF!</v>
      </c>
      <c r="Q568" s="54" t="e">
        <f>'Product info'!#REF!</f>
        <v>#REF!</v>
      </c>
      <c r="R568" s="54" t="e">
        <f>'Product info'!#REF!</f>
        <v>#REF!</v>
      </c>
      <c r="S568" s="54" t="e">
        <f>'Product info'!#REF!</f>
        <v>#REF!</v>
      </c>
      <c r="T568" s="50" t="e">
        <f>'Product info'!#REF!</f>
        <v>#REF!</v>
      </c>
      <c r="U568" s="52" t="e">
        <f t="shared" si="113"/>
        <v>#REF!</v>
      </c>
      <c r="V568" s="50" t="e">
        <f t="shared" si="114"/>
        <v>#REF!</v>
      </c>
      <c r="W568" s="50" t="e">
        <f t="shared" si="115"/>
        <v>#REF!</v>
      </c>
      <c r="X568" s="50" t="e">
        <f t="shared" si="116"/>
        <v>#REF!</v>
      </c>
      <c r="Y568" s="50" t="e">
        <f t="shared" si="117"/>
        <v>#REF!</v>
      </c>
      <c r="Z568" t="e">
        <f t="shared" si="118"/>
        <v>#REF!</v>
      </c>
    </row>
    <row r="569" spans="1:26" x14ac:dyDescent="0.4">
      <c r="A569" t="e">
        <f>'Product info'!#REF!</f>
        <v>#REF!</v>
      </c>
      <c r="B569" t="e">
        <f>'Product info'!#REF!</f>
        <v>#REF!</v>
      </c>
      <c r="C569" t="e">
        <f>'Product info'!#REF!</f>
        <v>#REF!</v>
      </c>
      <c r="D569" s="6" t="e">
        <f>'Product info'!#REF!</f>
        <v>#REF!</v>
      </c>
      <c r="E569" t="e">
        <f t="shared" si="106"/>
        <v>#REF!</v>
      </c>
      <c r="F569" s="50" t="e">
        <f>'Product info'!#REF!</f>
        <v>#REF!</v>
      </c>
      <c r="G569" s="50" t="e">
        <f>'Product info'!#REF!</f>
        <v>#REF!</v>
      </c>
      <c r="H569" s="50" t="e">
        <f>'Product info'!#REF!</f>
        <v>#REF!</v>
      </c>
      <c r="I569" s="50" t="e">
        <f>'Product info'!#REF!</f>
        <v>#REF!</v>
      </c>
      <c r="J569" s="51" t="e">
        <f>'Product info'!#REF!</f>
        <v>#REF!</v>
      </c>
      <c r="K569" s="52" t="e">
        <f t="shared" si="107"/>
        <v>#REF!</v>
      </c>
      <c r="L569" s="50" t="e">
        <f t="shared" si="108"/>
        <v>#REF!</v>
      </c>
      <c r="M569" s="50" t="e">
        <f t="shared" si="109"/>
        <v>#REF!</v>
      </c>
      <c r="N569" s="50" t="e">
        <f t="shared" si="110"/>
        <v>#REF!</v>
      </c>
      <c r="O569" s="50" t="e">
        <f t="shared" si="111"/>
        <v>#REF!</v>
      </c>
      <c r="P569" s="53" t="e">
        <f t="shared" si="112"/>
        <v>#REF!</v>
      </c>
      <c r="Q569" s="54" t="e">
        <f>'Product info'!#REF!</f>
        <v>#REF!</v>
      </c>
      <c r="R569" s="54" t="e">
        <f>'Product info'!#REF!</f>
        <v>#REF!</v>
      </c>
      <c r="S569" s="54" t="e">
        <f>'Product info'!#REF!</f>
        <v>#REF!</v>
      </c>
      <c r="T569" s="50" t="e">
        <f>'Product info'!#REF!</f>
        <v>#REF!</v>
      </c>
      <c r="U569" s="52" t="e">
        <f t="shared" si="113"/>
        <v>#REF!</v>
      </c>
      <c r="V569" s="50" t="e">
        <f t="shared" si="114"/>
        <v>#REF!</v>
      </c>
      <c r="W569" s="50" t="e">
        <f t="shared" si="115"/>
        <v>#REF!</v>
      </c>
      <c r="X569" s="50" t="e">
        <f t="shared" si="116"/>
        <v>#REF!</v>
      </c>
      <c r="Y569" s="50" t="e">
        <f t="shared" si="117"/>
        <v>#REF!</v>
      </c>
      <c r="Z569" t="e">
        <f t="shared" si="118"/>
        <v>#REF!</v>
      </c>
    </row>
    <row r="570" spans="1:26" x14ac:dyDescent="0.4">
      <c r="A570" t="e">
        <f>'Product info'!#REF!</f>
        <v>#REF!</v>
      </c>
      <c r="B570" t="e">
        <f>'Product info'!#REF!</f>
        <v>#REF!</v>
      </c>
      <c r="C570" t="e">
        <f>'Product info'!#REF!</f>
        <v>#REF!</v>
      </c>
      <c r="D570" s="6" t="e">
        <f>'Product info'!#REF!</f>
        <v>#REF!</v>
      </c>
      <c r="E570" t="e">
        <f t="shared" si="106"/>
        <v>#REF!</v>
      </c>
      <c r="F570" s="50" t="e">
        <f>'Product info'!#REF!</f>
        <v>#REF!</v>
      </c>
      <c r="G570" s="50" t="e">
        <f>'Product info'!#REF!</f>
        <v>#REF!</v>
      </c>
      <c r="H570" s="50" t="e">
        <f>'Product info'!#REF!</f>
        <v>#REF!</v>
      </c>
      <c r="I570" s="50" t="e">
        <f>'Product info'!#REF!</f>
        <v>#REF!</v>
      </c>
      <c r="J570" s="51" t="e">
        <f>'Product info'!#REF!</f>
        <v>#REF!</v>
      </c>
      <c r="K570" s="52" t="e">
        <f t="shared" si="107"/>
        <v>#REF!</v>
      </c>
      <c r="L570" s="50" t="e">
        <f t="shared" si="108"/>
        <v>#REF!</v>
      </c>
      <c r="M570" s="50" t="e">
        <f t="shared" si="109"/>
        <v>#REF!</v>
      </c>
      <c r="N570" s="50" t="e">
        <f t="shared" si="110"/>
        <v>#REF!</v>
      </c>
      <c r="O570" s="50" t="e">
        <f t="shared" si="111"/>
        <v>#REF!</v>
      </c>
      <c r="P570" s="53" t="e">
        <f t="shared" si="112"/>
        <v>#REF!</v>
      </c>
      <c r="Q570" s="54" t="e">
        <f>'Product info'!#REF!</f>
        <v>#REF!</v>
      </c>
      <c r="R570" s="54" t="e">
        <f>'Product info'!#REF!</f>
        <v>#REF!</v>
      </c>
      <c r="S570" s="54" t="e">
        <f>'Product info'!#REF!</f>
        <v>#REF!</v>
      </c>
      <c r="T570" s="50" t="e">
        <f>'Product info'!#REF!</f>
        <v>#REF!</v>
      </c>
      <c r="U570" s="52" t="e">
        <f t="shared" si="113"/>
        <v>#REF!</v>
      </c>
      <c r="V570" s="50" t="e">
        <f t="shared" si="114"/>
        <v>#REF!</v>
      </c>
      <c r="W570" s="50" t="e">
        <f t="shared" si="115"/>
        <v>#REF!</v>
      </c>
      <c r="X570" s="50" t="e">
        <f t="shared" si="116"/>
        <v>#REF!</v>
      </c>
      <c r="Y570" s="50" t="e">
        <f t="shared" si="117"/>
        <v>#REF!</v>
      </c>
      <c r="Z570" t="e">
        <f t="shared" si="118"/>
        <v>#REF!</v>
      </c>
    </row>
    <row r="571" spans="1:26" x14ac:dyDescent="0.4">
      <c r="A571" t="e">
        <f>'Product info'!#REF!</f>
        <v>#REF!</v>
      </c>
      <c r="B571" t="e">
        <f>'Product info'!#REF!</f>
        <v>#REF!</v>
      </c>
      <c r="C571" t="e">
        <f>'Product info'!#REF!</f>
        <v>#REF!</v>
      </c>
      <c r="D571" s="6" t="e">
        <f>'Product info'!#REF!</f>
        <v>#REF!</v>
      </c>
      <c r="E571" t="e">
        <f t="shared" si="106"/>
        <v>#REF!</v>
      </c>
      <c r="F571" s="50" t="e">
        <f>'Product info'!#REF!</f>
        <v>#REF!</v>
      </c>
      <c r="G571" s="50" t="e">
        <f>'Product info'!#REF!</f>
        <v>#REF!</v>
      </c>
      <c r="H571" s="50" t="e">
        <f>'Product info'!#REF!</f>
        <v>#REF!</v>
      </c>
      <c r="I571" s="50" t="e">
        <f>'Product info'!#REF!</f>
        <v>#REF!</v>
      </c>
      <c r="J571" s="51" t="e">
        <f>'Product info'!#REF!</f>
        <v>#REF!</v>
      </c>
      <c r="K571" s="52" t="e">
        <f t="shared" si="107"/>
        <v>#REF!</v>
      </c>
      <c r="L571" s="50" t="e">
        <f t="shared" si="108"/>
        <v>#REF!</v>
      </c>
      <c r="M571" s="50" t="e">
        <f t="shared" si="109"/>
        <v>#REF!</v>
      </c>
      <c r="N571" s="50" t="e">
        <f t="shared" si="110"/>
        <v>#REF!</v>
      </c>
      <c r="O571" s="50" t="e">
        <f t="shared" si="111"/>
        <v>#REF!</v>
      </c>
      <c r="P571" s="53" t="e">
        <f t="shared" si="112"/>
        <v>#REF!</v>
      </c>
      <c r="Q571" s="54" t="e">
        <f>'Product info'!#REF!</f>
        <v>#REF!</v>
      </c>
      <c r="R571" s="54" t="e">
        <f>'Product info'!#REF!</f>
        <v>#REF!</v>
      </c>
      <c r="S571" s="54" t="e">
        <f>'Product info'!#REF!</f>
        <v>#REF!</v>
      </c>
      <c r="T571" s="50" t="e">
        <f>'Product info'!#REF!</f>
        <v>#REF!</v>
      </c>
      <c r="U571" s="52" t="e">
        <f t="shared" si="113"/>
        <v>#REF!</v>
      </c>
      <c r="V571" s="50" t="e">
        <f t="shared" si="114"/>
        <v>#REF!</v>
      </c>
      <c r="W571" s="50" t="e">
        <f t="shared" si="115"/>
        <v>#REF!</v>
      </c>
      <c r="X571" s="50" t="e">
        <f t="shared" si="116"/>
        <v>#REF!</v>
      </c>
      <c r="Y571" s="50" t="e">
        <f t="shared" si="117"/>
        <v>#REF!</v>
      </c>
      <c r="Z571" t="e">
        <f t="shared" si="118"/>
        <v>#REF!</v>
      </c>
    </row>
    <row r="572" spans="1:26" x14ac:dyDescent="0.4">
      <c r="A572" t="e">
        <f>'Product info'!#REF!</f>
        <v>#REF!</v>
      </c>
      <c r="B572" t="e">
        <f>'Product info'!#REF!</f>
        <v>#REF!</v>
      </c>
      <c r="C572" t="e">
        <f>'Product info'!#REF!</f>
        <v>#REF!</v>
      </c>
      <c r="D572" s="6" t="e">
        <f>'Product info'!#REF!</f>
        <v>#REF!</v>
      </c>
      <c r="E572" t="e">
        <f t="shared" si="106"/>
        <v>#REF!</v>
      </c>
      <c r="F572" s="50" t="e">
        <f>'Product info'!#REF!</f>
        <v>#REF!</v>
      </c>
      <c r="G572" s="50" t="e">
        <f>'Product info'!#REF!</f>
        <v>#REF!</v>
      </c>
      <c r="H572" s="50" t="e">
        <f>'Product info'!#REF!</f>
        <v>#REF!</v>
      </c>
      <c r="I572" s="50" t="e">
        <f>'Product info'!#REF!</f>
        <v>#REF!</v>
      </c>
      <c r="J572" s="51" t="e">
        <f>'Product info'!#REF!</f>
        <v>#REF!</v>
      </c>
      <c r="K572" s="52" t="e">
        <f t="shared" si="107"/>
        <v>#REF!</v>
      </c>
      <c r="L572" s="50" t="e">
        <f t="shared" si="108"/>
        <v>#REF!</v>
      </c>
      <c r="M572" s="50" t="e">
        <f t="shared" si="109"/>
        <v>#REF!</v>
      </c>
      <c r="N572" s="50" t="e">
        <f t="shared" si="110"/>
        <v>#REF!</v>
      </c>
      <c r="O572" s="50" t="e">
        <f t="shared" si="111"/>
        <v>#REF!</v>
      </c>
      <c r="P572" s="53" t="e">
        <f t="shared" si="112"/>
        <v>#REF!</v>
      </c>
      <c r="Q572" s="54" t="e">
        <f>'Product info'!#REF!</f>
        <v>#REF!</v>
      </c>
      <c r="R572" s="54" t="e">
        <f>'Product info'!#REF!</f>
        <v>#REF!</v>
      </c>
      <c r="S572" s="54" t="e">
        <f>'Product info'!#REF!</f>
        <v>#REF!</v>
      </c>
      <c r="T572" s="50" t="e">
        <f>'Product info'!#REF!</f>
        <v>#REF!</v>
      </c>
      <c r="U572" s="52" t="e">
        <f t="shared" si="113"/>
        <v>#REF!</v>
      </c>
      <c r="V572" s="50" t="e">
        <f t="shared" si="114"/>
        <v>#REF!</v>
      </c>
      <c r="W572" s="50" t="e">
        <f t="shared" si="115"/>
        <v>#REF!</v>
      </c>
      <c r="X572" s="50" t="e">
        <f t="shared" si="116"/>
        <v>#REF!</v>
      </c>
      <c r="Y572" s="50" t="e">
        <f t="shared" si="117"/>
        <v>#REF!</v>
      </c>
      <c r="Z572" t="e">
        <f t="shared" si="118"/>
        <v>#REF!</v>
      </c>
    </row>
    <row r="573" spans="1:26" x14ac:dyDescent="0.4">
      <c r="A573" t="e">
        <f>'Product info'!#REF!</f>
        <v>#REF!</v>
      </c>
      <c r="B573" t="e">
        <f>'Product info'!#REF!</f>
        <v>#REF!</v>
      </c>
      <c r="C573" t="e">
        <f>'Product info'!#REF!</f>
        <v>#REF!</v>
      </c>
      <c r="D573" s="6" t="e">
        <f>'Product info'!#REF!</f>
        <v>#REF!</v>
      </c>
      <c r="E573" t="e">
        <f t="shared" si="106"/>
        <v>#REF!</v>
      </c>
      <c r="F573" s="50" t="e">
        <f>'Product info'!#REF!</f>
        <v>#REF!</v>
      </c>
      <c r="G573" s="50" t="e">
        <f>'Product info'!#REF!</f>
        <v>#REF!</v>
      </c>
      <c r="H573" s="50" t="e">
        <f>'Product info'!#REF!</f>
        <v>#REF!</v>
      </c>
      <c r="I573" s="50" t="e">
        <f>'Product info'!#REF!</f>
        <v>#REF!</v>
      </c>
      <c r="J573" s="51" t="e">
        <f>'Product info'!#REF!</f>
        <v>#REF!</v>
      </c>
      <c r="K573" s="52" t="e">
        <f t="shared" si="107"/>
        <v>#REF!</v>
      </c>
      <c r="L573" s="50" t="e">
        <f t="shared" si="108"/>
        <v>#REF!</v>
      </c>
      <c r="M573" s="50" t="e">
        <f t="shared" si="109"/>
        <v>#REF!</v>
      </c>
      <c r="N573" s="50" t="e">
        <f t="shared" si="110"/>
        <v>#REF!</v>
      </c>
      <c r="O573" s="50" t="e">
        <f t="shared" si="111"/>
        <v>#REF!</v>
      </c>
      <c r="P573" s="53" t="e">
        <f t="shared" si="112"/>
        <v>#REF!</v>
      </c>
      <c r="Q573" s="54" t="e">
        <f>'Product info'!#REF!</f>
        <v>#REF!</v>
      </c>
      <c r="R573" s="54" t="e">
        <f>'Product info'!#REF!</f>
        <v>#REF!</v>
      </c>
      <c r="S573" s="54" t="e">
        <f>'Product info'!#REF!</f>
        <v>#REF!</v>
      </c>
      <c r="T573" s="50" t="e">
        <f>'Product info'!#REF!</f>
        <v>#REF!</v>
      </c>
      <c r="U573" s="52" t="e">
        <f t="shared" si="113"/>
        <v>#REF!</v>
      </c>
      <c r="V573" s="50" t="e">
        <f t="shared" si="114"/>
        <v>#REF!</v>
      </c>
      <c r="W573" s="50" t="e">
        <f t="shared" si="115"/>
        <v>#REF!</v>
      </c>
      <c r="X573" s="50" t="e">
        <f t="shared" si="116"/>
        <v>#REF!</v>
      </c>
      <c r="Y573" s="50" t="e">
        <f t="shared" si="117"/>
        <v>#REF!</v>
      </c>
      <c r="Z573" t="e">
        <f t="shared" si="118"/>
        <v>#REF!</v>
      </c>
    </row>
    <row r="574" spans="1:26" x14ac:dyDescent="0.4">
      <c r="A574" t="e">
        <f>'Product info'!#REF!</f>
        <v>#REF!</v>
      </c>
      <c r="B574" t="e">
        <f>'Product info'!#REF!</f>
        <v>#REF!</v>
      </c>
      <c r="C574" t="e">
        <f>'Product info'!#REF!</f>
        <v>#REF!</v>
      </c>
      <c r="D574" s="6" t="e">
        <f>'Product info'!#REF!</f>
        <v>#REF!</v>
      </c>
      <c r="E574" t="e">
        <f t="shared" si="106"/>
        <v>#REF!</v>
      </c>
      <c r="F574" s="50" t="e">
        <f>'Product info'!#REF!</f>
        <v>#REF!</v>
      </c>
      <c r="G574" s="50" t="e">
        <f>'Product info'!#REF!</f>
        <v>#REF!</v>
      </c>
      <c r="H574" s="50" t="e">
        <f>'Product info'!#REF!</f>
        <v>#REF!</v>
      </c>
      <c r="I574" s="50" t="e">
        <f>'Product info'!#REF!</f>
        <v>#REF!</v>
      </c>
      <c r="J574" s="51" t="e">
        <f>'Product info'!#REF!</f>
        <v>#REF!</v>
      </c>
      <c r="K574" s="52" t="e">
        <f t="shared" si="107"/>
        <v>#REF!</v>
      </c>
      <c r="L574" s="50" t="e">
        <f t="shared" si="108"/>
        <v>#REF!</v>
      </c>
      <c r="M574" s="50" t="e">
        <f t="shared" si="109"/>
        <v>#REF!</v>
      </c>
      <c r="N574" s="50" t="e">
        <f t="shared" si="110"/>
        <v>#REF!</v>
      </c>
      <c r="O574" s="50" t="e">
        <f t="shared" si="111"/>
        <v>#REF!</v>
      </c>
      <c r="P574" s="53" t="e">
        <f t="shared" si="112"/>
        <v>#REF!</v>
      </c>
      <c r="Q574" s="54" t="e">
        <f>'Product info'!#REF!</f>
        <v>#REF!</v>
      </c>
      <c r="R574" s="54" t="e">
        <f>'Product info'!#REF!</f>
        <v>#REF!</v>
      </c>
      <c r="S574" s="54" t="e">
        <f>'Product info'!#REF!</f>
        <v>#REF!</v>
      </c>
      <c r="T574" s="50" t="e">
        <f>'Product info'!#REF!</f>
        <v>#REF!</v>
      </c>
      <c r="U574" s="52" t="e">
        <f t="shared" si="113"/>
        <v>#REF!</v>
      </c>
      <c r="V574" s="50" t="e">
        <f t="shared" si="114"/>
        <v>#REF!</v>
      </c>
      <c r="W574" s="50" t="e">
        <f t="shared" si="115"/>
        <v>#REF!</v>
      </c>
      <c r="X574" s="50" t="e">
        <f t="shared" si="116"/>
        <v>#REF!</v>
      </c>
      <c r="Y574" s="50" t="e">
        <f t="shared" si="117"/>
        <v>#REF!</v>
      </c>
      <c r="Z574" t="e">
        <f t="shared" si="118"/>
        <v>#REF!</v>
      </c>
    </row>
    <row r="575" spans="1:26" x14ac:dyDescent="0.4">
      <c r="A575" t="e">
        <f>'Product info'!#REF!</f>
        <v>#REF!</v>
      </c>
      <c r="B575" t="e">
        <f>'Product info'!#REF!</f>
        <v>#REF!</v>
      </c>
      <c r="C575" t="e">
        <f>'Product info'!#REF!</f>
        <v>#REF!</v>
      </c>
      <c r="D575" s="6" t="e">
        <f>'Product info'!#REF!</f>
        <v>#REF!</v>
      </c>
      <c r="E575" t="e">
        <f t="shared" si="106"/>
        <v>#REF!</v>
      </c>
      <c r="F575" s="50" t="e">
        <f>'Product info'!#REF!</f>
        <v>#REF!</v>
      </c>
      <c r="G575" s="50" t="e">
        <f>'Product info'!#REF!</f>
        <v>#REF!</v>
      </c>
      <c r="H575" s="50" t="e">
        <f>'Product info'!#REF!</f>
        <v>#REF!</v>
      </c>
      <c r="I575" s="50" t="e">
        <f>'Product info'!#REF!</f>
        <v>#REF!</v>
      </c>
      <c r="J575" s="51" t="e">
        <f>'Product info'!#REF!</f>
        <v>#REF!</v>
      </c>
      <c r="K575" s="52" t="e">
        <f t="shared" si="107"/>
        <v>#REF!</v>
      </c>
      <c r="L575" s="50" t="e">
        <f t="shared" si="108"/>
        <v>#REF!</v>
      </c>
      <c r="M575" s="50" t="e">
        <f t="shared" si="109"/>
        <v>#REF!</v>
      </c>
      <c r="N575" s="50" t="e">
        <f t="shared" si="110"/>
        <v>#REF!</v>
      </c>
      <c r="O575" s="50" t="e">
        <f t="shared" si="111"/>
        <v>#REF!</v>
      </c>
      <c r="P575" s="53" t="e">
        <f t="shared" si="112"/>
        <v>#REF!</v>
      </c>
      <c r="Q575" s="54" t="e">
        <f>'Product info'!#REF!</f>
        <v>#REF!</v>
      </c>
      <c r="R575" s="54" t="e">
        <f>'Product info'!#REF!</f>
        <v>#REF!</v>
      </c>
      <c r="S575" s="54" t="e">
        <f>'Product info'!#REF!</f>
        <v>#REF!</v>
      </c>
      <c r="T575" s="50" t="e">
        <f>'Product info'!#REF!</f>
        <v>#REF!</v>
      </c>
      <c r="U575" s="52" t="e">
        <f t="shared" si="113"/>
        <v>#REF!</v>
      </c>
      <c r="V575" s="50" t="e">
        <f t="shared" si="114"/>
        <v>#REF!</v>
      </c>
      <c r="W575" s="50" t="e">
        <f t="shared" si="115"/>
        <v>#REF!</v>
      </c>
      <c r="X575" s="50" t="e">
        <f t="shared" si="116"/>
        <v>#REF!</v>
      </c>
      <c r="Y575" s="50" t="e">
        <f t="shared" si="117"/>
        <v>#REF!</v>
      </c>
      <c r="Z575" t="e">
        <f t="shared" si="118"/>
        <v>#REF!</v>
      </c>
    </row>
    <row r="576" spans="1:26" x14ac:dyDescent="0.4">
      <c r="A576" t="e">
        <f>'Product info'!#REF!</f>
        <v>#REF!</v>
      </c>
      <c r="B576" t="e">
        <f>'Product info'!#REF!</f>
        <v>#REF!</v>
      </c>
      <c r="C576" t="e">
        <f>'Product info'!#REF!</f>
        <v>#REF!</v>
      </c>
      <c r="D576" s="6" t="e">
        <f>'Product info'!#REF!</f>
        <v>#REF!</v>
      </c>
      <c r="E576" t="e">
        <f t="shared" si="106"/>
        <v>#REF!</v>
      </c>
      <c r="F576" s="50" t="e">
        <f>'Product info'!#REF!</f>
        <v>#REF!</v>
      </c>
      <c r="G576" s="50" t="e">
        <f>'Product info'!#REF!</f>
        <v>#REF!</v>
      </c>
      <c r="H576" s="50" t="e">
        <f>'Product info'!#REF!</f>
        <v>#REF!</v>
      </c>
      <c r="I576" s="50" t="e">
        <f>'Product info'!#REF!</f>
        <v>#REF!</v>
      </c>
      <c r="J576" s="51" t="e">
        <f>'Product info'!#REF!</f>
        <v>#REF!</v>
      </c>
      <c r="K576" s="52" t="e">
        <f t="shared" si="107"/>
        <v>#REF!</v>
      </c>
      <c r="L576" s="50" t="e">
        <f t="shared" si="108"/>
        <v>#REF!</v>
      </c>
      <c r="M576" s="50" t="e">
        <f t="shared" si="109"/>
        <v>#REF!</v>
      </c>
      <c r="N576" s="50" t="e">
        <f t="shared" si="110"/>
        <v>#REF!</v>
      </c>
      <c r="O576" s="50" t="e">
        <f t="shared" si="111"/>
        <v>#REF!</v>
      </c>
      <c r="P576" s="53" t="e">
        <f t="shared" si="112"/>
        <v>#REF!</v>
      </c>
      <c r="Q576" s="54" t="e">
        <f>'Product info'!#REF!</f>
        <v>#REF!</v>
      </c>
      <c r="R576" s="54" t="e">
        <f>'Product info'!#REF!</f>
        <v>#REF!</v>
      </c>
      <c r="S576" s="54" t="e">
        <f>'Product info'!#REF!</f>
        <v>#REF!</v>
      </c>
      <c r="T576" s="50" t="e">
        <f>'Product info'!#REF!</f>
        <v>#REF!</v>
      </c>
      <c r="U576" s="52" t="e">
        <f t="shared" si="113"/>
        <v>#REF!</v>
      </c>
      <c r="V576" s="50" t="e">
        <f t="shared" si="114"/>
        <v>#REF!</v>
      </c>
      <c r="W576" s="50" t="e">
        <f t="shared" si="115"/>
        <v>#REF!</v>
      </c>
      <c r="X576" s="50" t="e">
        <f t="shared" si="116"/>
        <v>#REF!</v>
      </c>
      <c r="Y576" s="50" t="e">
        <f t="shared" si="117"/>
        <v>#REF!</v>
      </c>
      <c r="Z576" t="e">
        <f t="shared" si="118"/>
        <v>#REF!</v>
      </c>
    </row>
    <row r="577" spans="1:26" x14ac:dyDescent="0.4">
      <c r="A577" t="e">
        <f>'Product info'!#REF!</f>
        <v>#REF!</v>
      </c>
      <c r="B577" t="e">
        <f>'Product info'!#REF!</f>
        <v>#REF!</v>
      </c>
      <c r="C577" t="e">
        <f>'Product info'!#REF!</f>
        <v>#REF!</v>
      </c>
      <c r="D577" s="6" t="e">
        <f>'Product info'!#REF!</f>
        <v>#REF!</v>
      </c>
      <c r="E577" t="e">
        <f t="shared" si="106"/>
        <v>#REF!</v>
      </c>
      <c r="F577" s="50" t="e">
        <f>'Product info'!#REF!</f>
        <v>#REF!</v>
      </c>
      <c r="G577" s="50" t="e">
        <f>'Product info'!#REF!</f>
        <v>#REF!</v>
      </c>
      <c r="H577" s="50" t="e">
        <f>'Product info'!#REF!</f>
        <v>#REF!</v>
      </c>
      <c r="I577" s="50" t="e">
        <f>'Product info'!#REF!</f>
        <v>#REF!</v>
      </c>
      <c r="J577" s="51" t="e">
        <f>'Product info'!#REF!</f>
        <v>#REF!</v>
      </c>
      <c r="K577" s="52" t="e">
        <f t="shared" si="107"/>
        <v>#REF!</v>
      </c>
      <c r="L577" s="50" t="e">
        <f t="shared" si="108"/>
        <v>#REF!</v>
      </c>
      <c r="M577" s="50" t="e">
        <f t="shared" si="109"/>
        <v>#REF!</v>
      </c>
      <c r="N577" s="50" t="e">
        <f t="shared" si="110"/>
        <v>#REF!</v>
      </c>
      <c r="O577" s="50" t="e">
        <f t="shared" si="111"/>
        <v>#REF!</v>
      </c>
      <c r="P577" s="53" t="e">
        <f t="shared" si="112"/>
        <v>#REF!</v>
      </c>
      <c r="Q577" s="54" t="e">
        <f>'Product info'!#REF!</f>
        <v>#REF!</v>
      </c>
      <c r="R577" s="54" t="e">
        <f>'Product info'!#REF!</f>
        <v>#REF!</v>
      </c>
      <c r="S577" s="54" t="e">
        <f>'Product info'!#REF!</f>
        <v>#REF!</v>
      </c>
      <c r="T577" s="50" t="e">
        <f>'Product info'!#REF!</f>
        <v>#REF!</v>
      </c>
      <c r="U577" s="52" t="e">
        <f t="shared" si="113"/>
        <v>#REF!</v>
      </c>
      <c r="V577" s="50" t="e">
        <f t="shared" si="114"/>
        <v>#REF!</v>
      </c>
      <c r="W577" s="50" t="e">
        <f t="shared" si="115"/>
        <v>#REF!</v>
      </c>
      <c r="X577" s="50" t="e">
        <f t="shared" si="116"/>
        <v>#REF!</v>
      </c>
      <c r="Y577" s="50" t="e">
        <f t="shared" si="117"/>
        <v>#REF!</v>
      </c>
      <c r="Z577" t="e">
        <f t="shared" si="118"/>
        <v>#REF!</v>
      </c>
    </row>
    <row r="578" spans="1:26" x14ac:dyDescent="0.4">
      <c r="A578" t="e">
        <f>'Product info'!#REF!</f>
        <v>#REF!</v>
      </c>
      <c r="B578" t="e">
        <f>'Product info'!#REF!</f>
        <v>#REF!</v>
      </c>
      <c r="C578" s="6" t="e">
        <f>'Product info'!#REF!</f>
        <v>#REF!</v>
      </c>
      <c r="D578" s="6" t="e">
        <f>'Product info'!#REF!</f>
        <v>#REF!</v>
      </c>
      <c r="E578" t="e">
        <f t="shared" si="106"/>
        <v>#REF!</v>
      </c>
      <c r="F578" s="50" t="e">
        <f>'Product info'!#REF!</f>
        <v>#REF!</v>
      </c>
      <c r="G578" s="50" t="e">
        <f>'Product info'!#REF!</f>
        <v>#REF!</v>
      </c>
      <c r="H578" s="50" t="e">
        <f>'Product info'!#REF!</f>
        <v>#REF!</v>
      </c>
      <c r="I578" s="50" t="e">
        <f>'Product info'!#REF!</f>
        <v>#REF!</v>
      </c>
      <c r="J578" s="51" t="e">
        <f>'Product info'!#REF!</f>
        <v>#REF!</v>
      </c>
      <c r="K578" s="52" t="e">
        <f t="shared" si="107"/>
        <v>#REF!</v>
      </c>
      <c r="L578" s="50" t="e">
        <f t="shared" si="108"/>
        <v>#REF!</v>
      </c>
      <c r="M578" s="50" t="e">
        <f t="shared" si="109"/>
        <v>#REF!</v>
      </c>
      <c r="N578" s="50" t="e">
        <f t="shared" si="110"/>
        <v>#REF!</v>
      </c>
      <c r="O578" s="50" t="e">
        <f t="shared" si="111"/>
        <v>#REF!</v>
      </c>
      <c r="P578" s="53" t="e">
        <f t="shared" si="112"/>
        <v>#REF!</v>
      </c>
      <c r="Q578" s="54" t="e">
        <f>'Product info'!#REF!</f>
        <v>#REF!</v>
      </c>
      <c r="R578" s="54" t="e">
        <f>'Product info'!#REF!</f>
        <v>#REF!</v>
      </c>
      <c r="S578" s="54" t="e">
        <f>'Product info'!#REF!</f>
        <v>#REF!</v>
      </c>
      <c r="T578" s="50" t="e">
        <f>'Product info'!#REF!</f>
        <v>#REF!</v>
      </c>
      <c r="U578" s="52" t="e">
        <f t="shared" si="113"/>
        <v>#REF!</v>
      </c>
      <c r="V578" s="50" t="e">
        <f t="shared" si="114"/>
        <v>#REF!</v>
      </c>
      <c r="W578" s="50" t="e">
        <f t="shared" si="115"/>
        <v>#REF!</v>
      </c>
      <c r="X578" s="50" t="e">
        <f t="shared" si="116"/>
        <v>#REF!</v>
      </c>
      <c r="Y578" s="50" t="e">
        <f t="shared" si="117"/>
        <v>#REF!</v>
      </c>
      <c r="Z578" t="e">
        <f t="shared" si="118"/>
        <v>#REF!</v>
      </c>
    </row>
    <row r="579" spans="1:26" x14ac:dyDescent="0.4">
      <c r="A579" t="e">
        <f>'Product info'!#REF!</f>
        <v>#REF!</v>
      </c>
      <c r="B579" t="e">
        <f>'Product info'!#REF!</f>
        <v>#REF!</v>
      </c>
      <c r="C579" s="6" t="e">
        <f>'Product info'!#REF!</f>
        <v>#REF!</v>
      </c>
      <c r="D579" s="6" t="e">
        <f>'Product info'!#REF!</f>
        <v>#REF!</v>
      </c>
      <c r="E579" t="e">
        <f t="shared" si="106"/>
        <v>#REF!</v>
      </c>
      <c r="F579" s="50" t="e">
        <f>'Product info'!#REF!</f>
        <v>#REF!</v>
      </c>
      <c r="G579" s="50" t="e">
        <f>'Product info'!#REF!</f>
        <v>#REF!</v>
      </c>
      <c r="H579" s="50" t="e">
        <f>'Product info'!#REF!</f>
        <v>#REF!</v>
      </c>
      <c r="I579" s="50" t="e">
        <f>'Product info'!#REF!</f>
        <v>#REF!</v>
      </c>
      <c r="J579" s="51" t="e">
        <f>'Product info'!#REF!</f>
        <v>#REF!</v>
      </c>
      <c r="K579" s="52" t="e">
        <f t="shared" si="107"/>
        <v>#REF!</v>
      </c>
      <c r="L579" s="50" t="e">
        <f t="shared" si="108"/>
        <v>#REF!</v>
      </c>
      <c r="M579" s="50" t="e">
        <f t="shared" si="109"/>
        <v>#REF!</v>
      </c>
      <c r="N579" s="50" t="e">
        <f t="shared" si="110"/>
        <v>#REF!</v>
      </c>
      <c r="O579" s="50" t="e">
        <f t="shared" si="111"/>
        <v>#REF!</v>
      </c>
      <c r="P579" s="53" t="e">
        <f t="shared" si="112"/>
        <v>#REF!</v>
      </c>
      <c r="Q579" s="54" t="e">
        <f>'Product info'!#REF!</f>
        <v>#REF!</v>
      </c>
      <c r="R579" s="54" t="e">
        <f>'Product info'!#REF!</f>
        <v>#REF!</v>
      </c>
      <c r="S579" s="54" t="e">
        <f>'Product info'!#REF!</f>
        <v>#REF!</v>
      </c>
      <c r="T579" s="50" t="e">
        <f>'Product info'!#REF!</f>
        <v>#REF!</v>
      </c>
      <c r="U579" s="52" t="e">
        <f t="shared" si="113"/>
        <v>#REF!</v>
      </c>
      <c r="V579" s="50" t="e">
        <f t="shared" si="114"/>
        <v>#REF!</v>
      </c>
      <c r="W579" s="50" t="e">
        <f t="shared" si="115"/>
        <v>#REF!</v>
      </c>
      <c r="X579" s="50" t="e">
        <f t="shared" si="116"/>
        <v>#REF!</v>
      </c>
      <c r="Y579" s="50" t="e">
        <f t="shared" si="117"/>
        <v>#REF!</v>
      </c>
      <c r="Z579" t="e">
        <f t="shared" si="118"/>
        <v>#REF!</v>
      </c>
    </row>
    <row r="580" spans="1:26" x14ac:dyDescent="0.4">
      <c r="A580" t="e">
        <f>'Product info'!#REF!</f>
        <v>#REF!</v>
      </c>
      <c r="B580" t="e">
        <f>'Product info'!#REF!</f>
        <v>#REF!</v>
      </c>
      <c r="C580" s="6" t="e">
        <f>'Product info'!#REF!</f>
        <v>#REF!</v>
      </c>
      <c r="D580" s="6" t="e">
        <f>'Product info'!#REF!</f>
        <v>#REF!</v>
      </c>
      <c r="E580" t="e">
        <f t="shared" ref="E580:E600" si="119">F580&amp;"*"&amp;G580&amp;"*"&amp;H580</f>
        <v>#REF!</v>
      </c>
      <c r="F580" s="50" t="e">
        <f>'Product info'!#REF!</f>
        <v>#REF!</v>
      </c>
      <c r="G580" s="50" t="e">
        <f>'Product info'!#REF!</f>
        <v>#REF!</v>
      </c>
      <c r="H580" s="50" t="e">
        <f>'Product info'!#REF!</f>
        <v>#REF!</v>
      </c>
      <c r="I580" s="50" t="e">
        <f>'Product info'!#REF!</f>
        <v>#REF!</v>
      </c>
      <c r="J580" s="51" t="e">
        <f>'Product info'!#REF!</f>
        <v>#REF!</v>
      </c>
      <c r="K580" s="52" t="e">
        <f t="shared" ref="K580:K600" si="120">F580*G580*H580/(100*100*100)</f>
        <v>#REF!</v>
      </c>
      <c r="L580" s="50" t="e">
        <f t="shared" ref="L580:L600" si="121">F580*0.393701</f>
        <v>#REF!</v>
      </c>
      <c r="M580" s="50" t="e">
        <f t="shared" ref="M580:M600" si="122">G580*0.393701</f>
        <v>#REF!</v>
      </c>
      <c r="N580" s="50" t="e">
        <f t="shared" ref="N580:N600" si="123">H580*0.393701</f>
        <v>#REF!</v>
      </c>
      <c r="O580" s="50" t="e">
        <f t="shared" ref="O580:O600" si="124">I580*2.20462</f>
        <v>#REF!</v>
      </c>
      <c r="P580" s="53" t="e">
        <f t="shared" ref="P580:P600" si="125">Q580&amp;"*"&amp;R580&amp;"*"&amp;S580</f>
        <v>#REF!</v>
      </c>
      <c r="Q580" s="54" t="e">
        <f>'Product info'!#REF!</f>
        <v>#REF!</v>
      </c>
      <c r="R580" s="54" t="e">
        <f>'Product info'!#REF!</f>
        <v>#REF!</v>
      </c>
      <c r="S580" s="54" t="e">
        <f>'Product info'!#REF!</f>
        <v>#REF!</v>
      </c>
      <c r="T580" s="50" t="e">
        <f>'Product info'!#REF!</f>
        <v>#REF!</v>
      </c>
      <c r="U580" s="52" t="e">
        <f t="shared" ref="U580:U600" si="126">Q580*R580*S580/(100*100*100)</f>
        <v>#REF!</v>
      </c>
      <c r="V580" s="50" t="e">
        <f t="shared" ref="V580:V600" si="127">Q580*0.393701</f>
        <v>#REF!</v>
      </c>
      <c r="W580" s="50" t="e">
        <f t="shared" ref="W580:W600" si="128">R580*0.393701</f>
        <v>#REF!</v>
      </c>
      <c r="X580" s="50" t="e">
        <f t="shared" ref="X580:X600" si="129">S580*0.393701</f>
        <v>#REF!</v>
      </c>
      <c r="Y580" s="50" t="e">
        <f t="shared" ref="Y580:Y600" si="130">T580*2.20462</f>
        <v>#REF!</v>
      </c>
      <c r="Z580" t="e">
        <f t="shared" ref="Z580:Z643" si="131">K580/J580</f>
        <v>#REF!</v>
      </c>
    </row>
    <row r="581" spans="1:26" x14ac:dyDescent="0.4">
      <c r="A581" t="e">
        <f>'Product info'!#REF!</f>
        <v>#REF!</v>
      </c>
      <c r="B581" t="e">
        <f>'Product info'!#REF!</f>
        <v>#REF!</v>
      </c>
      <c r="C581" s="6" t="e">
        <f>'Product info'!#REF!</f>
        <v>#REF!</v>
      </c>
      <c r="D581" s="6" t="e">
        <f>'Product info'!#REF!</f>
        <v>#REF!</v>
      </c>
      <c r="E581" t="e">
        <f t="shared" si="119"/>
        <v>#REF!</v>
      </c>
      <c r="F581" s="50" t="e">
        <f>'Product info'!#REF!</f>
        <v>#REF!</v>
      </c>
      <c r="G581" s="50" t="e">
        <f>'Product info'!#REF!</f>
        <v>#REF!</v>
      </c>
      <c r="H581" s="50" t="e">
        <f>'Product info'!#REF!</f>
        <v>#REF!</v>
      </c>
      <c r="I581" s="50" t="e">
        <f>'Product info'!#REF!</f>
        <v>#REF!</v>
      </c>
      <c r="J581" s="51" t="e">
        <f>'Product info'!#REF!</f>
        <v>#REF!</v>
      </c>
      <c r="K581" s="52" t="e">
        <f t="shared" si="120"/>
        <v>#REF!</v>
      </c>
      <c r="L581" s="50" t="e">
        <f t="shared" si="121"/>
        <v>#REF!</v>
      </c>
      <c r="M581" s="50" t="e">
        <f t="shared" si="122"/>
        <v>#REF!</v>
      </c>
      <c r="N581" s="50" t="e">
        <f t="shared" si="123"/>
        <v>#REF!</v>
      </c>
      <c r="O581" s="50" t="e">
        <f t="shared" si="124"/>
        <v>#REF!</v>
      </c>
      <c r="P581" s="53" t="e">
        <f t="shared" si="125"/>
        <v>#REF!</v>
      </c>
      <c r="Q581" s="54" t="e">
        <f>'Product info'!#REF!</f>
        <v>#REF!</v>
      </c>
      <c r="R581" s="54" t="e">
        <f>'Product info'!#REF!</f>
        <v>#REF!</v>
      </c>
      <c r="S581" s="54" t="e">
        <f>'Product info'!#REF!</f>
        <v>#REF!</v>
      </c>
      <c r="T581" s="50" t="e">
        <f>'Product info'!#REF!</f>
        <v>#REF!</v>
      </c>
      <c r="U581" s="52" t="e">
        <f t="shared" si="126"/>
        <v>#REF!</v>
      </c>
      <c r="V581" s="50" t="e">
        <f t="shared" si="127"/>
        <v>#REF!</v>
      </c>
      <c r="W581" s="50" t="e">
        <f t="shared" si="128"/>
        <v>#REF!</v>
      </c>
      <c r="X581" s="50" t="e">
        <f t="shared" si="129"/>
        <v>#REF!</v>
      </c>
      <c r="Y581" s="50" t="e">
        <f t="shared" si="130"/>
        <v>#REF!</v>
      </c>
      <c r="Z581" t="e">
        <f t="shared" si="131"/>
        <v>#REF!</v>
      </c>
    </row>
    <row r="582" spans="1:26" x14ac:dyDescent="0.4">
      <c r="A582" t="e">
        <f>'Product info'!#REF!</f>
        <v>#REF!</v>
      </c>
      <c r="B582" t="e">
        <f>'Product info'!#REF!</f>
        <v>#REF!</v>
      </c>
      <c r="C582" s="6" t="e">
        <f>'Product info'!#REF!</f>
        <v>#REF!</v>
      </c>
      <c r="D582" s="6" t="e">
        <f>'Product info'!#REF!</f>
        <v>#REF!</v>
      </c>
      <c r="E582" t="e">
        <f t="shared" si="119"/>
        <v>#REF!</v>
      </c>
      <c r="F582" s="50" t="e">
        <f>'Product info'!#REF!</f>
        <v>#REF!</v>
      </c>
      <c r="G582" s="50" t="e">
        <f>'Product info'!#REF!</f>
        <v>#REF!</v>
      </c>
      <c r="H582" s="50" t="e">
        <f>'Product info'!#REF!</f>
        <v>#REF!</v>
      </c>
      <c r="I582" s="50" t="e">
        <f>'Product info'!#REF!</f>
        <v>#REF!</v>
      </c>
      <c r="J582" s="51" t="e">
        <f>'Product info'!#REF!</f>
        <v>#REF!</v>
      </c>
      <c r="K582" s="52" t="e">
        <f t="shared" si="120"/>
        <v>#REF!</v>
      </c>
      <c r="L582" s="50" t="e">
        <f t="shared" si="121"/>
        <v>#REF!</v>
      </c>
      <c r="M582" s="50" t="e">
        <f t="shared" si="122"/>
        <v>#REF!</v>
      </c>
      <c r="N582" s="50" t="e">
        <f t="shared" si="123"/>
        <v>#REF!</v>
      </c>
      <c r="O582" s="50" t="e">
        <f t="shared" si="124"/>
        <v>#REF!</v>
      </c>
      <c r="P582" s="53" t="e">
        <f t="shared" si="125"/>
        <v>#REF!</v>
      </c>
      <c r="Q582" s="54" t="e">
        <f>'Product info'!#REF!</f>
        <v>#REF!</v>
      </c>
      <c r="R582" s="54" t="e">
        <f>'Product info'!#REF!</f>
        <v>#REF!</v>
      </c>
      <c r="S582" s="54" t="e">
        <f>'Product info'!#REF!</f>
        <v>#REF!</v>
      </c>
      <c r="T582" s="50" t="e">
        <f>'Product info'!#REF!</f>
        <v>#REF!</v>
      </c>
      <c r="U582" s="52" t="e">
        <f t="shared" si="126"/>
        <v>#REF!</v>
      </c>
      <c r="V582" s="50" t="e">
        <f t="shared" si="127"/>
        <v>#REF!</v>
      </c>
      <c r="W582" s="50" t="e">
        <f t="shared" si="128"/>
        <v>#REF!</v>
      </c>
      <c r="X582" s="50" t="e">
        <f t="shared" si="129"/>
        <v>#REF!</v>
      </c>
      <c r="Y582" s="50" t="e">
        <f t="shared" si="130"/>
        <v>#REF!</v>
      </c>
      <c r="Z582" t="e">
        <f t="shared" si="131"/>
        <v>#REF!</v>
      </c>
    </row>
    <row r="583" spans="1:26" x14ac:dyDescent="0.4">
      <c r="A583" t="e">
        <f>'Product info'!#REF!</f>
        <v>#REF!</v>
      </c>
      <c r="B583" t="e">
        <f>'Product info'!#REF!</f>
        <v>#REF!</v>
      </c>
      <c r="C583" s="6" t="e">
        <f>'Product info'!#REF!</f>
        <v>#REF!</v>
      </c>
      <c r="D583" s="6" t="e">
        <f>'Product info'!#REF!</f>
        <v>#REF!</v>
      </c>
      <c r="E583" t="e">
        <f t="shared" si="119"/>
        <v>#REF!</v>
      </c>
      <c r="F583" s="50" t="e">
        <f>'Product info'!#REF!</f>
        <v>#REF!</v>
      </c>
      <c r="G583" s="50" t="e">
        <f>'Product info'!#REF!</f>
        <v>#REF!</v>
      </c>
      <c r="H583" s="50" t="e">
        <f>'Product info'!#REF!</f>
        <v>#REF!</v>
      </c>
      <c r="I583" s="50" t="e">
        <f>'Product info'!#REF!</f>
        <v>#REF!</v>
      </c>
      <c r="J583" s="51" t="e">
        <f>'Product info'!#REF!</f>
        <v>#REF!</v>
      </c>
      <c r="K583" s="52" t="e">
        <f t="shared" si="120"/>
        <v>#REF!</v>
      </c>
      <c r="L583" s="50" t="e">
        <f t="shared" si="121"/>
        <v>#REF!</v>
      </c>
      <c r="M583" s="50" t="e">
        <f t="shared" si="122"/>
        <v>#REF!</v>
      </c>
      <c r="N583" s="50" t="e">
        <f t="shared" si="123"/>
        <v>#REF!</v>
      </c>
      <c r="O583" s="50" t="e">
        <f t="shared" si="124"/>
        <v>#REF!</v>
      </c>
      <c r="P583" s="53" t="e">
        <f t="shared" si="125"/>
        <v>#REF!</v>
      </c>
      <c r="Q583" s="54" t="e">
        <f>'Product info'!#REF!</f>
        <v>#REF!</v>
      </c>
      <c r="R583" s="54" t="e">
        <f>'Product info'!#REF!</f>
        <v>#REF!</v>
      </c>
      <c r="S583" s="54" t="e">
        <f>'Product info'!#REF!</f>
        <v>#REF!</v>
      </c>
      <c r="T583" s="50" t="e">
        <f>'Product info'!#REF!</f>
        <v>#REF!</v>
      </c>
      <c r="U583" s="52" t="e">
        <f t="shared" si="126"/>
        <v>#REF!</v>
      </c>
      <c r="V583" s="50" t="e">
        <f t="shared" si="127"/>
        <v>#REF!</v>
      </c>
      <c r="W583" s="50" t="e">
        <f t="shared" si="128"/>
        <v>#REF!</v>
      </c>
      <c r="X583" s="50" t="e">
        <f t="shared" si="129"/>
        <v>#REF!</v>
      </c>
      <c r="Y583" s="50" t="e">
        <f t="shared" si="130"/>
        <v>#REF!</v>
      </c>
      <c r="Z583" t="e">
        <f t="shared" si="131"/>
        <v>#REF!</v>
      </c>
    </row>
    <row r="584" spans="1:26" x14ac:dyDescent="0.4">
      <c r="A584" t="e">
        <f>'Product info'!#REF!</f>
        <v>#REF!</v>
      </c>
      <c r="B584" t="e">
        <f>'Product info'!#REF!</f>
        <v>#REF!</v>
      </c>
      <c r="C584" s="6" t="e">
        <f>'Product info'!#REF!</f>
        <v>#REF!</v>
      </c>
      <c r="D584" s="6" t="e">
        <f>'Product info'!#REF!</f>
        <v>#REF!</v>
      </c>
      <c r="E584" t="e">
        <f t="shared" si="119"/>
        <v>#REF!</v>
      </c>
      <c r="F584" s="50" t="e">
        <f>'Product info'!#REF!</f>
        <v>#REF!</v>
      </c>
      <c r="G584" s="50" t="e">
        <f>'Product info'!#REF!</f>
        <v>#REF!</v>
      </c>
      <c r="H584" s="50" t="e">
        <f>'Product info'!#REF!</f>
        <v>#REF!</v>
      </c>
      <c r="I584" s="50" t="e">
        <f>'Product info'!#REF!</f>
        <v>#REF!</v>
      </c>
      <c r="J584" s="51" t="e">
        <f>'Product info'!#REF!</f>
        <v>#REF!</v>
      </c>
      <c r="K584" s="52" t="e">
        <f t="shared" si="120"/>
        <v>#REF!</v>
      </c>
      <c r="L584" s="50" t="e">
        <f t="shared" si="121"/>
        <v>#REF!</v>
      </c>
      <c r="M584" s="50" t="e">
        <f t="shared" si="122"/>
        <v>#REF!</v>
      </c>
      <c r="N584" s="50" t="e">
        <f t="shared" si="123"/>
        <v>#REF!</v>
      </c>
      <c r="O584" s="50" t="e">
        <f t="shared" si="124"/>
        <v>#REF!</v>
      </c>
      <c r="P584" s="53" t="e">
        <f t="shared" si="125"/>
        <v>#REF!</v>
      </c>
      <c r="Q584" s="54" t="e">
        <f>'Product info'!#REF!</f>
        <v>#REF!</v>
      </c>
      <c r="R584" s="54" t="e">
        <f>'Product info'!#REF!</f>
        <v>#REF!</v>
      </c>
      <c r="S584" s="54" t="e">
        <f>'Product info'!#REF!</f>
        <v>#REF!</v>
      </c>
      <c r="T584" s="50" t="e">
        <f>'Product info'!#REF!</f>
        <v>#REF!</v>
      </c>
      <c r="U584" s="52" t="e">
        <f t="shared" si="126"/>
        <v>#REF!</v>
      </c>
      <c r="V584" s="50" t="e">
        <f t="shared" si="127"/>
        <v>#REF!</v>
      </c>
      <c r="W584" s="50" t="e">
        <f t="shared" si="128"/>
        <v>#REF!</v>
      </c>
      <c r="X584" s="50" t="e">
        <f t="shared" si="129"/>
        <v>#REF!</v>
      </c>
      <c r="Y584" s="50" t="e">
        <f t="shared" si="130"/>
        <v>#REF!</v>
      </c>
      <c r="Z584" t="e">
        <f t="shared" si="131"/>
        <v>#REF!</v>
      </c>
    </row>
    <row r="585" spans="1:26" x14ac:dyDescent="0.4">
      <c r="A585" t="e">
        <f>'Product info'!#REF!</f>
        <v>#REF!</v>
      </c>
      <c r="B585" t="e">
        <f>'Product info'!#REF!</f>
        <v>#REF!</v>
      </c>
      <c r="C585" s="6" t="e">
        <f>'Product info'!#REF!</f>
        <v>#REF!</v>
      </c>
      <c r="D585" s="6" t="e">
        <f>'Product info'!#REF!</f>
        <v>#REF!</v>
      </c>
      <c r="E585" t="e">
        <f t="shared" si="119"/>
        <v>#REF!</v>
      </c>
      <c r="F585" s="50" t="e">
        <f>'Product info'!#REF!</f>
        <v>#REF!</v>
      </c>
      <c r="G585" s="50" t="e">
        <f>'Product info'!#REF!</f>
        <v>#REF!</v>
      </c>
      <c r="H585" s="50" t="e">
        <f>'Product info'!#REF!</f>
        <v>#REF!</v>
      </c>
      <c r="I585" s="50" t="e">
        <f>'Product info'!#REF!</f>
        <v>#REF!</v>
      </c>
      <c r="J585" s="51" t="e">
        <f>'Product info'!#REF!</f>
        <v>#REF!</v>
      </c>
      <c r="K585" s="52" t="e">
        <f t="shared" si="120"/>
        <v>#REF!</v>
      </c>
      <c r="L585" s="50" t="e">
        <f t="shared" si="121"/>
        <v>#REF!</v>
      </c>
      <c r="M585" s="50" t="e">
        <f t="shared" si="122"/>
        <v>#REF!</v>
      </c>
      <c r="N585" s="50" t="e">
        <f t="shared" si="123"/>
        <v>#REF!</v>
      </c>
      <c r="O585" s="50" t="e">
        <f t="shared" si="124"/>
        <v>#REF!</v>
      </c>
      <c r="P585" s="53" t="e">
        <f t="shared" si="125"/>
        <v>#REF!</v>
      </c>
      <c r="Q585" s="54" t="e">
        <f>'Product info'!#REF!</f>
        <v>#REF!</v>
      </c>
      <c r="R585" s="54" t="e">
        <f>'Product info'!#REF!</f>
        <v>#REF!</v>
      </c>
      <c r="S585" s="54" t="e">
        <f>'Product info'!#REF!</f>
        <v>#REF!</v>
      </c>
      <c r="T585" s="50" t="e">
        <f>'Product info'!#REF!</f>
        <v>#REF!</v>
      </c>
      <c r="U585" s="52" t="e">
        <f t="shared" si="126"/>
        <v>#REF!</v>
      </c>
      <c r="V585" s="50" t="e">
        <f t="shared" si="127"/>
        <v>#REF!</v>
      </c>
      <c r="W585" s="50" t="e">
        <f t="shared" si="128"/>
        <v>#REF!</v>
      </c>
      <c r="X585" s="50" t="e">
        <f t="shared" si="129"/>
        <v>#REF!</v>
      </c>
      <c r="Y585" s="50" t="e">
        <f t="shared" si="130"/>
        <v>#REF!</v>
      </c>
      <c r="Z585" t="e">
        <f t="shared" si="131"/>
        <v>#REF!</v>
      </c>
    </row>
    <row r="586" spans="1:26" x14ac:dyDescent="0.4">
      <c r="A586" t="e">
        <f>'Product info'!#REF!</f>
        <v>#REF!</v>
      </c>
      <c r="B586" t="e">
        <f>'Product info'!#REF!</f>
        <v>#REF!</v>
      </c>
      <c r="C586" s="6" t="e">
        <f>'Product info'!#REF!</f>
        <v>#REF!</v>
      </c>
      <c r="D586" s="6" t="e">
        <f>'Product info'!#REF!</f>
        <v>#REF!</v>
      </c>
      <c r="E586" t="e">
        <f t="shared" si="119"/>
        <v>#REF!</v>
      </c>
      <c r="F586" s="50" t="e">
        <f>'Product info'!#REF!</f>
        <v>#REF!</v>
      </c>
      <c r="G586" s="50" t="e">
        <f>'Product info'!#REF!</f>
        <v>#REF!</v>
      </c>
      <c r="H586" s="50" t="e">
        <f>'Product info'!#REF!</f>
        <v>#REF!</v>
      </c>
      <c r="I586" s="50" t="e">
        <f>'Product info'!#REF!</f>
        <v>#REF!</v>
      </c>
      <c r="J586" s="51" t="e">
        <f>'Product info'!#REF!</f>
        <v>#REF!</v>
      </c>
      <c r="K586" s="52" t="e">
        <f t="shared" si="120"/>
        <v>#REF!</v>
      </c>
      <c r="L586" s="50" t="e">
        <f t="shared" si="121"/>
        <v>#REF!</v>
      </c>
      <c r="M586" s="50" t="e">
        <f t="shared" si="122"/>
        <v>#REF!</v>
      </c>
      <c r="N586" s="50" t="e">
        <f t="shared" si="123"/>
        <v>#REF!</v>
      </c>
      <c r="O586" s="50" t="e">
        <f t="shared" si="124"/>
        <v>#REF!</v>
      </c>
      <c r="P586" s="53" t="e">
        <f t="shared" si="125"/>
        <v>#REF!</v>
      </c>
      <c r="Q586" s="54" t="e">
        <f>'Product info'!#REF!</f>
        <v>#REF!</v>
      </c>
      <c r="R586" s="54" t="e">
        <f>'Product info'!#REF!</f>
        <v>#REF!</v>
      </c>
      <c r="S586" s="54" t="e">
        <f>'Product info'!#REF!</f>
        <v>#REF!</v>
      </c>
      <c r="T586" s="50" t="e">
        <f>'Product info'!#REF!</f>
        <v>#REF!</v>
      </c>
      <c r="U586" s="52" t="e">
        <f t="shared" si="126"/>
        <v>#REF!</v>
      </c>
      <c r="V586" s="50" t="e">
        <f t="shared" si="127"/>
        <v>#REF!</v>
      </c>
      <c r="W586" s="50" t="e">
        <f t="shared" si="128"/>
        <v>#REF!</v>
      </c>
      <c r="X586" s="50" t="e">
        <f t="shared" si="129"/>
        <v>#REF!</v>
      </c>
      <c r="Y586" s="50" t="e">
        <f t="shared" si="130"/>
        <v>#REF!</v>
      </c>
      <c r="Z586" t="e">
        <f t="shared" si="131"/>
        <v>#REF!</v>
      </c>
    </row>
    <row r="587" spans="1:26" x14ac:dyDescent="0.4">
      <c r="A587" t="e">
        <f>'Product info'!#REF!</f>
        <v>#REF!</v>
      </c>
      <c r="B587" t="e">
        <f>'Product info'!#REF!</f>
        <v>#REF!</v>
      </c>
      <c r="C587" s="6" t="e">
        <f>'Product info'!#REF!</f>
        <v>#REF!</v>
      </c>
      <c r="D587" s="6" t="e">
        <f>'Product info'!#REF!</f>
        <v>#REF!</v>
      </c>
      <c r="E587" t="e">
        <f t="shared" si="119"/>
        <v>#REF!</v>
      </c>
      <c r="F587" s="50" t="e">
        <f>'Product info'!#REF!</f>
        <v>#REF!</v>
      </c>
      <c r="G587" s="50" t="e">
        <f>'Product info'!#REF!</f>
        <v>#REF!</v>
      </c>
      <c r="H587" s="50" t="e">
        <f>'Product info'!#REF!</f>
        <v>#REF!</v>
      </c>
      <c r="I587" s="50" t="e">
        <f>'Product info'!#REF!</f>
        <v>#REF!</v>
      </c>
      <c r="J587" s="51" t="e">
        <f>'Product info'!#REF!</f>
        <v>#REF!</v>
      </c>
      <c r="K587" s="52" t="e">
        <f t="shared" si="120"/>
        <v>#REF!</v>
      </c>
      <c r="L587" s="50" t="e">
        <f t="shared" si="121"/>
        <v>#REF!</v>
      </c>
      <c r="M587" s="50" t="e">
        <f t="shared" si="122"/>
        <v>#REF!</v>
      </c>
      <c r="N587" s="50" t="e">
        <f t="shared" si="123"/>
        <v>#REF!</v>
      </c>
      <c r="O587" s="50" t="e">
        <f t="shared" si="124"/>
        <v>#REF!</v>
      </c>
      <c r="P587" s="53" t="e">
        <f t="shared" si="125"/>
        <v>#REF!</v>
      </c>
      <c r="Q587" s="54" t="e">
        <f>'Product info'!#REF!</f>
        <v>#REF!</v>
      </c>
      <c r="R587" s="54" t="e">
        <f>'Product info'!#REF!</f>
        <v>#REF!</v>
      </c>
      <c r="S587" s="54" t="e">
        <f>'Product info'!#REF!</f>
        <v>#REF!</v>
      </c>
      <c r="T587" s="50" t="e">
        <f>'Product info'!#REF!</f>
        <v>#REF!</v>
      </c>
      <c r="U587" s="52" t="e">
        <f t="shared" si="126"/>
        <v>#REF!</v>
      </c>
      <c r="V587" s="50" t="e">
        <f t="shared" si="127"/>
        <v>#REF!</v>
      </c>
      <c r="W587" s="50" t="e">
        <f t="shared" si="128"/>
        <v>#REF!</v>
      </c>
      <c r="X587" s="50" t="e">
        <f t="shared" si="129"/>
        <v>#REF!</v>
      </c>
      <c r="Y587" s="50" t="e">
        <f t="shared" si="130"/>
        <v>#REF!</v>
      </c>
      <c r="Z587" t="e">
        <f t="shared" si="131"/>
        <v>#REF!</v>
      </c>
    </row>
    <row r="588" spans="1:26" x14ac:dyDescent="0.4">
      <c r="A588" t="e">
        <f>'Product info'!#REF!</f>
        <v>#REF!</v>
      </c>
      <c r="B588" t="e">
        <f>'Product info'!#REF!</f>
        <v>#REF!</v>
      </c>
      <c r="C588" s="6" t="e">
        <f>'Product info'!#REF!</f>
        <v>#REF!</v>
      </c>
      <c r="D588" s="6" t="e">
        <f>'Product info'!#REF!</f>
        <v>#REF!</v>
      </c>
      <c r="E588" t="e">
        <f t="shared" si="119"/>
        <v>#REF!</v>
      </c>
      <c r="F588" s="50" t="e">
        <f>'Product info'!#REF!</f>
        <v>#REF!</v>
      </c>
      <c r="G588" s="50" t="e">
        <f>'Product info'!#REF!</f>
        <v>#REF!</v>
      </c>
      <c r="H588" s="50" t="e">
        <f>'Product info'!#REF!</f>
        <v>#REF!</v>
      </c>
      <c r="I588" s="50" t="e">
        <f>'Product info'!#REF!</f>
        <v>#REF!</v>
      </c>
      <c r="J588" s="51" t="e">
        <f>'Product info'!#REF!</f>
        <v>#REF!</v>
      </c>
      <c r="K588" s="52" t="e">
        <f t="shared" si="120"/>
        <v>#REF!</v>
      </c>
      <c r="L588" s="50" t="e">
        <f t="shared" si="121"/>
        <v>#REF!</v>
      </c>
      <c r="M588" s="50" t="e">
        <f t="shared" si="122"/>
        <v>#REF!</v>
      </c>
      <c r="N588" s="50" t="e">
        <f t="shared" si="123"/>
        <v>#REF!</v>
      </c>
      <c r="O588" s="50" t="e">
        <f t="shared" si="124"/>
        <v>#REF!</v>
      </c>
      <c r="P588" s="53" t="e">
        <f t="shared" si="125"/>
        <v>#REF!</v>
      </c>
      <c r="Q588" s="54" t="e">
        <f>'Product info'!#REF!</f>
        <v>#REF!</v>
      </c>
      <c r="R588" s="54" t="e">
        <f>'Product info'!#REF!</f>
        <v>#REF!</v>
      </c>
      <c r="S588" s="54" t="e">
        <f>'Product info'!#REF!</f>
        <v>#REF!</v>
      </c>
      <c r="T588" s="50" t="e">
        <f>'Product info'!#REF!</f>
        <v>#REF!</v>
      </c>
      <c r="U588" s="52" t="e">
        <f t="shared" si="126"/>
        <v>#REF!</v>
      </c>
      <c r="V588" s="50" t="e">
        <f t="shared" si="127"/>
        <v>#REF!</v>
      </c>
      <c r="W588" s="50" t="e">
        <f t="shared" si="128"/>
        <v>#REF!</v>
      </c>
      <c r="X588" s="50" t="e">
        <f t="shared" si="129"/>
        <v>#REF!</v>
      </c>
      <c r="Y588" s="50" t="e">
        <f t="shared" si="130"/>
        <v>#REF!</v>
      </c>
      <c r="Z588" t="e">
        <f t="shared" si="131"/>
        <v>#REF!</v>
      </c>
    </row>
    <row r="589" spans="1:26" x14ac:dyDescent="0.4">
      <c r="A589" t="e">
        <f>'Product info'!#REF!</f>
        <v>#REF!</v>
      </c>
      <c r="B589" t="e">
        <f>'Product info'!#REF!</f>
        <v>#REF!</v>
      </c>
      <c r="C589" s="6" t="e">
        <f>'Product info'!#REF!</f>
        <v>#REF!</v>
      </c>
      <c r="D589" s="6" t="e">
        <f>'Product info'!#REF!</f>
        <v>#REF!</v>
      </c>
      <c r="E589" t="e">
        <f t="shared" si="119"/>
        <v>#REF!</v>
      </c>
      <c r="F589" s="50" t="e">
        <f>'Product info'!#REF!</f>
        <v>#REF!</v>
      </c>
      <c r="G589" s="50" t="e">
        <f>'Product info'!#REF!</f>
        <v>#REF!</v>
      </c>
      <c r="H589" s="50" t="e">
        <f>'Product info'!#REF!</f>
        <v>#REF!</v>
      </c>
      <c r="I589" s="50" t="e">
        <f>'Product info'!#REF!</f>
        <v>#REF!</v>
      </c>
      <c r="J589" s="51" t="e">
        <f>'Product info'!#REF!</f>
        <v>#REF!</v>
      </c>
      <c r="K589" s="52" t="e">
        <f t="shared" si="120"/>
        <v>#REF!</v>
      </c>
      <c r="L589" s="50" t="e">
        <f t="shared" si="121"/>
        <v>#REF!</v>
      </c>
      <c r="M589" s="50" t="e">
        <f t="shared" si="122"/>
        <v>#REF!</v>
      </c>
      <c r="N589" s="50" t="e">
        <f t="shared" si="123"/>
        <v>#REF!</v>
      </c>
      <c r="O589" s="50" t="e">
        <f t="shared" si="124"/>
        <v>#REF!</v>
      </c>
      <c r="P589" s="53" t="e">
        <f t="shared" si="125"/>
        <v>#REF!</v>
      </c>
      <c r="Q589" s="54" t="e">
        <f>'Product info'!#REF!</f>
        <v>#REF!</v>
      </c>
      <c r="R589" s="54" t="e">
        <f>'Product info'!#REF!</f>
        <v>#REF!</v>
      </c>
      <c r="S589" s="54" t="e">
        <f>'Product info'!#REF!</f>
        <v>#REF!</v>
      </c>
      <c r="T589" s="50" t="e">
        <f>'Product info'!#REF!</f>
        <v>#REF!</v>
      </c>
      <c r="U589" s="52" t="e">
        <f t="shared" si="126"/>
        <v>#REF!</v>
      </c>
      <c r="V589" s="50" t="e">
        <f t="shared" si="127"/>
        <v>#REF!</v>
      </c>
      <c r="W589" s="50" t="e">
        <f t="shared" si="128"/>
        <v>#REF!</v>
      </c>
      <c r="X589" s="50" t="e">
        <f t="shared" si="129"/>
        <v>#REF!</v>
      </c>
      <c r="Y589" s="50" t="e">
        <f t="shared" si="130"/>
        <v>#REF!</v>
      </c>
      <c r="Z589" t="e">
        <f t="shared" si="131"/>
        <v>#REF!</v>
      </c>
    </row>
    <row r="590" spans="1:26" x14ac:dyDescent="0.4">
      <c r="A590" t="e">
        <f>'Product info'!#REF!</f>
        <v>#REF!</v>
      </c>
      <c r="B590" t="e">
        <f>'Product info'!#REF!</f>
        <v>#REF!</v>
      </c>
      <c r="C590" s="6" t="e">
        <f>'Product info'!#REF!</f>
        <v>#REF!</v>
      </c>
      <c r="D590" s="6" t="e">
        <f>'Product info'!#REF!</f>
        <v>#REF!</v>
      </c>
      <c r="E590" t="e">
        <f t="shared" si="119"/>
        <v>#REF!</v>
      </c>
      <c r="F590" s="50" t="e">
        <f>'Product info'!#REF!</f>
        <v>#REF!</v>
      </c>
      <c r="G590" s="50" t="e">
        <f>'Product info'!#REF!</f>
        <v>#REF!</v>
      </c>
      <c r="H590" s="50" t="e">
        <f>'Product info'!#REF!</f>
        <v>#REF!</v>
      </c>
      <c r="I590" s="50" t="e">
        <f>'Product info'!#REF!</f>
        <v>#REF!</v>
      </c>
      <c r="J590" s="51" t="e">
        <f>'Product info'!#REF!</f>
        <v>#REF!</v>
      </c>
      <c r="K590" s="52" t="e">
        <f t="shared" si="120"/>
        <v>#REF!</v>
      </c>
      <c r="L590" s="50" t="e">
        <f t="shared" si="121"/>
        <v>#REF!</v>
      </c>
      <c r="M590" s="50" t="e">
        <f t="shared" si="122"/>
        <v>#REF!</v>
      </c>
      <c r="N590" s="50" t="e">
        <f t="shared" si="123"/>
        <v>#REF!</v>
      </c>
      <c r="O590" s="50" t="e">
        <f t="shared" si="124"/>
        <v>#REF!</v>
      </c>
      <c r="P590" s="53" t="e">
        <f t="shared" si="125"/>
        <v>#REF!</v>
      </c>
      <c r="Q590" s="54" t="e">
        <f>'Product info'!#REF!</f>
        <v>#REF!</v>
      </c>
      <c r="R590" s="54" t="e">
        <f>'Product info'!#REF!</f>
        <v>#REF!</v>
      </c>
      <c r="S590" s="54" t="e">
        <f>'Product info'!#REF!</f>
        <v>#REF!</v>
      </c>
      <c r="T590" s="50" t="e">
        <f>'Product info'!#REF!</f>
        <v>#REF!</v>
      </c>
      <c r="U590" s="52" t="e">
        <f t="shared" si="126"/>
        <v>#REF!</v>
      </c>
      <c r="V590" s="50" t="e">
        <f t="shared" si="127"/>
        <v>#REF!</v>
      </c>
      <c r="W590" s="50" t="e">
        <f t="shared" si="128"/>
        <v>#REF!</v>
      </c>
      <c r="X590" s="50" t="e">
        <f t="shared" si="129"/>
        <v>#REF!</v>
      </c>
      <c r="Y590" s="50" t="e">
        <f t="shared" si="130"/>
        <v>#REF!</v>
      </c>
      <c r="Z590" t="e">
        <f t="shared" si="131"/>
        <v>#REF!</v>
      </c>
    </row>
    <row r="591" spans="1:26" x14ac:dyDescent="0.4">
      <c r="A591" t="e">
        <f>'Product info'!#REF!</f>
        <v>#REF!</v>
      </c>
      <c r="B591" t="e">
        <f>'Product info'!#REF!</f>
        <v>#REF!</v>
      </c>
      <c r="C591" s="6" t="e">
        <f>'Product info'!#REF!</f>
        <v>#REF!</v>
      </c>
      <c r="D591" s="6" t="e">
        <f>'Product info'!#REF!</f>
        <v>#REF!</v>
      </c>
      <c r="E591" t="e">
        <f t="shared" si="119"/>
        <v>#REF!</v>
      </c>
      <c r="F591" s="50" t="e">
        <f>'Product info'!#REF!</f>
        <v>#REF!</v>
      </c>
      <c r="G591" s="50" t="e">
        <f>'Product info'!#REF!</f>
        <v>#REF!</v>
      </c>
      <c r="H591" s="50" t="e">
        <f>'Product info'!#REF!</f>
        <v>#REF!</v>
      </c>
      <c r="I591" s="50" t="e">
        <f>'Product info'!#REF!</f>
        <v>#REF!</v>
      </c>
      <c r="J591" s="51" t="e">
        <f>'Product info'!#REF!</f>
        <v>#REF!</v>
      </c>
      <c r="K591" s="52" t="e">
        <f t="shared" si="120"/>
        <v>#REF!</v>
      </c>
      <c r="L591" s="50" t="e">
        <f t="shared" si="121"/>
        <v>#REF!</v>
      </c>
      <c r="M591" s="50" t="e">
        <f t="shared" si="122"/>
        <v>#REF!</v>
      </c>
      <c r="N591" s="50" t="e">
        <f t="shared" si="123"/>
        <v>#REF!</v>
      </c>
      <c r="O591" s="50" t="e">
        <f t="shared" si="124"/>
        <v>#REF!</v>
      </c>
      <c r="P591" s="53" t="e">
        <f t="shared" si="125"/>
        <v>#REF!</v>
      </c>
      <c r="Q591" s="54" t="e">
        <f>'Product info'!#REF!</f>
        <v>#REF!</v>
      </c>
      <c r="R591" s="54" t="e">
        <f>'Product info'!#REF!</f>
        <v>#REF!</v>
      </c>
      <c r="S591" s="54" t="e">
        <f>'Product info'!#REF!</f>
        <v>#REF!</v>
      </c>
      <c r="T591" s="50" t="e">
        <f>'Product info'!#REF!</f>
        <v>#REF!</v>
      </c>
      <c r="U591" s="52" t="e">
        <f t="shared" si="126"/>
        <v>#REF!</v>
      </c>
      <c r="V591" s="50" t="e">
        <f t="shared" si="127"/>
        <v>#REF!</v>
      </c>
      <c r="W591" s="50" t="e">
        <f t="shared" si="128"/>
        <v>#REF!</v>
      </c>
      <c r="X591" s="50" t="e">
        <f t="shared" si="129"/>
        <v>#REF!</v>
      </c>
      <c r="Y591" s="50" t="e">
        <f t="shared" si="130"/>
        <v>#REF!</v>
      </c>
      <c r="Z591" t="e">
        <f t="shared" si="131"/>
        <v>#REF!</v>
      </c>
    </row>
    <row r="592" spans="1:26" x14ac:dyDescent="0.4">
      <c r="A592" t="e">
        <f>'Product info'!#REF!</f>
        <v>#REF!</v>
      </c>
      <c r="B592" t="e">
        <f>'Product info'!#REF!</f>
        <v>#REF!</v>
      </c>
      <c r="C592" s="6" t="e">
        <f>'Product info'!#REF!</f>
        <v>#REF!</v>
      </c>
      <c r="D592" s="6" t="e">
        <f>'Product info'!#REF!</f>
        <v>#REF!</v>
      </c>
      <c r="E592" t="e">
        <f t="shared" si="119"/>
        <v>#REF!</v>
      </c>
      <c r="F592" s="50" t="e">
        <f>'Product info'!#REF!</f>
        <v>#REF!</v>
      </c>
      <c r="G592" s="50" t="e">
        <f>'Product info'!#REF!</f>
        <v>#REF!</v>
      </c>
      <c r="H592" s="50" t="e">
        <f>'Product info'!#REF!</f>
        <v>#REF!</v>
      </c>
      <c r="I592" s="50" t="e">
        <f>'Product info'!#REF!</f>
        <v>#REF!</v>
      </c>
      <c r="J592" s="51" t="e">
        <f>'Product info'!#REF!</f>
        <v>#REF!</v>
      </c>
      <c r="K592" s="52" t="e">
        <f t="shared" si="120"/>
        <v>#REF!</v>
      </c>
      <c r="L592" s="50" t="e">
        <f t="shared" si="121"/>
        <v>#REF!</v>
      </c>
      <c r="M592" s="50" t="e">
        <f t="shared" si="122"/>
        <v>#REF!</v>
      </c>
      <c r="N592" s="50" t="e">
        <f t="shared" si="123"/>
        <v>#REF!</v>
      </c>
      <c r="O592" s="50" t="e">
        <f t="shared" si="124"/>
        <v>#REF!</v>
      </c>
      <c r="P592" s="53" t="e">
        <f t="shared" si="125"/>
        <v>#REF!</v>
      </c>
      <c r="Q592" s="54" t="e">
        <f>'Product info'!#REF!</f>
        <v>#REF!</v>
      </c>
      <c r="R592" s="54" t="e">
        <f>'Product info'!#REF!</f>
        <v>#REF!</v>
      </c>
      <c r="S592" s="54" t="e">
        <f>'Product info'!#REF!</f>
        <v>#REF!</v>
      </c>
      <c r="T592" s="50" t="e">
        <f>'Product info'!#REF!</f>
        <v>#REF!</v>
      </c>
      <c r="U592" s="52" t="e">
        <f t="shared" si="126"/>
        <v>#REF!</v>
      </c>
      <c r="V592" s="50" t="e">
        <f t="shared" si="127"/>
        <v>#REF!</v>
      </c>
      <c r="W592" s="50" t="e">
        <f t="shared" si="128"/>
        <v>#REF!</v>
      </c>
      <c r="X592" s="50" t="e">
        <f t="shared" si="129"/>
        <v>#REF!</v>
      </c>
      <c r="Y592" s="50" t="e">
        <f t="shared" si="130"/>
        <v>#REF!</v>
      </c>
      <c r="Z592" t="e">
        <f t="shared" si="131"/>
        <v>#REF!</v>
      </c>
    </row>
    <row r="593" spans="1:26" x14ac:dyDescent="0.4">
      <c r="A593" t="e">
        <f>'Product info'!#REF!</f>
        <v>#REF!</v>
      </c>
      <c r="B593" t="e">
        <f>'Product info'!#REF!</f>
        <v>#REF!</v>
      </c>
      <c r="C593" s="6" t="e">
        <f>'Product info'!#REF!</f>
        <v>#REF!</v>
      </c>
      <c r="D593" s="6" t="e">
        <f>'Product info'!#REF!</f>
        <v>#REF!</v>
      </c>
      <c r="E593" t="e">
        <f t="shared" si="119"/>
        <v>#REF!</v>
      </c>
      <c r="F593" s="50" t="e">
        <f>'Product info'!#REF!</f>
        <v>#REF!</v>
      </c>
      <c r="G593" s="50" t="e">
        <f>'Product info'!#REF!</f>
        <v>#REF!</v>
      </c>
      <c r="H593" s="50" t="e">
        <f>'Product info'!#REF!</f>
        <v>#REF!</v>
      </c>
      <c r="I593" s="50" t="e">
        <f>'Product info'!#REF!</f>
        <v>#REF!</v>
      </c>
      <c r="J593" s="51" t="e">
        <f>'Product info'!#REF!</f>
        <v>#REF!</v>
      </c>
      <c r="K593" s="52" t="e">
        <f t="shared" si="120"/>
        <v>#REF!</v>
      </c>
      <c r="L593" s="50" t="e">
        <f t="shared" si="121"/>
        <v>#REF!</v>
      </c>
      <c r="M593" s="50" t="e">
        <f t="shared" si="122"/>
        <v>#REF!</v>
      </c>
      <c r="N593" s="50" t="e">
        <f t="shared" si="123"/>
        <v>#REF!</v>
      </c>
      <c r="O593" s="50" t="e">
        <f t="shared" si="124"/>
        <v>#REF!</v>
      </c>
      <c r="P593" s="53" t="e">
        <f t="shared" si="125"/>
        <v>#REF!</v>
      </c>
      <c r="Q593" s="54" t="e">
        <f>'Product info'!#REF!</f>
        <v>#REF!</v>
      </c>
      <c r="R593" s="54" t="e">
        <f>'Product info'!#REF!</f>
        <v>#REF!</v>
      </c>
      <c r="S593" s="54" t="e">
        <f>'Product info'!#REF!</f>
        <v>#REF!</v>
      </c>
      <c r="T593" s="50" t="e">
        <f>'Product info'!#REF!</f>
        <v>#REF!</v>
      </c>
      <c r="U593" s="52" t="e">
        <f t="shared" si="126"/>
        <v>#REF!</v>
      </c>
      <c r="V593" s="50" t="e">
        <f t="shared" si="127"/>
        <v>#REF!</v>
      </c>
      <c r="W593" s="50" t="e">
        <f t="shared" si="128"/>
        <v>#REF!</v>
      </c>
      <c r="X593" s="50" t="e">
        <f t="shared" si="129"/>
        <v>#REF!</v>
      </c>
      <c r="Y593" s="50" t="e">
        <f t="shared" si="130"/>
        <v>#REF!</v>
      </c>
      <c r="Z593" t="e">
        <f t="shared" si="131"/>
        <v>#REF!</v>
      </c>
    </row>
    <row r="594" spans="1:26" x14ac:dyDescent="0.4">
      <c r="A594" t="e">
        <f>'Product info'!#REF!</f>
        <v>#REF!</v>
      </c>
      <c r="B594" t="e">
        <f>'Product info'!#REF!</f>
        <v>#REF!</v>
      </c>
      <c r="C594" s="6" t="e">
        <f>'Product info'!#REF!</f>
        <v>#REF!</v>
      </c>
      <c r="D594" s="6" t="e">
        <f>'Product info'!#REF!</f>
        <v>#REF!</v>
      </c>
      <c r="E594" t="e">
        <f t="shared" si="119"/>
        <v>#REF!</v>
      </c>
      <c r="F594" s="50" t="e">
        <f>'Product info'!#REF!</f>
        <v>#REF!</v>
      </c>
      <c r="G594" s="50" t="e">
        <f>'Product info'!#REF!</f>
        <v>#REF!</v>
      </c>
      <c r="H594" s="50" t="e">
        <f>'Product info'!#REF!</f>
        <v>#REF!</v>
      </c>
      <c r="I594" s="50" t="e">
        <f>'Product info'!#REF!</f>
        <v>#REF!</v>
      </c>
      <c r="J594" s="51" t="e">
        <f>'Product info'!#REF!</f>
        <v>#REF!</v>
      </c>
      <c r="K594" s="52" t="e">
        <f t="shared" si="120"/>
        <v>#REF!</v>
      </c>
      <c r="L594" s="50" t="e">
        <f t="shared" si="121"/>
        <v>#REF!</v>
      </c>
      <c r="M594" s="50" t="e">
        <f t="shared" si="122"/>
        <v>#REF!</v>
      </c>
      <c r="N594" s="50" t="e">
        <f t="shared" si="123"/>
        <v>#REF!</v>
      </c>
      <c r="O594" s="50" t="e">
        <f t="shared" si="124"/>
        <v>#REF!</v>
      </c>
      <c r="P594" s="53" t="e">
        <f t="shared" si="125"/>
        <v>#REF!</v>
      </c>
      <c r="Q594" s="54" t="e">
        <f>'Product info'!#REF!</f>
        <v>#REF!</v>
      </c>
      <c r="R594" s="54" t="e">
        <f>'Product info'!#REF!</f>
        <v>#REF!</v>
      </c>
      <c r="S594" s="54" t="e">
        <f>'Product info'!#REF!</f>
        <v>#REF!</v>
      </c>
      <c r="T594" s="50" t="e">
        <f>'Product info'!#REF!</f>
        <v>#REF!</v>
      </c>
      <c r="U594" s="52" t="e">
        <f t="shared" si="126"/>
        <v>#REF!</v>
      </c>
      <c r="V594" s="50" t="e">
        <f t="shared" si="127"/>
        <v>#REF!</v>
      </c>
      <c r="W594" s="50" t="e">
        <f t="shared" si="128"/>
        <v>#REF!</v>
      </c>
      <c r="X594" s="50" t="e">
        <f t="shared" si="129"/>
        <v>#REF!</v>
      </c>
      <c r="Y594" s="50" t="e">
        <f t="shared" si="130"/>
        <v>#REF!</v>
      </c>
      <c r="Z594" t="e">
        <f t="shared" si="131"/>
        <v>#REF!</v>
      </c>
    </row>
    <row r="595" spans="1:26" x14ac:dyDescent="0.4">
      <c r="A595" t="e">
        <f>'Product info'!#REF!</f>
        <v>#REF!</v>
      </c>
      <c r="B595" t="e">
        <f>'Product info'!#REF!</f>
        <v>#REF!</v>
      </c>
      <c r="C595" s="6" t="e">
        <f>'Product info'!#REF!</f>
        <v>#REF!</v>
      </c>
      <c r="D595" s="6" t="e">
        <f>'Product info'!#REF!</f>
        <v>#REF!</v>
      </c>
      <c r="E595" t="e">
        <f t="shared" si="119"/>
        <v>#REF!</v>
      </c>
      <c r="F595" s="50" t="e">
        <f>'Product info'!#REF!</f>
        <v>#REF!</v>
      </c>
      <c r="G595" s="50" t="e">
        <f>'Product info'!#REF!</f>
        <v>#REF!</v>
      </c>
      <c r="H595" s="50" t="e">
        <f>'Product info'!#REF!</f>
        <v>#REF!</v>
      </c>
      <c r="I595" s="50" t="e">
        <f>'Product info'!#REF!</f>
        <v>#REF!</v>
      </c>
      <c r="J595" s="51" t="e">
        <f>'Product info'!#REF!</f>
        <v>#REF!</v>
      </c>
      <c r="K595" s="52" t="e">
        <f t="shared" si="120"/>
        <v>#REF!</v>
      </c>
      <c r="L595" s="50" t="e">
        <f t="shared" si="121"/>
        <v>#REF!</v>
      </c>
      <c r="M595" s="50" t="e">
        <f t="shared" si="122"/>
        <v>#REF!</v>
      </c>
      <c r="N595" s="50" t="e">
        <f t="shared" si="123"/>
        <v>#REF!</v>
      </c>
      <c r="O595" s="50" t="e">
        <f t="shared" si="124"/>
        <v>#REF!</v>
      </c>
      <c r="P595" s="53" t="e">
        <f t="shared" si="125"/>
        <v>#REF!</v>
      </c>
      <c r="Q595" s="54" t="e">
        <f>'Product info'!#REF!</f>
        <v>#REF!</v>
      </c>
      <c r="R595" s="54" t="e">
        <f>'Product info'!#REF!</f>
        <v>#REF!</v>
      </c>
      <c r="S595" s="54" t="e">
        <f>'Product info'!#REF!</f>
        <v>#REF!</v>
      </c>
      <c r="T595" s="50" t="e">
        <f>'Product info'!#REF!</f>
        <v>#REF!</v>
      </c>
      <c r="U595" s="52" t="e">
        <f t="shared" si="126"/>
        <v>#REF!</v>
      </c>
      <c r="V595" s="50" t="e">
        <f t="shared" si="127"/>
        <v>#REF!</v>
      </c>
      <c r="W595" s="50" t="e">
        <f t="shared" si="128"/>
        <v>#REF!</v>
      </c>
      <c r="X595" s="50" t="e">
        <f t="shared" si="129"/>
        <v>#REF!</v>
      </c>
      <c r="Y595" s="50" t="e">
        <f t="shared" si="130"/>
        <v>#REF!</v>
      </c>
      <c r="Z595" t="e">
        <f t="shared" si="131"/>
        <v>#REF!</v>
      </c>
    </row>
    <row r="596" spans="1:26" x14ac:dyDescent="0.4">
      <c r="A596" t="e">
        <f>'Product info'!#REF!</f>
        <v>#REF!</v>
      </c>
      <c r="B596" t="e">
        <f>'Product info'!#REF!</f>
        <v>#REF!</v>
      </c>
      <c r="C596" s="6" t="e">
        <f>'Product info'!#REF!</f>
        <v>#REF!</v>
      </c>
      <c r="D596" s="6" t="e">
        <f>'Product info'!#REF!</f>
        <v>#REF!</v>
      </c>
      <c r="E596" t="e">
        <f t="shared" si="119"/>
        <v>#REF!</v>
      </c>
      <c r="F596" s="50" t="e">
        <f>'Product info'!#REF!</f>
        <v>#REF!</v>
      </c>
      <c r="G596" s="50" t="e">
        <f>'Product info'!#REF!</f>
        <v>#REF!</v>
      </c>
      <c r="H596" s="50" t="e">
        <f>'Product info'!#REF!</f>
        <v>#REF!</v>
      </c>
      <c r="I596" s="50" t="e">
        <f>'Product info'!#REF!</f>
        <v>#REF!</v>
      </c>
      <c r="J596" s="51" t="e">
        <f>'Product info'!#REF!</f>
        <v>#REF!</v>
      </c>
      <c r="K596" s="52" t="e">
        <f t="shared" si="120"/>
        <v>#REF!</v>
      </c>
      <c r="L596" s="50" t="e">
        <f t="shared" si="121"/>
        <v>#REF!</v>
      </c>
      <c r="M596" s="50" t="e">
        <f t="shared" si="122"/>
        <v>#REF!</v>
      </c>
      <c r="N596" s="50" t="e">
        <f t="shared" si="123"/>
        <v>#REF!</v>
      </c>
      <c r="O596" s="50" t="e">
        <f t="shared" si="124"/>
        <v>#REF!</v>
      </c>
      <c r="P596" s="53" t="e">
        <f t="shared" si="125"/>
        <v>#REF!</v>
      </c>
      <c r="Q596" s="54" t="e">
        <f>'Product info'!#REF!</f>
        <v>#REF!</v>
      </c>
      <c r="R596" s="54" t="e">
        <f>'Product info'!#REF!</f>
        <v>#REF!</v>
      </c>
      <c r="S596" s="54" t="e">
        <f>'Product info'!#REF!</f>
        <v>#REF!</v>
      </c>
      <c r="T596" s="50" t="e">
        <f>'Product info'!#REF!</f>
        <v>#REF!</v>
      </c>
      <c r="U596" s="52" t="e">
        <f t="shared" si="126"/>
        <v>#REF!</v>
      </c>
      <c r="V596" s="50" t="e">
        <f t="shared" si="127"/>
        <v>#REF!</v>
      </c>
      <c r="W596" s="50" t="e">
        <f t="shared" si="128"/>
        <v>#REF!</v>
      </c>
      <c r="X596" s="50" t="e">
        <f t="shared" si="129"/>
        <v>#REF!</v>
      </c>
      <c r="Y596" s="50" t="e">
        <f t="shared" si="130"/>
        <v>#REF!</v>
      </c>
      <c r="Z596" t="e">
        <f t="shared" si="131"/>
        <v>#REF!</v>
      </c>
    </row>
    <row r="597" spans="1:26" x14ac:dyDescent="0.4">
      <c r="A597" t="e">
        <f>'Product info'!#REF!</f>
        <v>#REF!</v>
      </c>
      <c r="B597" t="e">
        <f>'Product info'!#REF!</f>
        <v>#REF!</v>
      </c>
      <c r="C597" s="6" t="e">
        <f>'Product info'!#REF!</f>
        <v>#REF!</v>
      </c>
      <c r="D597" s="6" t="e">
        <f>'Product info'!#REF!</f>
        <v>#REF!</v>
      </c>
      <c r="E597" t="e">
        <f t="shared" si="119"/>
        <v>#REF!</v>
      </c>
      <c r="F597" s="50" t="e">
        <f>'Product info'!#REF!</f>
        <v>#REF!</v>
      </c>
      <c r="G597" s="50" t="e">
        <f>'Product info'!#REF!</f>
        <v>#REF!</v>
      </c>
      <c r="H597" s="50" t="e">
        <f>'Product info'!#REF!</f>
        <v>#REF!</v>
      </c>
      <c r="I597" s="50" t="e">
        <f>'Product info'!#REF!</f>
        <v>#REF!</v>
      </c>
      <c r="J597" s="51" t="e">
        <f>'Product info'!#REF!</f>
        <v>#REF!</v>
      </c>
      <c r="K597" s="52" t="e">
        <f t="shared" si="120"/>
        <v>#REF!</v>
      </c>
      <c r="L597" s="50" t="e">
        <f t="shared" si="121"/>
        <v>#REF!</v>
      </c>
      <c r="M597" s="50" t="e">
        <f t="shared" si="122"/>
        <v>#REF!</v>
      </c>
      <c r="N597" s="50" t="e">
        <f t="shared" si="123"/>
        <v>#REF!</v>
      </c>
      <c r="O597" s="50" t="e">
        <f t="shared" si="124"/>
        <v>#REF!</v>
      </c>
      <c r="P597" s="53" t="e">
        <f t="shared" si="125"/>
        <v>#REF!</v>
      </c>
      <c r="Q597" s="54" t="e">
        <f>'Product info'!#REF!</f>
        <v>#REF!</v>
      </c>
      <c r="R597" s="54" t="e">
        <f>'Product info'!#REF!</f>
        <v>#REF!</v>
      </c>
      <c r="S597" s="54" t="e">
        <f>'Product info'!#REF!</f>
        <v>#REF!</v>
      </c>
      <c r="T597" s="50" t="e">
        <f>'Product info'!#REF!</f>
        <v>#REF!</v>
      </c>
      <c r="U597" s="52" t="e">
        <f t="shared" si="126"/>
        <v>#REF!</v>
      </c>
      <c r="V597" s="50" t="e">
        <f t="shared" si="127"/>
        <v>#REF!</v>
      </c>
      <c r="W597" s="50" t="e">
        <f t="shared" si="128"/>
        <v>#REF!</v>
      </c>
      <c r="X597" s="50" t="e">
        <f t="shared" si="129"/>
        <v>#REF!</v>
      </c>
      <c r="Y597" s="50" t="e">
        <f t="shared" si="130"/>
        <v>#REF!</v>
      </c>
      <c r="Z597" t="e">
        <f t="shared" si="131"/>
        <v>#REF!</v>
      </c>
    </row>
    <row r="598" spans="1:26" x14ac:dyDescent="0.4">
      <c r="A598" t="e">
        <f>'Product info'!#REF!</f>
        <v>#REF!</v>
      </c>
      <c r="B598" t="e">
        <f>'Product info'!#REF!</f>
        <v>#REF!</v>
      </c>
      <c r="C598" s="6" t="e">
        <f>'Product info'!#REF!</f>
        <v>#REF!</v>
      </c>
      <c r="D598" s="6" t="e">
        <f>'Product info'!#REF!</f>
        <v>#REF!</v>
      </c>
      <c r="E598" t="e">
        <f t="shared" si="119"/>
        <v>#REF!</v>
      </c>
      <c r="F598" s="50" t="e">
        <f>'Product info'!#REF!</f>
        <v>#REF!</v>
      </c>
      <c r="G598" s="50" t="e">
        <f>'Product info'!#REF!</f>
        <v>#REF!</v>
      </c>
      <c r="H598" s="50" t="e">
        <f>'Product info'!#REF!</f>
        <v>#REF!</v>
      </c>
      <c r="I598" s="50" t="e">
        <f>'Product info'!#REF!</f>
        <v>#REF!</v>
      </c>
      <c r="J598" s="51" t="e">
        <f>'Product info'!#REF!</f>
        <v>#REF!</v>
      </c>
      <c r="K598" s="52" t="e">
        <f t="shared" si="120"/>
        <v>#REF!</v>
      </c>
      <c r="L598" s="50" t="e">
        <f t="shared" si="121"/>
        <v>#REF!</v>
      </c>
      <c r="M598" s="50" t="e">
        <f t="shared" si="122"/>
        <v>#REF!</v>
      </c>
      <c r="N598" s="50" t="e">
        <f t="shared" si="123"/>
        <v>#REF!</v>
      </c>
      <c r="O598" s="50" t="e">
        <f t="shared" si="124"/>
        <v>#REF!</v>
      </c>
      <c r="P598" s="53" t="e">
        <f t="shared" si="125"/>
        <v>#REF!</v>
      </c>
      <c r="Q598" s="54" t="e">
        <f>'Product info'!#REF!</f>
        <v>#REF!</v>
      </c>
      <c r="R598" s="54" t="e">
        <f>'Product info'!#REF!</f>
        <v>#REF!</v>
      </c>
      <c r="S598" s="54" t="e">
        <f>'Product info'!#REF!</f>
        <v>#REF!</v>
      </c>
      <c r="T598" s="50" t="e">
        <f>'Product info'!#REF!</f>
        <v>#REF!</v>
      </c>
      <c r="U598" s="52" t="e">
        <f t="shared" si="126"/>
        <v>#REF!</v>
      </c>
      <c r="V598" s="50" t="e">
        <f t="shared" si="127"/>
        <v>#REF!</v>
      </c>
      <c r="W598" s="50" t="e">
        <f t="shared" si="128"/>
        <v>#REF!</v>
      </c>
      <c r="X598" s="50" t="e">
        <f t="shared" si="129"/>
        <v>#REF!</v>
      </c>
      <c r="Y598" s="50" t="e">
        <f t="shared" si="130"/>
        <v>#REF!</v>
      </c>
      <c r="Z598" t="e">
        <f t="shared" si="131"/>
        <v>#REF!</v>
      </c>
    </row>
    <row r="599" spans="1:26" x14ac:dyDescent="0.4">
      <c r="A599" t="e">
        <f>'Product info'!#REF!</f>
        <v>#REF!</v>
      </c>
      <c r="B599" t="e">
        <f>'Product info'!#REF!</f>
        <v>#REF!</v>
      </c>
      <c r="C599" s="6" t="e">
        <f>'Product info'!#REF!</f>
        <v>#REF!</v>
      </c>
      <c r="D599" s="6" t="e">
        <f>'Product info'!#REF!</f>
        <v>#REF!</v>
      </c>
      <c r="E599" t="e">
        <f t="shared" si="119"/>
        <v>#REF!</v>
      </c>
      <c r="F599" s="50" t="e">
        <f>'Product info'!#REF!</f>
        <v>#REF!</v>
      </c>
      <c r="G599" s="50" t="e">
        <f>'Product info'!#REF!</f>
        <v>#REF!</v>
      </c>
      <c r="H599" s="50" t="e">
        <f>'Product info'!#REF!</f>
        <v>#REF!</v>
      </c>
      <c r="I599" s="50" t="e">
        <f>'Product info'!#REF!</f>
        <v>#REF!</v>
      </c>
      <c r="J599" s="51" t="e">
        <f>'Product info'!#REF!</f>
        <v>#REF!</v>
      </c>
      <c r="K599" s="52" t="e">
        <f t="shared" si="120"/>
        <v>#REF!</v>
      </c>
      <c r="L599" s="50" t="e">
        <f t="shared" si="121"/>
        <v>#REF!</v>
      </c>
      <c r="M599" s="50" t="e">
        <f t="shared" si="122"/>
        <v>#REF!</v>
      </c>
      <c r="N599" s="50" t="e">
        <f t="shared" si="123"/>
        <v>#REF!</v>
      </c>
      <c r="O599" s="50" t="e">
        <f t="shared" si="124"/>
        <v>#REF!</v>
      </c>
      <c r="P599" s="53" t="e">
        <f t="shared" si="125"/>
        <v>#REF!</v>
      </c>
      <c r="Q599" s="54" t="e">
        <f>'Product info'!#REF!</f>
        <v>#REF!</v>
      </c>
      <c r="R599" s="54" t="e">
        <f>'Product info'!#REF!</f>
        <v>#REF!</v>
      </c>
      <c r="S599" s="54" t="e">
        <f>'Product info'!#REF!</f>
        <v>#REF!</v>
      </c>
      <c r="T599" s="50" t="e">
        <f>'Product info'!#REF!</f>
        <v>#REF!</v>
      </c>
      <c r="U599" s="52" t="e">
        <f t="shared" si="126"/>
        <v>#REF!</v>
      </c>
      <c r="V599" s="50" t="e">
        <f t="shared" si="127"/>
        <v>#REF!</v>
      </c>
      <c r="W599" s="50" t="e">
        <f t="shared" si="128"/>
        <v>#REF!</v>
      </c>
      <c r="X599" s="50" t="e">
        <f t="shared" si="129"/>
        <v>#REF!</v>
      </c>
      <c r="Y599" s="50" t="e">
        <f t="shared" si="130"/>
        <v>#REF!</v>
      </c>
      <c r="Z599" t="e">
        <f t="shared" si="131"/>
        <v>#REF!</v>
      </c>
    </row>
    <row r="600" spans="1:26" x14ac:dyDescent="0.4">
      <c r="A600" t="e">
        <f>'Product info'!#REF!</f>
        <v>#REF!</v>
      </c>
      <c r="B600" t="e">
        <f>'Product info'!#REF!</f>
        <v>#REF!</v>
      </c>
      <c r="C600" s="6" t="e">
        <f>'Product info'!#REF!</f>
        <v>#REF!</v>
      </c>
      <c r="D600" s="6" t="e">
        <f>'Product info'!#REF!</f>
        <v>#REF!</v>
      </c>
      <c r="E600" t="e">
        <f t="shared" si="119"/>
        <v>#REF!</v>
      </c>
      <c r="F600" s="50" t="e">
        <f>'Product info'!#REF!</f>
        <v>#REF!</v>
      </c>
      <c r="G600" s="50" t="e">
        <f>'Product info'!#REF!</f>
        <v>#REF!</v>
      </c>
      <c r="H600" s="50" t="e">
        <f>'Product info'!#REF!</f>
        <v>#REF!</v>
      </c>
      <c r="I600" s="50" t="e">
        <f>'Product info'!#REF!</f>
        <v>#REF!</v>
      </c>
      <c r="J600" s="51" t="e">
        <f>'Product info'!#REF!</f>
        <v>#REF!</v>
      </c>
      <c r="K600" s="52" t="e">
        <f t="shared" si="120"/>
        <v>#REF!</v>
      </c>
      <c r="L600" s="50" t="e">
        <f t="shared" si="121"/>
        <v>#REF!</v>
      </c>
      <c r="M600" s="50" t="e">
        <f t="shared" si="122"/>
        <v>#REF!</v>
      </c>
      <c r="N600" s="50" t="e">
        <f t="shared" si="123"/>
        <v>#REF!</v>
      </c>
      <c r="O600" s="50" t="e">
        <f t="shared" si="124"/>
        <v>#REF!</v>
      </c>
      <c r="P600" s="53" t="e">
        <f t="shared" si="125"/>
        <v>#REF!</v>
      </c>
      <c r="Q600" s="54" t="e">
        <f>'Product info'!#REF!</f>
        <v>#REF!</v>
      </c>
      <c r="R600" s="54" t="e">
        <f>'Product info'!#REF!</f>
        <v>#REF!</v>
      </c>
      <c r="S600" s="54" t="e">
        <f>'Product info'!#REF!</f>
        <v>#REF!</v>
      </c>
      <c r="T600" s="50" t="e">
        <f>'Product info'!#REF!</f>
        <v>#REF!</v>
      </c>
      <c r="U600" s="52" t="e">
        <f t="shared" si="126"/>
        <v>#REF!</v>
      </c>
      <c r="V600" s="50" t="e">
        <f t="shared" si="127"/>
        <v>#REF!</v>
      </c>
      <c r="W600" s="50" t="e">
        <f t="shared" si="128"/>
        <v>#REF!</v>
      </c>
      <c r="X600" s="50" t="e">
        <f t="shared" si="129"/>
        <v>#REF!</v>
      </c>
      <c r="Y600" s="50" t="e">
        <f t="shared" si="130"/>
        <v>#REF!</v>
      </c>
      <c r="Z600" t="e">
        <f t="shared" si="131"/>
        <v>#REF!</v>
      </c>
    </row>
    <row r="601" spans="1:26" x14ac:dyDescent="0.4">
      <c r="A601" t="e">
        <f>'Product info'!#REF!</f>
        <v>#REF!</v>
      </c>
      <c r="B601" t="e">
        <f>'Product info'!#REF!</f>
        <v>#REF!</v>
      </c>
      <c r="C601" s="6" t="e">
        <f>'Product info'!#REF!</f>
        <v>#REF!</v>
      </c>
      <c r="D601" s="6" t="e">
        <f>'Product info'!#REF!</f>
        <v>#REF!</v>
      </c>
      <c r="E601" t="e">
        <f t="shared" ref="E601:E664" si="132">F601&amp;"*"&amp;G601&amp;"*"&amp;H601</f>
        <v>#REF!</v>
      </c>
      <c r="F601" s="50" t="e">
        <f>'Product info'!#REF!</f>
        <v>#REF!</v>
      </c>
      <c r="G601" s="50" t="e">
        <f>'Product info'!#REF!</f>
        <v>#REF!</v>
      </c>
      <c r="H601" s="50" t="e">
        <f>'Product info'!#REF!</f>
        <v>#REF!</v>
      </c>
      <c r="I601" s="50" t="e">
        <f>'Product info'!#REF!</f>
        <v>#REF!</v>
      </c>
      <c r="J601" s="51" t="e">
        <f>'Product info'!#REF!</f>
        <v>#REF!</v>
      </c>
      <c r="K601" s="52" t="e">
        <f t="shared" ref="K601:K664" si="133">F601*G601*H601/(100*100*100)</f>
        <v>#REF!</v>
      </c>
      <c r="L601" s="50" t="e">
        <f t="shared" ref="L601:L664" si="134">F601*0.393701</f>
        <v>#REF!</v>
      </c>
      <c r="M601" s="50" t="e">
        <f t="shared" ref="M601:M664" si="135">G601*0.393701</f>
        <v>#REF!</v>
      </c>
      <c r="N601" s="50" t="e">
        <f t="shared" ref="N601:N664" si="136">H601*0.393701</f>
        <v>#REF!</v>
      </c>
      <c r="O601" s="50" t="e">
        <f t="shared" ref="O601:O664" si="137">I601*2.20462</f>
        <v>#REF!</v>
      </c>
      <c r="P601" s="53" t="e">
        <f t="shared" ref="P601:P664" si="138">Q601&amp;"*"&amp;R601&amp;"*"&amp;S601</f>
        <v>#REF!</v>
      </c>
      <c r="Q601" s="54" t="e">
        <f>'Product info'!#REF!</f>
        <v>#REF!</v>
      </c>
      <c r="R601" s="54" t="e">
        <f>'Product info'!#REF!</f>
        <v>#REF!</v>
      </c>
      <c r="S601" s="54" t="e">
        <f>'Product info'!#REF!</f>
        <v>#REF!</v>
      </c>
      <c r="T601" s="50" t="e">
        <f>'Product info'!#REF!</f>
        <v>#REF!</v>
      </c>
      <c r="U601" s="52" t="e">
        <f t="shared" ref="U601:U664" si="139">Q601*R601*S601/(100*100*100)</f>
        <v>#REF!</v>
      </c>
      <c r="V601" s="50" t="e">
        <f t="shared" ref="V601:V664" si="140">Q601*0.393701</f>
        <v>#REF!</v>
      </c>
      <c r="W601" s="50" t="e">
        <f t="shared" ref="W601:W664" si="141">R601*0.393701</f>
        <v>#REF!</v>
      </c>
      <c r="X601" s="50" t="e">
        <f t="shared" ref="X601:X664" si="142">S601*0.393701</f>
        <v>#REF!</v>
      </c>
      <c r="Y601" s="50" t="e">
        <f t="shared" ref="Y601:Y664" si="143">T601*2.20462</f>
        <v>#REF!</v>
      </c>
      <c r="Z601" t="e">
        <f t="shared" si="131"/>
        <v>#REF!</v>
      </c>
    </row>
    <row r="602" spans="1:26" x14ac:dyDescent="0.4">
      <c r="A602" t="e">
        <f>'Product info'!#REF!</f>
        <v>#REF!</v>
      </c>
      <c r="B602" t="e">
        <f>'Product info'!#REF!</f>
        <v>#REF!</v>
      </c>
      <c r="C602" s="6" t="e">
        <f>'Product info'!#REF!</f>
        <v>#REF!</v>
      </c>
      <c r="D602" s="6" t="e">
        <f>'Product info'!#REF!</f>
        <v>#REF!</v>
      </c>
      <c r="E602" t="e">
        <f t="shared" si="132"/>
        <v>#REF!</v>
      </c>
      <c r="F602" s="50" t="e">
        <f>'Product info'!#REF!</f>
        <v>#REF!</v>
      </c>
      <c r="G602" s="50" t="e">
        <f>'Product info'!#REF!</f>
        <v>#REF!</v>
      </c>
      <c r="H602" s="50" t="e">
        <f>'Product info'!#REF!</f>
        <v>#REF!</v>
      </c>
      <c r="I602" s="50" t="e">
        <f>'Product info'!#REF!</f>
        <v>#REF!</v>
      </c>
      <c r="J602" s="51" t="e">
        <f>'Product info'!#REF!</f>
        <v>#REF!</v>
      </c>
      <c r="K602" s="52" t="e">
        <f t="shared" si="133"/>
        <v>#REF!</v>
      </c>
      <c r="L602" s="50" t="e">
        <f t="shared" si="134"/>
        <v>#REF!</v>
      </c>
      <c r="M602" s="50" t="e">
        <f t="shared" si="135"/>
        <v>#REF!</v>
      </c>
      <c r="N602" s="50" t="e">
        <f t="shared" si="136"/>
        <v>#REF!</v>
      </c>
      <c r="O602" s="50" t="e">
        <f t="shared" si="137"/>
        <v>#REF!</v>
      </c>
      <c r="P602" s="53" t="e">
        <f t="shared" si="138"/>
        <v>#REF!</v>
      </c>
      <c r="Q602" s="54" t="e">
        <f>'Product info'!#REF!</f>
        <v>#REF!</v>
      </c>
      <c r="R602" s="54" t="e">
        <f>'Product info'!#REF!</f>
        <v>#REF!</v>
      </c>
      <c r="S602" s="54" t="e">
        <f>'Product info'!#REF!</f>
        <v>#REF!</v>
      </c>
      <c r="T602" s="50" t="e">
        <f>'Product info'!#REF!</f>
        <v>#REF!</v>
      </c>
      <c r="U602" s="52" t="e">
        <f t="shared" si="139"/>
        <v>#REF!</v>
      </c>
      <c r="V602" s="50" t="e">
        <f t="shared" si="140"/>
        <v>#REF!</v>
      </c>
      <c r="W602" s="50" t="e">
        <f t="shared" si="141"/>
        <v>#REF!</v>
      </c>
      <c r="X602" s="50" t="e">
        <f t="shared" si="142"/>
        <v>#REF!</v>
      </c>
      <c r="Y602" s="50" t="e">
        <f t="shared" si="143"/>
        <v>#REF!</v>
      </c>
      <c r="Z602" t="e">
        <f t="shared" si="131"/>
        <v>#REF!</v>
      </c>
    </row>
    <row r="603" spans="1:26" x14ac:dyDescent="0.4">
      <c r="A603" t="e">
        <f>'Product info'!#REF!</f>
        <v>#REF!</v>
      </c>
      <c r="B603" t="e">
        <f>'Product info'!#REF!</f>
        <v>#REF!</v>
      </c>
      <c r="C603" s="6" t="e">
        <f>'Product info'!#REF!</f>
        <v>#REF!</v>
      </c>
      <c r="D603" s="6" t="e">
        <f>'Product info'!#REF!</f>
        <v>#REF!</v>
      </c>
      <c r="E603" t="e">
        <f t="shared" si="132"/>
        <v>#REF!</v>
      </c>
      <c r="F603" s="50" t="e">
        <f>'Product info'!#REF!</f>
        <v>#REF!</v>
      </c>
      <c r="G603" s="50" t="e">
        <f>'Product info'!#REF!</f>
        <v>#REF!</v>
      </c>
      <c r="H603" s="50" t="e">
        <f>'Product info'!#REF!</f>
        <v>#REF!</v>
      </c>
      <c r="I603" s="50" t="e">
        <f>'Product info'!#REF!</f>
        <v>#REF!</v>
      </c>
      <c r="J603" s="51" t="e">
        <f>'Product info'!#REF!</f>
        <v>#REF!</v>
      </c>
      <c r="K603" s="52" t="e">
        <f t="shared" si="133"/>
        <v>#REF!</v>
      </c>
      <c r="L603" s="50" t="e">
        <f t="shared" si="134"/>
        <v>#REF!</v>
      </c>
      <c r="M603" s="50" t="e">
        <f t="shared" si="135"/>
        <v>#REF!</v>
      </c>
      <c r="N603" s="50" t="e">
        <f t="shared" si="136"/>
        <v>#REF!</v>
      </c>
      <c r="O603" s="50" t="e">
        <f t="shared" si="137"/>
        <v>#REF!</v>
      </c>
      <c r="P603" s="53" t="e">
        <f t="shared" si="138"/>
        <v>#REF!</v>
      </c>
      <c r="Q603" s="54" t="e">
        <f>'Product info'!#REF!</f>
        <v>#REF!</v>
      </c>
      <c r="R603" s="54" t="e">
        <f>'Product info'!#REF!</f>
        <v>#REF!</v>
      </c>
      <c r="S603" s="54" t="e">
        <f>'Product info'!#REF!</f>
        <v>#REF!</v>
      </c>
      <c r="T603" s="50" t="e">
        <f>'Product info'!#REF!</f>
        <v>#REF!</v>
      </c>
      <c r="U603" s="52" t="e">
        <f t="shared" si="139"/>
        <v>#REF!</v>
      </c>
      <c r="V603" s="50" t="e">
        <f t="shared" si="140"/>
        <v>#REF!</v>
      </c>
      <c r="W603" s="50" t="e">
        <f t="shared" si="141"/>
        <v>#REF!</v>
      </c>
      <c r="X603" s="50" t="e">
        <f t="shared" si="142"/>
        <v>#REF!</v>
      </c>
      <c r="Y603" s="50" t="e">
        <f t="shared" si="143"/>
        <v>#REF!</v>
      </c>
      <c r="Z603" t="e">
        <f t="shared" si="131"/>
        <v>#REF!</v>
      </c>
    </row>
    <row r="604" spans="1:26" x14ac:dyDescent="0.4">
      <c r="A604" t="e">
        <f>'Product info'!#REF!</f>
        <v>#REF!</v>
      </c>
      <c r="B604" t="e">
        <f>'Product info'!#REF!</f>
        <v>#REF!</v>
      </c>
      <c r="C604" s="6" t="e">
        <f>'Product info'!#REF!</f>
        <v>#REF!</v>
      </c>
      <c r="D604" s="6" t="e">
        <f>'Product info'!#REF!</f>
        <v>#REF!</v>
      </c>
      <c r="E604" t="e">
        <f t="shared" si="132"/>
        <v>#REF!</v>
      </c>
      <c r="F604" s="50" t="e">
        <f>'Product info'!#REF!</f>
        <v>#REF!</v>
      </c>
      <c r="G604" s="50" t="e">
        <f>'Product info'!#REF!</f>
        <v>#REF!</v>
      </c>
      <c r="H604" s="50" t="e">
        <f>'Product info'!#REF!</f>
        <v>#REF!</v>
      </c>
      <c r="I604" s="50" t="e">
        <f>'Product info'!#REF!</f>
        <v>#REF!</v>
      </c>
      <c r="J604" s="51" t="e">
        <f>'Product info'!#REF!</f>
        <v>#REF!</v>
      </c>
      <c r="K604" s="52" t="e">
        <f t="shared" si="133"/>
        <v>#REF!</v>
      </c>
      <c r="L604" s="50" t="e">
        <f t="shared" si="134"/>
        <v>#REF!</v>
      </c>
      <c r="M604" s="50" t="e">
        <f t="shared" si="135"/>
        <v>#REF!</v>
      </c>
      <c r="N604" s="50" t="e">
        <f t="shared" si="136"/>
        <v>#REF!</v>
      </c>
      <c r="O604" s="50" t="e">
        <f t="shared" si="137"/>
        <v>#REF!</v>
      </c>
      <c r="P604" s="53" t="e">
        <f t="shared" si="138"/>
        <v>#REF!</v>
      </c>
      <c r="Q604" s="54" t="e">
        <f>'Product info'!#REF!</f>
        <v>#REF!</v>
      </c>
      <c r="R604" s="54" t="e">
        <f>'Product info'!#REF!</f>
        <v>#REF!</v>
      </c>
      <c r="S604" s="54" t="e">
        <f>'Product info'!#REF!</f>
        <v>#REF!</v>
      </c>
      <c r="T604" s="50" t="e">
        <f>'Product info'!#REF!</f>
        <v>#REF!</v>
      </c>
      <c r="U604" s="52" t="e">
        <f t="shared" si="139"/>
        <v>#REF!</v>
      </c>
      <c r="V604" s="50" t="e">
        <f t="shared" si="140"/>
        <v>#REF!</v>
      </c>
      <c r="W604" s="50" t="e">
        <f t="shared" si="141"/>
        <v>#REF!</v>
      </c>
      <c r="X604" s="50" t="e">
        <f t="shared" si="142"/>
        <v>#REF!</v>
      </c>
      <c r="Y604" s="50" t="e">
        <f t="shared" si="143"/>
        <v>#REF!</v>
      </c>
      <c r="Z604" t="e">
        <f t="shared" si="131"/>
        <v>#REF!</v>
      </c>
    </row>
    <row r="605" spans="1:26" x14ac:dyDescent="0.4">
      <c r="A605" t="e">
        <f>'Product info'!#REF!</f>
        <v>#REF!</v>
      </c>
      <c r="B605" t="e">
        <f>'Product info'!#REF!</f>
        <v>#REF!</v>
      </c>
      <c r="C605" s="6" t="e">
        <f>'Product info'!#REF!</f>
        <v>#REF!</v>
      </c>
      <c r="D605" s="6" t="e">
        <f>'Product info'!#REF!</f>
        <v>#REF!</v>
      </c>
      <c r="E605" t="e">
        <f t="shared" si="132"/>
        <v>#REF!</v>
      </c>
      <c r="F605" s="50" t="e">
        <f>'Product info'!#REF!</f>
        <v>#REF!</v>
      </c>
      <c r="G605" s="50" t="e">
        <f>'Product info'!#REF!</f>
        <v>#REF!</v>
      </c>
      <c r="H605" s="50" t="e">
        <f>'Product info'!#REF!</f>
        <v>#REF!</v>
      </c>
      <c r="I605" s="50" t="e">
        <f>'Product info'!#REF!</f>
        <v>#REF!</v>
      </c>
      <c r="J605" s="51" t="e">
        <f>'Product info'!#REF!</f>
        <v>#REF!</v>
      </c>
      <c r="K605" s="52" t="e">
        <f t="shared" si="133"/>
        <v>#REF!</v>
      </c>
      <c r="L605" s="50" t="e">
        <f t="shared" si="134"/>
        <v>#REF!</v>
      </c>
      <c r="M605" s="50" t="e">
        <f t="shared" si="135"/>
        <v>#REF!</v>
      </c>
      <c r="N605" s="50" t="e">
        <f t="shared" si="136"/>
        <v>#REF!</v>
      </c>
      <c r="O605" s="50" t="e">
        <f t="shared" si="137"/>
        <v>#REF!</v>
      </c>
      <c r="P605" s="53" t="e">
        <f t="shared" si="138"/>
        <v>#REF!</v>
      </c>
      <c r="Q605" s="54" t="e">
        <f>'Product info'!#REF!</f>
        <v>#REF!</v>
      </c>
      <c r="R605" s="54" t="e">
        <f>'Product info'!#REF!</f>
        <v>#REF!</v>
      </c>
      <c r="S605" s="54" t="e">
        <f>'Product info'!#REF!</f>
        <v>#REF!</v>
      </c>
      <c r="T605" s="50" t="e">
        <f>'Product info'!#REF!</f>
        <v>#REF!</v>
      </c>
      <c r="U605" s="52" t="e">
        <f t="shared" si="139"/>
        <v>#REF!</v>
      </c>
      <c r="V605" s="50" t="e">
        <f t="shared" si="140"/>
        <v>#REF!</v>
      </c>
      <c r="W605" s="50" t="e">
        <f t="shared" si="141"/>
        <v>#REF!</v>
      </c>
      <c r="X605" s="50" t="e">
        <f t="shared" si="142"/>
        <v>#REF!</v>
      </c>
      <c r="Y605" s="50" t="e">
        <f t="shared" si="143"/>
        <v>#REF!</v>
      </c>
      <c r="Z605" t="e">
        <f t="shared" si="131"/>
        <v>#REF!</v>
      </c>
    </row>
    <row r="606" spans="1:26" x14ac:dyDescent="0.4">
      <c r="A606" t="e">
        <f>'Product info'!#REF!</f>
        <v>#REF!</v>
      </c>
      <c r="B606" t="e">
        <f>'Product info'!#REF!</f>
        <v>#REF!</v>
      </c>
      <c r="C606" s="6" t="e">
        <f>'Product info'!#REF!</f>
        <v>#REF!</v>
      </c>
      <c r="D606" s="6" t="e">
        <f>'Product info'!#REF!</f>
        <v>#REF!</v>
      </c>
      <c r="E606" t="e">
        <f t="shared" si="132"/>
        <v>#REF!</v>
      </c>
      <c r="F606" s="50" t="e">
        <f>'Product info'!#REF!</f>
        <v>#REF!</v>
      </c>
      <c r="G606" s="50" t="e">
        <f>'Product info'!#REF!</f>
        <v>#REF!</v>
      </c>
      <c r="H606" s="50" t="e">
        <f>'Product info'!#REF!</f>
        <v>#REF!</v>
      </c>
      <c r="I606" s="50" t="e">
        <f>'Product info'!#REF!</f>
        <v>#REF!</v>
      </c>
      <c r="J606" s="51" t="e">
        <f>'Product info'!#REF!</f>
        <v>#REF!</v>
      </c>
      <c r="K606" s="52" t="e">
        <f t="shared" si="133"/>
        <v>#REF!</v>
      </c>
      <c r="L606" s="50" t="e">
        <f t="shared" si="134"/>
        <v>#REF!</v>
      </c>
      <c r="M606" s="50" t="e">
        <f t="shared" si="135"/>
        <v>#REF!</v>
      </c>
      <c r="N606" s="50" t="e">
        <f t="shared" si="136"/>
        <v>#REF!</v>
      </c>
      <c r="O606" s="50" t="e">
        <f t="shared" si="137"/>
        <v>#REF!</v>
      </c>
      <c r="P606" s="53" t="e">
        <f t="shared" si="138"/>
        <v>#REF!</v>
      </c>
      <c r="Q606" s="54" t="e">
        <f>'Product info'!#REF!</f>
        <v>#REF!</v>
      </c>
      <c r="R606" s="54" t="e">
        <f>'Product info'!#REF!</f>
        <v>#REF!</v>
      </c>
      <c r="S606" s="54" t="e">
        <f>'Product info'!#REF!</f>
        <v>#REF!</v>
      </c>
      <c r="T606" s="50" t="e">
        <f>'Product info'!#REF!</f>
        <v>#REF!</v>
      </c>
      <c r="U606" s="52" t="e">
        <f t="shared" si="139"/>
        <v>#REF!</v>
      </c>
      <c r="V606" s="50" t="e">
        <f t="shared" si="140"/>
        <v>#REF!</v>
      </c>
      <c r="W606" s="50" t="e">
        <f t="shared" si="141"/>
        <v>#REF!</v>
      </c>
      <c r="X606" s="50" t="e">
        <f t="shared" si="142"/>
        <v>#REF!</v>
      </c>
      <c r="Y606" s="50" t="e">
        <f t="shared" si="143"/>
        <v>#REF!</v>
      </c>
      <c r="Z606" t="e">
        <f t="shared" si="131"/>
        <v>#REF!</v>
      </c>
    </row>
    <row r="607" spans="1:26" x14ac:dyDescent="0.4">
      <c r="A607" t="e">
        <f>'Product info'!#REF!</f>
        <v>#REF!</v>
      </c>
      <c r="B607" t="e">
        <f>'Product info'!#REF!</f>
        <v>#REF!</v>
      </c>
      <c r="C607" s="6" t="e">
        <f>'Product info'!#REF!</f>
        <v>#REF!</v>
      </c>
      <c r="D607" s="6" t="e">
        <f>'Product info'!#REF!</f>
        <v>#REF!</v>
      </c>
      <c r="E607" t="e">
        <f t="shared" si="132"/>
        <v>#REF!</v>
      </c>
      <c r="F607" s="50" t="e">
        <f>'Product info'!#REF!</f>
        <v>#REF!</v>
      </c>
      <c r="G607" s="50" t="e">
        <f>'Product info'!#REF!</f>
        <v>#REF!</v>
      </c>
      <c r="H607" s="50" t="e">
        <f>'Product info'!#REF!</f>
        <v>#REF!</v>
      </c>
      <c r="I607" s="50" t="e">
        <f>'Product info'!#REF!</f>
        <v>#REF!</v>
      </c>
      <c r="J607" s="51" t="e">
        <f>'Product info'!#REF!</f>
        <v>#REF!</v>
      </c>
      <c r="K607" s="52" t="e">
        <f t="shared" si="133"/>
        <v>#REF!</v>
      </c>
      <c r="L607" s="50" t="e">
        <f t="shared" si="134"/>
        <v>#REF!</v>
      </c>
      <c r="M607" s="50" t="e">
        <f t="shared" si="135"/>
        <v>#REF!</v>
      </c>
      <c r="N607" s="50" t="e">
        <f t="shared" si="136"/>
        <v>#REF!</v>
      </c>
      <c r="O607" s="50" t="e">
        <f t="shared" si="137"/>
        <v>#REF!</v>
      </c>
      <c r="P607" s="53" t="e">
        <f t="shared" si="138"/>
        <v>#REF!</v>
      </c>
      <c r="Q607" s="54" t="e">
        <f>'Product info'!#REF!</f>
        <v>#REF!</v>
      </c>
      <c r="R607" s="54" t="e">
        <f>'Product info'!#REF!</f>
        <v>#REF!</v>
      </c>
      <c r="S607" s="54" t="e">
        <f>'Product info'!#REF!</f>
        <v>#REF!</v>
      </c>
      <c r="T607" s="50" t="e">
        <f>'Product info'!#REF!</f>
        <v>#REF!</v>
      </c>
      <c r="U607" s="52" t="e">
        <f t="shared" si="139"/>
        <v>#REF!</v>
      </c>
      <c r="V607" s="50" t="e">
        <f t="shared" si="140"/>
        <v>#REF!</v>
      </c>
      <c r="W607" s="50" t="e">
        <f t="shared" si="141"/>
        <v>#REF!</v>
      </c>
      <c r="X607" s="50" t="e">
        <f t="shared" si="142"/>
        <v>#REF!</v>
      </c>
      <c r="Y607" s="50" t="e">
        <f t="shared" si="143"/>
        <v>#REF!</v>
      </c>
      <c r="Z607" t="e">
        <f t="shared" si="131"/>
        <v>#REF!</v>
      </c>
    </row>
    <row r="608" spans="1:26" x14ac:dyDescent="0.4">
      <c r="A608" t="e">
        <f>'Product info'!#REF!</f>
        <v>#REF!</v>
      </c>
      <c r="B608" t="e">
        <f>'Product info'!#REF!</f>
        <v>#REF!</v>
      </c>
      <c r="C608" s="6" t="e">
        <f>'Product info'!#REF!</f>
        <v>#REF!</v>
      </c>
      <c r="D608" s="6" t="e">
        <f>'Product info'!#REF!</f>
        <v>#REF!</v>
      </c>
      <c r="E608" t="e">
        <f t="shared" si="132"/>
        <v>#REF!</v>
      </c>
      <c r="F608" s="50" t="e">
        <f>'Product info'!#REF!</f>
        <v>#REF!</v>
      </c>
      <c r="G608" s="50" t="e">
        <f>'Product info'!#REF!</f>
        <v>#REF!</v>
      </c>
      <c r="H608" s="50" t="e">
        <f>'Product info'!#REF!</f>
        <v>#REF!</v>
      </c>
      <c r="I608" s="50" t="e">
        <f>'Product info'!#REF!</f>
        <v>#REF!</v>
      </c>
      <c r="J608" s="51" t="e">
        <f>'Product info'!#REF!</f>
        <v>#REF!</v>
      </c>
      <c r="K608" s="52" t="e">
        <f t="shared" si="133"/>
        <v>#REF!</v>
      </c>
      <c r="L608" s="50" t="e">
        <f t="shared" si="134"/>
        <v>#REF!</v>
      </c>
      <c r="M608" s="50" t="e">
        <f t="shared" si="135"/>
        <v>#REF!</v>
      </c>
      <c r="N608" s="50" t="e">
        <f t="shared" si="136"/>
        <v>#REF!</v>
      </c>
      <c r="O608" s="50" t="e">
        <f t="shared" si="137"/>
        <v>#REF!</v>
      </c>
      <c r="P608" s="53" t="e">
        <f t="shared" si="138"/>
        <v>#REF!</v>
      </c>
      <c r="Q608" s="54" t="e">
        <f>'Product info'!#REF!</f>
        <v>#REF!</v>
      </c>
      <c r="R608" s="54" t="e">
        <f>'Product info'!#REF!</f>
        <v>#REF!</v>
      </c>
      <c r="S608" s="54" t="e">
        <f>'Product info'!#REF!</f>
        <v>#REF!</v>
      </c>
      <c r="T608" s="50" t="e">
        <f>'Product info'!#REF!</f>
        <v>#REF!</v>
      </c>
      <c r="U608" s="52" t="e">
        <f t="shared" si="139"/>
        <v>#REF!</v>
      </c>
      <c r="V608" s="50" t="e">
        <f t="shared" si="140"/>
        <v>#REF!</v>
      </c>
      <c r="W608" s="50" t="e">
        <f t="shared" si="141"/>
        <v>#REF!</v>
      </c>
      <c r="X608" s="50" t="e">
        <f t="shared" si="142"/>
        <v>#REF!</v>
      </c>
      <c r="Y608" s="50" t="e">
        <f t="shared" si="143"/>
        <v>#REF!</v>
      </c>
      <c r="Z608" t="e">
        <f t="shared" si="131"/>
        <v>#REF!</v>
      </c>
    </row>
    <row r="609" spans="1:26" x14ac:dyDescent="0.4">
      <c r="A609" t="e">
        <f>'Product info'!#REF!</f>
        <v>#REF!</v>
      </c>
      <c r="B609" t="e">
        <f>'Product info'!#REF!</f>
        <v>#REF!</v>
      </c>
      <c r="C609" s="6" t="e">
        <f>'Product info'!#REF!</f>
        <v>#REF!</v>
      </c>
      <c r="D609" s="6" t="e">
        <f>'Product info'!#REF!</f>
        <v>#REF!</v>
      </c>
      <c r="E609" t="e">
        <f t="shared" si="132"/>
        <v>#REF!</v>
      </c>
      <c r="F609" s="50" t="e">
        <f>'Product info'!#REF!</f>
        <v>#REF!</v>
      </c>
      <c r="G609" s="50" t="e">
        <f>'Product info'!#REF!</f>
        <v>#REF!</v>
      </c>
      <c r="H609" s="50" t="e">
        <f>'Product info'!#REF!</f>
        <v>#REF!</v>
      </c>
      <c r="I609" s="50" t="e">
        <f>'Product info'!#REF!</f>
        <v>#REF!</v>
      </c>
      <c r="J609" s="51" t="e">
        <f>'Product info'!#REF!</f>
        <v>#REF!</v>
      </c>
      <c r="K609" s="52" t="e">
        <f t="shared" si="133"/>
        <v>#REF!</v>
      </c>
      <c r="L609" s="50" t="e">
        <f t="shared" si="134"/>
        <v>#REF!</v>
      </c>
      <c r="M609" s="50" t="e">
        <f t="shared" si="135"/>
        <v>#REF!</v>
      </c>
      <c r="N609" s="50" t="e">
        <f t="shared" si="136"/>
        <v>#REF!</v>
      </c>
      <c r="O609" s="50" t="e">
        <f t="shared" si="137"/>
        <v>#REF!</v>
      </c>
      <c r="P609" s="53" t="e">
        <f t="shared" si="138"/>
        <v>#REF!</v>
      </c>
      <c r="Q609" s="54" t="e">
        <f>'Product info'!#REF!</f>
        <v>#REF!</v>
      </c>
      <c r="R609" s="54" t="e">
        <f>'Product info'!#REF!</f>
        <v>#REF!</v>
      </c>
      <c r="S609" s="54" t="e">
        <f>'Product info'!#REF!</f>
        <v>#REF!</v>
      </c>
      <c r="T609" s="50" t="e">
        <f>'Product info'!#REF!</f>
        <v>#REF!</v>
      </c>
      <c r="U609" s="52" t="e">
        <f t="shared" si="139"/>
        <v>#REF!</v>
      </c>
      <c r="V609" s="50" t="e">
        <f t="shared" si="140"/>
        <v>#REF!</v>
      </c>
      <c r="W609" s="50" t="e">
        <f t="shared" si="141"/>
        <v>#REF!</v>
      </c>
      <c r="X609" s="50" t="e">
        <f t="shared" si="142"/>
        <v>#REF!</v>
      </c>
      <c r="Y609" s="50" t="e">
        <f t="shared" si="143"/>
        <v>#REF!</v>
      </c>
      <c r="Z609" t="e">
        <f t="shared" si="131"/>
        <v>#REF!</v>
      </c>
    </row>
    <row r="610" spans="1:26" x14ac:dyDescent="0.4">
      <c r="A610" t="e">
        <f>'Product info'!#REF!</f>
        <v>#REF!</v>
      </c>
      <c r="B610" t="e">
        <f>'Product info'!#REF!</f>
        <v>#REF!</v>
      </c>
      <c r="C610" s="6" t="e">
        <f>'Product info'!#REF!</f>
        <v>#REF!</v>
      </c>
      <c r="D610" s="6" t="e">
        <f>'Product info'!#REF!</f>
        <v>#REF!</v>
      </c>
      <c r="E610" t="e">
        <f t="shared" si="132"/>
        <v>#REF!</v>
      </c>
      <c r="F610" s="50" t="e">
        <f>'Product info'!#REF!</f>
        <v>#REF!</v>
      </c>
      <c r="G610" s="50" t="e">
        <f>'Product info'!#REF!</f>
        <v>#REF!</v>
      </c>
      <c r="H610" s="50" t="e">
        <f>'Product info'!#REF!</f>
        <v>#REF!</v>
      </c>
      <c r="I610" s="50" t="e">
        <f>'Product info'!#REF!</f>
        <v>#REF!</v>
      </c>
      <c r="J610" s="51" t="e">
        <f>'Product info'!#REF!</f>
        <v>#REF!</v>
      </c>
      <c r="K610" s="52" t="e">
        <f t="shared" si="133"/>
        <v>#REF!</v>
      </c>
      <c r="L610" s="50" t="e">
        <f t="shared" si="134"/>
        <v>#REF!</v>
      </c>
      <c r="M610" s="50" t="e">
        <f t="shared" si="135"/>
        <v>#REF!</v>
      </c>
      <c r="N610" s="50" t="e">
        <f t="shared" si="136"/>
        <v>#REF!</v>
      </c>
      <c r="O610" s="50" t="e">
        <f t="shared" si="137"/>
        <v>#REF!</v>
      </c>
      <c r="P610" s="53" t="e">
        <f t="shared" si="138"/>
        <v>#REF!</v>
      </c>
      <c r="Q610" s="54" t="e">
        <f>'Product info'!#REF!</f>
        <v>#REF!</v>
      </c>
      <c r="R610" s="54" t="e">
        <f>'Product info'!#REF!</f>
        <v>#REF!</v>
      </c>
      <c r="S610" s="54" t="e">
        <f>'Product info'!#REF!</f>
        <v>#REF!</v>
      </c>
      <c r="T610" s="50" t="e">
        <f>'Product info'!#REF!</f>
        <v>#REF!</v>
      </c>
      <c r="U610" s="52" t="e">
        <f t="shared" si="139"/>
        <v>#REF!</v>
      </c>
      <c r="V610" s="50" t="e">
        <f t="shared" si="140"/>
        <v>#REF!</v>
      </c>
      <c r="W610" s="50" t="e">
        <f t="shared" si="141"/>
        <v>#REF!</v>
      </c>
      <c r="X610" s="50" t="e">
        <f t="shared" si="142"/>
        <v>#REF!</v>
      </c>
      <c r="Y610" s="50" t="e">
        <f t="shared" si="143"/>
        <v>#REF!</v>
      </c>
      <c r="Z610" t="e">
        <f t="shared" si="131"/>
        <v>#REF!</v>
      </c>
    </row>
    <row r="611" spans="1:26" x14ac:dyDescent="0.4">
      <c r="A611" t="e">
        <f>'Product info'!#REF!</f>
        <v>#REF!</v>
      </c>
      <c r="B611" t="e">
        <f>'Product info'!#REF!</f>
        <v>#REF!</v>
      </c>
      <c r="C611" s="6" t="e">
        <f>'Product info'!#REF!</f>
        <v>#REF!</v>
      </c>
      <c r="D611" s="6" t="e">
        <f>'Product info'!#REF!</f>
        <v>#REF!</v>
      </c>
      <c r="E611" t="e">
        <f t="shared" si="132"/>
        <v>#REF!</v>
      </c>
      <c r="F611" s="50" t="e">
        <f>'Product info'!#REF!</f>
        <v>#REF!</v>
      </c>
      <c r="G611" s="50" t="e">
        <f>'Product info'!#REF!</f>
        <v>#REF!</v>
      </c>
      <c r="H611" s="50" t="e">
        <f>'Product info'!#REF!</f>
        <v>#REF!</v>
      </c>
      <c r="I611" s="50" t="e">
        <f>'Product info'!#REF!</f>
        <v>#REF!</v>
      </c>
      <c r="J611" s="51" t="e">
        <f>'Product info'!#REF!</f>
        <v>#REF!</v>
      </c>
      <c r="K611" s="52" t="e">
        <f t="shared" si="133"/>
        <v>#REF!</v>
      </c>
      <c r="L611" s="50" t="e">
        <f t="shared" si="134"/>
        <v>#REF!</v>
      </c>
      <c r="M611" s="50" t="e">
        <f t="shared" si="135"/>
        <v>#REF!</v>
      </c>
      <c r="N611" s="50" t="e">
        <f t="shared" si="136"/>
        <v>#REF!</v>
      </c>
      <c r="O611" s="50" t="e">
        <f t="shared" si="137"/>
        <v>#REF!</v>
      </c>
      <c r="P611" s="53" t="e">
        <f t="shared" si="138"/>
        <v>#REF!</v>
      </c>
      <c r="Q611" s="54" t="e">
        <f>'Product info'!#REF!</f>
        <v>#REF!</v>
      </c>
      <c r="R611" s="54" t="e">
        <f>'Product info'!#REF!</f>
        <v>#REF!</v>
      </c>
      <c r="S611" s="54" t="e">
        <f>'Product info'!#REF!</f>
        <v>#REF!</v>
      </c>
      <c r="T611" s="50" t="e">
        <f>'Product info'!#REF!</f>
        <v>#REF!</v>
      </c>
      <c r="U611" s="52" t="e">
        <f t="shared" si="139"/>
        <v>#REF!</v>
      </c>
      <c r="V611" s="50" t="e">
        <f t="shared" si="140"/>
        <v>#REF!</v>
      </c>
      <c r="W611" s="50" t="e">
        <f t="shared" si="141"/>
        <v>#REF!</v>
      </c>
      <c r="X611" s="50" t="e">
        <f t="shared" si="142"/>
        <v>#REF!</v>
      </c>
      <c r="Y611" s="50" t="e">
        <f t="shared" si="143"/>
        <v>#REF!</v>
      </c>
      <c r="Z611" t="e">
        <f t="shared" si="131"/>
        <v>#REF!</v>
      </c>
    </row>
    <row r="612" spans="1:26" x14ac:dyDescent="0.4">
      <c r="A612" t="e">
        <f>'Product info'!#REF!</f>
        <v>#REF!</v>
      </c>
      <c r="B612" t="e">
        <f>'Product info'!#REF!</f>
        <v>#REF!</v>
      </c>
      <c r="C612" s="6" t="e">
        <f>'Product info'!#REF!</f>
        <v>#REF!</v>
      </c>
      <c r="D612" s="6" t="e">
        <f>'Product info'!#REF!</f>
        <v>#REF!</v>
      </c>
      <c r="E612" t="e">
        <f t="shared" si="132"/>
        <v>#REF!</v>
      </c>
      <c r="F612" s="50" t="e">
        <f>'Product info'!#REF!</f>
        <v>#REF!</v>
      </c>
      <c r="G612" s="50" t="e">
        <f>'Product info'!#REF!</f>
        <v>#REF!</v>
      </c>
      <c r="H612" s="50" t="e">
        <f>'Product info'!#REF!</f>
        <v>#REF!</v>
      </c>
      <c r="I612" s="50" t="e">
        <f>'Product info'!#REF!</f>
        <v>#REF!</v>
      </c>
      <c r="J612" s="51" t="e">
        <f>'Product info'!#REF!</f>
        <v>#REF!</v>
      </c>
      <c r="K612" s="52" t="e">
        <f t="shared" si="133"/>
        <v>#REF!</v>
      </c>
      <c r="L612" s="50" t="e">
        <f t="shared" si="134"/>
        <v>#REF!</v>
      </c>
      <c r="M612" s="50" t="e">
        <f t="shared" si="135"/>
        <v>#REF!</v>
      </c>
      <c r="N612" s="50" t="e">
        <f t="shared" si="136"/>
        <v>#REF!</v>
      </c>
      <c r="O612" s="50" t="e">
        <f t="shared" si="137"/>
        <v>#REF!</v>
      </c>
      <c r="P612" s="53" t="e">
        <f t="shared" si="138"/>
        <v>#REF!</v>
      </c>
      <c r="Q612" s="54" t="e">
        <f>'Product info'!#REF!</f>
        <v>#REF!</v>
      </c>
      <c r="R612" s="54" t="e">
        <f>'Product info'!#REF!</f>
        <v>#REF!</v>
      </c>
      <c r="S612" s="54" t="e">
        <f>'Product info'!#REF!</f>
        <v>#REF!</v>
      </c>
      <c r="T612" s="50" t="e">
        <f>'Product info'!#REF!</f>
        <v>#REF!</v>
      </c>
      <c r="U612" s="52" t="e">
        <f t="shared" si="139"/>
        <v>#REF!</v>
      </c>
      <c r="V612" s="50" t="e">
        <f t="shared" si="140"/>
        <v>#REF!</v>
      </c>
      <c r="W612" s="50" t="e">
        <f t="shared" si="141"/>
        <v>#REF!</v>
      </c>
      <c r="X612" s="50" t="e">
        <f t="shared" si="142"/>
        <v>#REF!</v>
      </c>
      <c r="Y612" s="50" t="e">
        <f t="shared" si="143"/>
        <v>#REF!</v>
      </c>
      <c r="Z612" t="e">
        <f t="shared" si="131"/>
        <v>#REF!</v>
      </c>
    </row>
    <row r="613" spans="1:26" x14ac:dyDescent="0.4">
      <c r="A613" t="e">
        <f>'Product info'!#REF!</f>
        <v>#REF!</v>
      </c>
      <c r="B613" t="e">
        <f>'Product info'!#REF!</f>
        <v>#REF!</v>
      </c>
      <c r="C613" s="6" t="e">
        <f>'Product info'!#REF!</f>
        <v>#REF!</v>
      </c>
      <c r="D613" s="6" t="e">
        <f>'Product info'!#REF!</f>
        <v>#REF!</v>
      </c>
      <c r="E613" t="e">
        <f t="shared" si="132"/>
        <v>#REF!</v>
      </c>
      <c r="F613" s="50" t="e">
        <f>'Product info'!#REF!</f>
        <v>#REF!</v>
      </c>
      <c r="G613" s="50" t="e">
        <f>'Product info'!#REF!</f>
        <v>#REF!</v>
      </c>
      <c r="H613" s="50" t="e">
        <f>'Product info'!#REF!</f>
        <v>#REF!</v>
      </c>
      <c r="I613" s="50" t="e">
        <f>'Product info'!#REF!</f>
        <v>#REF!</v>
      </c>
      <c r="J613" s="51" t="e">
        <f>'Product info'!#REF!</f>
        <v>#REF!</v>
      </c>
      <c r="K613" s="52" t="e">
        <f t="shared" si="133"/>
        <v>#REF!</v>
      </c>
      <c r="L613" s="50" t="e">
        <f t="shared" si="134"/>
        <v>#REF!</v>
      </c>
      <c r="M613" s="50" t="e">
        <f t="shared" si="135"/>
        <v>#REF!</v>
      </c>
      <c r="N613" s="50" t="e">
        <f t="shared" si="136"/>
        <v>#REF!</v>
      </c>
      <c r="O613" s="50" t="e">
        <f t="shared" si="137"/>
        <v>#REF!</v>
      </c>
      <c r="P613" s="53" t="e">
        <f t="shared" si="138"/>
        <v>#REF!</v>
      </c>
      <c r="Q613" s="54" t="e">
        <f>'Product info'!#REF!</f>
        <v>#REF!</v>
      </c>
      <c r="R613" s="54" t="e">
        <f>'Product info'!#REF!</f>
        <v>#REF!</v>
      </c>
      <c r="S613" s="54" t="e">
        <f>'Product info'!#REF!</f>
        <v>#REF!</v>
      </c>
      <c r="T613" s="50" t="e">
        <f>'Product info'!#REF!</f>
        <v>#REF!</v>
      </c>
      <c r="U613" s="52" t="e">
        <f t="shared" si="139"/>
        <v>#REF!</v>
      </c>
      <c r="V613" s="50" t="e">
        <f t="shared" si="140"/>
        <v>#REF!</v>
      </c>
      <c r="W613" s="50" t="e">
        <f t="shared" si="141"/>
        <v>#REF!</v>
      </c>
      <c r="X613" s="50" t="e">
        <f t="shared" si="142"/>
        <v>#REF!</v>
      </c>
      <c r="Y613" s="50" t="e">
        <f t="shared" si="143"/>
        <v>#REF!</v>
      </c>
      <c r="Z613" t="e">
        <f t="shared" si="131"/>
        <v>#REF!</v>
      </c>
    </row>
    <row r="614" spans="1:26" x14ac:dyDescent="0.4">
      <c r="A614" t="e">
        <f>'Product info'!#REF!</f>
        <v>#REF!</v>
      </c>
      <c r="B614" t="e">
        <f>'Product info'!#REF!</f>
        <v>#REF!</v>
      </c>
      <c r="C614" s="6" t="e">
        <f>'Product info'!#REF!</f>
        <v>#REF!</v>
      </c>
      <c r="D614" s="6" t="e">
        <f>'Product info'!#REF!</f>
        <v>#REF!</v>
      </c>
      <c r="E614" t="e">
        <f t="shared" si="132"/>
        <v>#REF!</v>
      </c>
      <c r="F614" s="50" t="e">
        <f>'Product info'!#REF!</f>
        <v>#REF!</v>
      </c>
      <c r="G614" s="50" t="e">
        <f>'Product info'!#REF!</f>
        <v>#REF!</v>
      </c>
      <c r="H614" s="50" t="e">
        <f>'Product info'!#REF!</f>
        <v>#REF!</v>
      </c>
      <c r="I614" s="50" t="e">
        <f>'Product info'!#REF!</f>
        <v>#REF!</v>
      </c>
      <c r="J614" s="51" t="e">
        <f>'Product info'!#REF!</f>
        <v>#REF!</v>
      </c>
      <c r="K614" s="52" t="e">
        <f t="shared" si="133"/>
        <v>#REF!</v>
      </c>
      <c r="L614" s="50" t="e">
        <f t="shared" si="134"/>
        <v>#REF!</v>
      </c>
      <c r="M614" s="50" t="e">
        <f t="shared" si="135"/>
        <v>#REF!</v>
      </c>
      <c r="N614" s="50" t="e">
        <f t="shared" si="136"/>
        <v>#REF!</v>
      </c>
      <c r="O614" s="50" t="e">
        <f t="shared" si="137"/>
        <v>#REF!</v>
      </c>
      <c r="P614" s="53" t="e">
        <f t="shared" si="138"/>
        <v>#REF!</v>
      </c>
      <c r="Q614" s="54" t="e">
        <f>'Product info'!#REF!</f>
        <v>#REF!</v>
      </c>
      <c r="R614" s="54" t="e">
        <f>'Product info'!#REF!</f>
        <v>#REF!</v>
      </c>
      <c r="S614" s="54" t="e">
        <f>'Product info'!#REF!</f>
        <v>#REF!</v>
      </c>
      <c r="T614" s="50" t="e">
        <f>'Product info'!#REF!</f>
        <v>#REF!</v>
      </c>
      <c r="U614" s="52" t="e">
        <f t="shared" si="139"/>
        <v>#REF!</v>
      </c>
      <c r="V614" s="50" t="e">
        <f t="shared" si="140"/>
        <v>#REF!</v>
      </c>
      <c r="W614" s="50" t="e">
        <f t="shared" si="141"/>
        <v>#REF!</v>
      </c>
      <c r="X614" s="50" t="e">
        <f t="shared" si="142"/>
        <v>#REF!</v>
      </c>
      <c r="Y614" s="50" t="e">
        <f t="shared" si="143"/>
        <v>#REF!</v>
      </c>
      <c r="Z614" t="e">
        <f t="shared" si="131"/>
        <v>#REF!</v>
      </c>
    </row>
    <row r="615" spans="1:26" x14ac:dyDescent="0.4">
      <c r="A615" t="e">
        <f>'Product info'!#REF!</f>
        <v>#REF!</v>
      </c>
      <c r="B615" t="e">
        <f>'Product info'!#REF!</f>
        <v>#REF!</v>
      </c>
      <c r="C615" s="6" t="e">
        <f>'Product info'!#REF!</f>
        <v>#REF!</v>
      </c>
      <c r="D615" s="6" t="e">
        <f>'Product info'!#REF!</f>
        <v>#REF!</v>
      </c>
      <c r="E615" t="e">
        <f t="shared" si="132"/>
        <v>#REF!</v>
      </c>
      <c r="F615" s="50" t="e">
        <f>'Product info'!#REF!</f>
        <v>#REF!</v>
      </c>
      <c r="G615" s="50" t="e">
        <f>'Product info'!#REF!</f>
        <v>#REF!</v>
      </c>
      <c r="H615" s="50" t="e">
        <f>'Product info'!#REF!</f>
        <v>#REF!</v>
      </c>
      <c r="I615" s="50" t="e">
        <f>'Product info'!#REF!</f>
        <v>#REF!</v>
      </c>
      <c r="J615" s="51" t="e">
        <f>'Product info'!#REF!</f>
        <v>#REF!</v>
      </c>
      <c r="K615" s="52" t="e">
        <f t="shared" si="133"/>
        <v>#REF!</v>
      </c>
      <c r="L615" s="50" t="e">
        <f t="shared" si="134"/>
        <v>#REF!</v>
      </c>
      <c r="M615" s="50" t="e">
        <f t="shared" si="135"/>
        <v>#REF!</v>
      </c>
      <c r="N615" s="50" t="e">
        <f t="shared" si="136"/>
        <v>#REF!</v>
      </c>
      <c r="O615" s="50" t="e">
        <f t="shared" si="137"/>
        <v>#REF!</v>
      </c>
      <c r="P615" s="53" t="e">
        <f t="shared" si="138"/>
        <v>#REF!</v>
      </c>
      <c r="Q615" s="54" t="e">
        <f>'Product info'!#REF!</f>
        <v>#REF!</v>
      </c>
      <c r="R615" s="54" t="e">
        <f>'Product info'!#REF!</f>
        <v>#REF!</v>
      </c>
      <c r="S615" s="54" t="e">
        <f>'Product info'!#REF!</f>
        <v>#REF!</v>
      </c>
      <c r="T615" s="50" t="e">
        <f>'Product info'!#REF!</f>
        <v>#REF!</v>
      </c>
      <c r="U615" s="52" t="e">
        <f t="shared" si="139"/>
        <v>#REF!</v>
      </c>
      <c r="V615" s="50" t="e">
        <f t="shared" si="140"/>
        <v>#REF!</v>
      </c>
      <c r="W615" s="50" t="e">
        <f t="shared" si="141"/>
        <v>#REF!</v>
      </c>
      <c r="X615" s="50" t="e">
        <f t="shared" si="142"/>
        <v>#REF!</v>
      </c>
      <c r="Y615" s="50" t="e">
        <f t="shared" si="143"/>
        <v>#REF!</v>
      </c>
      <c r="Z615" t="e">
        <f t="shared" si="131"/>
        <v>#REF!</v>
      </c>
    </row>
    <row r="616" spans="1:26" x14ac:dyDescent="0.4">
      <c r="A616" t="e">
        <f>'Product info'!#REF!</f>
        <v>#REF!</v>
      </c>
      <c r="B616" t="e">
        <f>'Product info'!#REF!</f>
        <v>#REF!</v>
      </c>
      <c r="C616" s="6" t="e">
        <f>'Product info'!#REF!</f>
        <v>#REF!</v>
      </c>
      <c r="D616" s="6" t="e">
        <f>'Product info'!#REF!</f>
        <v>#REF!</v>
      </c>
      <c r="E616" t="e">
        <f t="shared" si="132"/>
        <v>#REF!</v>
      </c>
      <c r="F616" s="50" t="e">
        <f>'Product info'!#REF!</f>
        <v>#REF!</v>
      </c>
      <c r="G616" s="50" t="e">
        <f>'Product info'!#REF!</f>
        <v>#REF!</v>
      </c>
      <c r="H616" s="50" t="e">
        <f>'Product info'!#REF!</f>
        <v>#REF!</v>
      </c>
      <c r="I616" s="50" t="e">
        <f>'Product info'!#REF!</f>
        <v>#REF!</v>
      </c>
      <c r="J616" s="51" t="e">
        <f>'Product info'!#REF!</f>
        <v>#REF!</v>
      </c>
      <c r="K616" s="52" t="e">
        <f t="shared" si="133"/>
        <v>#REF!</v>
      </c>
      <c r="L616" s="50" t="e">
        <f t="shared" si="134"/>
        <v>#REF!</v>
      </c>
      <c r="M616" s="50" t="e">
        <f t="shared" si="135"/>
        <v>#REF!</v>
      </c>
      <c r="N616" s="50" t="e">
        <f t="shared" si="136"/>
        <v>#REF!</v>
      </c>
      <c r="O616" s="50" t="e">
        <f t="shared" si="137"/>
        <v>#REF!</v>
      </c>
      <c r="P616" s="53" t="e">
        <f t="shared" si="138"/>
        <v>#REF!</v>
      </c>
      <c r="Q616" s="54" t="e">
        <f>'Product info'!#REF!</f>
        <v>#REF!</v>
      </c>
      <c r="R616" s="54" t="e">
        <f>'Product info'!#REF!</f>
        <v>#REF!</v>
      </c>
      <c r="S616" s="54" t="e">
        <f>'Product info'!#REF!</f>
        <v>#REF!</v>
      </c>
      <c r="T616" s="50" t="e">
        <f>'Product info'!#REF!</f>
        <v>#REF!</v>
      </c>
      <c r="U616" s="52" t="e">
        <f t="shared" si="139"/>
        <v>#REF!</v>
      </c>
      <c r="V616" s="50" t="e">
        <f t="shared" si="140"/>
        <v>#REF!</v>
      </c>
      <c r="W616" s="50" t="e">
        <f t="shared" si="141"/>
        <v>#REF!</v>
      </c>
      <c r="X616" s="50" t="e">
        <f t="shared" si="142"/>
        <v>#REF!</v>
      </c>
      <c r="Y616" s="50" t="e">
        <f t="shared" si="143"/>
        <v>#REF!</v>
      </c>
      <c r="Z616" t="e">
        <f t="shared" si="131"/>
        <v>#REF!</v>
      </c>
    </row>
    <row r="617" spans="1:26" x14ac:dyDescent="0.4">
      <c r="A617" t="e">
        <f>'Product info'!#REF!</f>
        <v>#REF!</v>
      </c>
      <c r="B617" t="e">
        <f>'Product info'!#REF!</f>
        <v>#REF!</v>
      </c>
      <c r="C617" s="6" t="e">
        <f>'Product info'!#REF!</f>
        <v>#REF!</v>
      </c>
      <c r="D617" s="6" t="e">
        <f>'Product info'!#REF!</f>
        <v>#REF!</v>
      </c>
      <c r="E617" t="e">
        <f t="shared" si="132"/>
        <v>#REF!</v>
      </c>
      <c r="F617" s="50" t="e">
        <f>'Product info'!#REF!</f>
        <v>#REF!</v>
      </c>
      <c r="G617" s="50" t="e">
        <f>'Product info'!#REF!</f>
        <v>#REF!</v>
      </c>
      <c r="H617" s="50" t="e">
        <f>'Product info'!#REF!</f>
        <v>#REF!</v>
      </c>
      <c r="I617" s="50" t="e">
        <f>'Product info'!#REF!</f>
        <v>#REF!</v>
      </c>
      <c r="J617" s="51" t="e">
        <f>'Product info'!#REF!</f>
        <v>#REF!</v>
      </c>
      <c r="K617" s="52" t="e">
        <f t="shared" si="133"/>
        <v>#REF!</v>
      </c>
      <c r="L617" s="50" t="e">
        <f t="shared" si="134"/>
        <v>#REF!</v>
      </c>
      <c r="M617" s="50" t="e">
        <f t="shared" si="135"/>
        <v>#REF!</v>
      </c>
      <c r="N617" s="50" t="e">
        <f t="shared" si="136"/>
        <v>#REF!</v>
      </c>
      <c r="O617" s="50" t="e">
        <f t="shared" si="137"/>
        <v>#REF!</v>
      </c>
      <c r="P617" s="53" t="e">
        <f t="shared" si="138"/>
        <v>#REF!</v>
      </c>
      <c r="Q617" s="54" t="e">
        <f>'Product info'!#REF!</f>
        <v>#REF!</v>
      </c>
      <c r="R617" s="54" t="e">
        <f>'Product info'!#REF!</f>
        <v>#REF!</v>
      </c>
      <c r="S617" s="54" t="e">
        <f>'Product info'!#REF!</f>
        <v>#REF!</v>
      </c>
      <c r="T617" s="50" t="e">
        <f>'Product info'!#REF!</f>
        <v>#REF!</v>
      </c>
      <c r="U617" s="52" t="e">
        <f t="shared" si="139"/>
        <v>#REF!</v>
      </c>
      <c r="V617" s="50" t="e">
        <f t="shared" si="140"/>
        <v>#REF!</v>
      </c>
      <c r="W617" s="50" t="e">
        <f t="shared" si="141"/>
        <v>#REF!</v>
      </c>
      <c r="X617" s="50" t="e">
        <f t="shared" si="142"/>
        <v>#REF!</v>
      </c>
      <c r="Y617" s="50" t="e">
        <f t="shared" si="143"/>
        <v>#REF!</v>
      </c>
      <c r="Z617" t="e">
        <f t="shared" si="131"/>
        <v>#REF!</v>
      </c>
    </row>
    <row r="618" spans="1:26" x14ac:dyDescent="0.4">
      <c r="A618" t="e">
        <f>'Product info'!#REF!</f>
        <v>#REF!</v>
      </c>
      <c r="B618" t="e">
        <f>'Product info'!#REF!</f>
        <v>#REF!</v>
      </c>
      <c r="C618" s="6" t="e">
        <f>'Product info'!#REF!</f>
        <v>#REF!</v>
      </c>
      <c r="D618" s="6" t="e">
        <f>'Product info'!#REF!</f>
        <v>#REF!</v>
      </c>
      <c r="E618" t="e">
        <f t="shared" si="132"/>
        <v>#REF!</v>
      </c>
      <c r="F618" s="50" t="e">
        <f>'Product info'!#REF!</f>
        <v>#REF!</v>
      </c>
      <c r="G618" s="50" t="e">
        <f>'Product info'!#REF!</f>
        <v>#REF!</v>
      </c>
      <c r="H618" s="50" t="e">
        <f>'Product info'!#REF!</f>
        <v>#REF!</v>
      </c>
      <c r="I618" s="50" t="e">
        <f>'Product info'!#REF!</f>
        <v>#REF!</v>
      </c>
      <c r="J618" s="51" t="e">
        <f>'Product info'!#REF!</f>
        <v>#REF!</v>
      </c>
      <c r="K618" s="52" t="e">
        <f t="shared" si="133"/>
        <v>#REF!</v>
      </c>
      <c r="L618" s="50" t="e">
        <f t="shared" si="134"/>
        <v>#REF!</v>
      </c>
      <c r="M618" s="50" t="e">
        <f t="shared" si="135"/>
        <v>#REF!</v>
      </c>
      <c r="N618" s="50" t="e">
        <f t="shared" si="136"/>
        <v>#REF!</v>
      </c>
      <c r="O618" s="50" t="e">
        <f t="shared" si="137"/>
        <v>#REF!</v>
      </c>
      <c r="P618" s="53" t="e">
        <f t="shared" si="138"/>
        <v>#REF!</v>
      </c>
      <c r="Q618" s="54" t="e">
        <f>'Product info'!#REF!</f>
        <v>#REF!</v>
      </c>
      <c r="R618" s="54" t="e">
        <f>'Product info'!#REF!</f>
        <v>#REF!</v>
      </c>
      <c r="S618" s="54" t="e">
        <f>'Product info'!#REF!</f>
        <v>#REF!</v>
      </c>
      <c r="T618" s="50" t="e">
        <f>'Product info'!#REF!</f>
        <v>#REF!</v>
      </c>
      <c r="U618" s="52" t="e">
        <f t="shared" si="139"/>
        <v>#REF!</v>
      </c>
      <c r="V618" s="50" t="e">
        <f t="shared" si="140"/>
        <v>#REF!</v>
      </c>
      <c r="W618" s="50" t="e">
        <f t="shared" si="141"/>
        <v>#REF!</v>
      </c>
      <c r="X618" s="50" t="e">
        <f t="shared" si="142"/>
        <v>#REF!</v>
      </c>
      <c r="Y618" s="50" t="e">
        <f t="shared" si="143"/>
        <v>#REF!</v>
      </c>
      <c r="Z618" t="e">
        <f t="shared" si="131"/>
        <v>#REF!</v>
      </c>
    </row>
    <row r="619" spans="1:26" x14ac:dyDescent="0.4">
      <c r="A619" t="e">
        <f>'Product info'!#REF!</f>
        <v>#REF!</v>
      </c>
      <c r="B619" t="e">
        <f>'Product info'!#REF!</f>
        <v>#REF!</v>
      </c>
      <c r="C619" s="6" t="e">
        <f>'Product info'!#REF!</f>
        <v>#REF!</v>
      </c>
      <c r="D619" s="6" t="e">
        <f>'Product info'!#REF!</f>
        <v>#REF!</v>
      </c>
      <c r="E619" t="e">
        <f t="shared" si="132"/>
        <v>#REF!</v>
      </c>
      <c r="F619" s="50" t="e">
        <f>'Product info'!#REF!</f>
        <v>#REF!</v>
      </c>
      <c r="G619" s="50" t="e">
        <f>'Product info'!#REF!</f>
        <v>#REF!</v>
      </c>
      <c r="H619" s="50" t="e">
        <f>'Product info'!#REF!</f>
        <v>#REF!</v>
      </c>
      <c r="I619" s="50" t="e">
        <f>'Product info'!#REF!</f>
        <v>#REF!</v>
      </c>
      <c r="J619" s="51" t="e">
        <f>'Product info'!#REF!</f>
        <v>#REF!</v>
      </c>
      <c r="K619" s="52" t="e">
        <f t="shared" si="133"/>
        <v>#REF!</v>
      </c>
      <c r="L619" s="50" t="e">
        <f t="shared" si="134"/>
        <v>#REF!</v>
      </c>
      <c r="M619" s="50" t="e">
        <f t="shared" si="135"/>
        <v>#REF!</v>
      </c>
      <c r="N619" s="50" t="e">
        <f t="shared" si="136"/>
        <v>#REF!</v>
      </c>
      <c r="O619" s="50" t="e">
        <f t="shared" si="137"/>
        <v>#REF!</v>
      </c>
      <c r="P619" s="53" t="e">
        <f t="shared" si="138"/>
        <v>#REF!</v>
      </c>
      <c r="Q619" s="54" t="e">
        <f>'Product info'!#REF!</f>
        <v>#REF!</v>
      </c>
      <c r="R619" s="54" t="e">
        <f>'Product info'!#REF!</f>
        <v>#REF!</v>
      </c>
      <c r="S619" s="54" t="e">
        <f>'Product info'!#REF!</f>
        <v>#REF!</v>
      </c>
      <c r="T619" s="50" t="e">
        <f>'Product info'!#REF!</f>
        <v>#REF!</v>
      </c>
      <c r="U619" s="52" t="e">
        <f t="shared" si="139"/>
        <v>#REF!</v>
      </c>
      <c r="V619" s="50" t="e">
        <f t="shared" si="140"/>
        <v>#REF!</v>
      </c>
      <c r="W619" s="50" t="e">
        <f t="shared" si="141"/>
        <v>#REF!</v>
      </c>
      <c r="X619" s="50" t="e">
        <f t="shared" si="142"/>
        <v>#REF!</v>
      </c>
      <c r="Y619" s="50" t="e">
        <f t="shared" si="143"/>
        <v>#REF!</v>
      </c>
      <c r="Z619" t="e">
        <f t="shared" si="131"/>
        <v>#REF!</v>
      </c>
    </row>
    <row r="620" spans="1:26" x14ac:dyDescent="0.4">
      <c r="A620" t="e">
        <f>'Product info'!#REF!</f>
        <v>#REF!</v>
      </c>
      <c r="B620" t="e">
        <f>'Product info'!#REF!</f>
        <v>#REF!</v>
      </c>
      <c r="C620" s="6" t="e">
        <f>'Product info'!#REF!</f>
        <v>#REF!</v>
      </c>
      <c r="D620" s="6" t="e">
        <f>'Product info'!#REF!</f>
        <v>#REF!</v>
      </c>
      <c r="E620" t="e">
        <f t="shared" si="132"/>
        <v>#REF!</v>
      </c>
      <c r="F620" s="50" t="e">
        <f>'Product info'!#REF!</f>
        <v>#REF!</v>
      </c>
      <c r="G620" s="50" t="e">
        <f>'Product info'!#REF!</f>
        <v>#REF!</v>
      </c>
      <c r="H620" s="50" t="e">
        <f>'Product info'!#REF!</f>
        <v>#REF!</v>
      </c>
      <c r="I620" s="50" t="e">
        <f>'Product info'!#REF!</f>
        <v>#REF!</v>
      </c>
      <c r="J620" s="51" t="e">
        <f>'Product info'!#REF!</f>
        <v>#REF!</v>
      </c>
      <c r="K620" s="52" t="e">
        <f t="shared" si="133"/>
        <v>#REF!</v>
      </c>
      <c r="L620" s="50" t="e">
        <f t="shared" si="134"/>
        <v>#REF!</v>
      </c>
      <c r="M620" s="50" t="e">
        <f t="shared" si="135"/>
        <v>#REF!</v>
      </c>
      <c r="N620" s="50" t="e">
        <f t="shared" si="136"/>
        <v>#REF!</v>
      </c>
      <c r="O620" s="50" t="e">
        <f t="shared" si="137"/>
        <v>#REF!</v>
      </c>
      <c r="P620" s="53" t="e">
        <f t="shared" si="138"/>
        <v>#REF!</v>
      </c>
      <c r="Q620" s="54" t="e">
        <f>'Product info'!#REF!</f>
        <v>#REF!</v>
      </c>
      <c r="R620" s="54" t="e">
        <f>'Product info'!#REF!</f>
        <v>#REF!</v>
      </c>
      <c r="S620" s="54" t="e">
        <f>'Product info'!#REF!</f>
        <v>#REF!</v>
      </c>
      <c r="T620" s="50" t="e">
        <f>'Product info'!#REF!</f>
        <v>#REF!</v>
      </c>
      <c r="U620" s="52" t="e">
        <f t="shared" si="139"/>
        <v>#REF!</v>
      </c>
      <c r="V620" s="50" t="e">
        <f t="shared" si="140"/>
        <v>#REF!</v>
      </c>
      <c r="W620" s="50" t="e">
        <f t="shared" si="141"/>
        <v>#REF!</v>
      </c>
      <c r="X620" s="50" t="e">
        <f t="shared" si="142"/>
        <v>#REF!</v>
      </c>
      <c r="Y620" s="50" t="e">
        <f t="shared" si="143"/>
        <v>#REF!</v>
      </c>
      <c r="Z620" t="e">
        <f t="shared" si="131"/>
        <v>#REF!</v>
      </c>
    </row>
    <row r="621" spans="1:26" x14ac:dyDescent="0.4">
      <c r="A621" t="e">
        <f>'Product info'!#REF!</f>
        <v>#REF!</v>
      </c>
      <c r="B621" t="e">
        <f>'Product info'!#REF!</f>
        <v>#REF!</v>
      </c>
      <c r="C621" s="6" t="e">
        <f>'Product info'!#REF!</f>
        <v>#REF!</v>
      </c>
      <c r="D621" s="6" t="e">
        <f>'Product info'!#REF!</f>
        <v>#REF!</v>
      </c>
      <c r="E621" t="e">
        <f t="shared" si="132"/>
        <v>#REF!</v>
      </c>
      <c r="F621" s="50" t="e">
        <f>'Product info'!#REF!</f>
        <v>#REF!</v>
      </c>
      <c r="G621" s="50" t="e">
        <f>'Product info'!#REF!</f>
        <v>#REF!</v>
      </c>
      <c r="H621" s="50" t="e">
        <f>'Product info'!#REF!</f>
        <v>#REF!</v>
      </c>
      <c r="I621" s="50" t="e">
        <f>'Product info'!#REF!</f>
        <v>#REF!</v>
      </c>
      <c r="J621" s="51" t="e">
        <f>'Product info'!#REF!</f>
        <v>#REF!</v>
      </c>
      <c r="K621" s="52" t="e">
        <f t="shared" si="133"/>
        <v>#REF!</v>
      </c>
      <c r="L621" s="50" t="e">
        <f t="shared" si="134"/>
        <v>#REF!</v>
      </c>
      <c r="M621" s="50" t="e">
        <f t="shared" si="135"/>
        <v>#REF!</v>
      </c>
      <c r="N621" s="50" t="e">
        <f t="shared" si="136"/>
        <v>#REF!</v>
      </c>
      <c r="O621" s="50" t="e">
        <f t="shared" si="137"/>
        <v>#REF!</v>
      </c>
      <c r="P621" s="53" t="e">
        <f t="shared" si="138"/>
        <v>#REF!</v>
      </c>
      <c r="Q621" s="54" t="e">
        <f>'Product info'!#REF!</f>
        <v>#REF!</v>
      </c>
      <c r="R621" s="54" t="e">
        <f>'Product info'!#REF!</f>
        <v>#REF!</v>
      </c>
      <c r="S621" s="54" t="e">
        <f>'Product info'!#REF!</f>
        <v>#REF!</v>
      </c>
      <c r="T621" s="50" t="e">
        <f>'Product info'!#REF!</f>
        <v>#REF!</v>
      </c>
      <c r="U621" s="52" t="e">
        <f t="shared" si="139"/>
        <v>#REF!</v>
      </c>
      <c r="V621" s="50" t="e">
        <f t="shared" si="140"/>
        <v>#REF!</v>
      </c>
      <c r="W621" s="50" t="e">
        <f t="shared" si="141"/>
        <v>#REF!</v>
      </c>
      <c r="X621" s="50" t="e">
        <f t="shared" si="142"/>
        <v>#REF!</v>
      </c>
      <c r="Y621" s="50" t="e">
        <f t="shared" si="143"/>
        <v>#REF!</v>
      </c>
      <c r="Z621" t="e">
        <f t="shared" si="131"/>
        <v>#REF!</v>
      </c>
    </row>
    <row r="622" spans="1:26" x14ac:dyDescent="0.4">
      <c r="A622" t="e">
        <f>'Product info'!#REF!</f>
        <v>#REF!</v>
      </c>
      <c r="B622" t="e">
        <f>'Product info'!#REF!</f>
        <v>#REF!</v>
      </c>
      <c r="C622" s="6" t="e">
        <f>'Product info'!#REF!</f>
        <v>#REF!</v>
      </c>
      <c r="D622" s="6" t="e">
        <f>'Product info'!#REF!</f>
        <v>#REF!</v>
      </c>
      <c r="E622" t="e">
        <f t="shared" si="132"/>
        <v>#REF!</v>
      </c>
      <c r="F622" s="50" t="e">
        <f>'Product info'!#REF!</f>
        <v>#REF!</v>
      </c>
      <c r="G622" s="50" t="e">
        <f>'Product info'!#REF!</f>
        <v>#REF!</v>
      </c>
      <c r="H622" s="50" t="e">
        <f>'Product info'!#REF!</f>
        <v>#REF!</v>
      </c>
      <c r="I622" s="50" t="e">
        <f>'Product info'!#REF!</f>
        <v>#REF!</v>
      </c>
      <c r="J622" s="51" t="e">
        <f>'Product info'!#REF!</f>
        <v>#REF!</v>
      </c>
      <c r="K622" s="52" t="e">
        <f t="shared" si="133"/>
        <v>#REF!</v>
      </c>
      <c r="L622" s="50" t="e">
        <f t="shared" si="134"/>
        <v>#REF!</v>
      </c>
      <c r="M622" s="50" t="e">
        <f t="shared" si="135"/>
        <v>#REF!</v>
      </c>
      <c r="N622" s="50" t="e">
        <f t="shared" si="136"/>
        <v>#REF!</v>
      </c>
      <c r="O622" s="50" t="e">
        <f t="shared" si="137"/>
        <v>#REF!</v>
      </c>
      <c r="P622" s="53" t="e">
        <f t="shared" si="138"/>
        <v>#REF!</v>
      </c>
      <c r="Q622" s="54" t="e">
        <f>'Product info'!#REF!</f>
        <v>#REF!</v>
      </c>
      <c r="R622" s="54" t="e">
        <f>'Product info'!#REF!</f>
        <v>#REF!</v>
      </c>
      <c r="S622" s="54" t="e">
        <f>'Product info'!#REF!</f>
        <v>#REF!</v>
      </c>
      <c r="T622" s="50" t="e">
        <f>'Product info'!#REF!</f>
        <v>#REF!</v>
      </c>
      <c r="U622" s="52" t="e">
        <f t="shared" si="139"/>
        <v>#REF!</v>
      </c>
      <c r="V622" s="50" t="e">
        <f t="shared" si="140"/>
        <v>#REF!</v>
      </c>
      <c r="W622" s="50" t="e">
        <f t="shared" si="141"/>
        <v>#REF!</v>
      </c>
      <c r="X622" s="50" t="e">
        <f t="shared" si="142"/>
        <v>#REF!</v>
      </c>
      <c r="Y622" s="50" t="e">
        <f t="shared" si="143"/>
        <v>#REF!</v>
      </c>
      <c r="Z622" t="e">
        <f t="shared" si="131"/>
        <v>#REF!</v>
      </c>
    </row>
    <row r="623" spans="1:26" x14ac:dyDescent="0.4">
      <c r="A623" t="e">
        <f>'Product info'!#REF!</f>
        <v>#REF!</v>
      </c>
      <c r="B623" t="e">
        <f>'Product info'!#REF!</f>
        <v>#REF!</v>
      </c>
      <c r="C623" s="6" t="e">
        <f>'Product info'!#REF!</f>
        <v>#REF!</v>
      </c>
      <c r="D623" s="6" t="e">
        <f>'Product info'!#REF!</f>
        <v>#REF!</v>
      </c>
      <c r="E623" t="e">
        <f t="shared" si="132"/>
        <v>#REF!</v>
      </c>
      <c r="F623" s="50" t="e">
        <f>'Product info'!#REF!</f>
        <v>#REF!</v>
      </c>
      <c r="G623" s="50" t="e">
        <f>'Product info'!#REF!</f>
        <v>#REF!</v>
      </c>
      <c r="H623" s="50" t="e">
        <f>'Product info'!#REF!</f>
        <v>#REF!</v>
      </c>
      <c r="I623" s="50" t="e">
        <f>'Product info'!#REF!</f>
        <v>#REF!</v>
      </c>
      <c r="J623" s="51" t="e">
        <f>'Product info'!#REF!</f>
        <v>#REF!</v>
      </c>
      <c r="K623" s="52" t="e">
        <f t="shared" si="133"/>
        <v>#REF!</v>
      </c>
      <c r="L623" s="50" t="e">
        <f t="shared" si="134"/>
        <v>#REF!</v>
      </c>
      <c r="M623" s="50" t="e">
        <f t="shared" si="135"/>
        <v>#REF!</v>
      </c>
      <c r="N623" s="50" t="e">
        <f t="shared" si="136"/>
        <v>#REF!</v>
      </c>
      <c r="O623" s="50" t="e">
        <f t="shared" si="137"/>
        <v>#REF!</v>
      </c>
      <c r="P623" s="53" t="e">
        <f t="shared" si="138"/>
        <v>#REF!</v>
      </c>
      <c r="Q623" s="54" t="e">
        <f>'Product info'!#REF!</f>
        <v>#REF!</v>
      </c>
      <c r="R623" s="54" t="e">
        <f>'Product info'!#REF!</f>
        <v>#REF!</v>
      </c>
      <c r="S623" s="54" t="e">
        <f>'Product info'!#REF!</f>
        <v>#REF!</v>
      </c>
      <c r="T623" s="50" t="e">
        <f>'Product info'!#REF!</f>
        <v>#REF!</v>
      </c>
      <c r="U623" s="52" t="e">
        <f t="shared" si="139"/>
        <v>#REF!</v>
      </c>
      <c r="V623" s="50" t="e">
        <f t="shared" si="140"/>
        <v>#REF!</v>
      </c>
      <c r="W623" s="50" t="e">
        <f t="shared" si="141"/>
        <v>#REF!</v>
      </c>
      <c r="X623" s="50" t="e">
        <f t="shared" si="142"/>
        <v>#REF!</v>
      </c>
      <c r="Y623" s="50" t="e">
        <f t="shared" si="143"/>
        <v>#REF!</v>
      </c>
      <c r="Z623" t="e">
        <f t="shared" si="131"/>
        <v>#REF!</v>
      </c>
    </row>
    <row r="624" spans="1:26" x14ac:dyDescent="0.4">
      <c r="A624" t="e">
        <f>'Product info'!#REF!</f>
        <v>#REF!</v>
      </c>
      <c r="B624" t="e">
        <f>'Product info'!#REF!</f>
        <v>#REF!</v>
      </c>
      <c r="C624" s="6" t="e">
        <f>'Product info'!#REF!</f>
        <v>#REF!</v>
      </c>
      <c r="D624" s="6" t="e">
        <f>'Product info'!#REF!</f>
        <v>#REF!</v>
      </c>
      <c r="E624" t="e">
        <f t="shared" si="132"/>
        <v>#REF!</v>
      </c>
      <c r="F624" s="50" t="e">
        <f>'Product info'!#REF!</f>
        <v>#REF!</v>
      </c>
      <c r="G624" s="50" t="e">
        <f>'Product info'!#REF!</f>
        <v>#REF!</v>
      </c>
      <c r="H624" s="50" t="e">
        <f>'Product info'!#REF!</f>
        <v>#REF!</v>
      </c>
      <c r="I624" s="50" t="e">
        <f>'Product info'!#REF!</f>
        <v>#REF!</v>
      </c>
      <c r="J624" s="51" t="e">
        <f>'Product info'!#REF!</f>
        <v>#REF!</v>
      </c>
      <c r="K624" s="52" t="e">
        <f t="shared" si="133"/>
        <v>#REF!</v>
      </c>
      <c r="L624" s="50" t="e">
        <f t="shared" si="134"/>
        <v>#REF!</v>
      </c>
      <c r="M624" s="50" t="e">
        <f t="shared" si="135"/>
        <v>#REF!</v>
      </c>
      <c r="N624" s="50" t="e">
        <f t="shared" si="136"/>
        <v>#REF!</v>
      </c>
      <c r="O624" s="50" t="e">
        <f t="shared" si="137"/>
        <v>#REF!</v>
      </c>
      <c r="P624" s="53" t="e">
        <f t="shared" si="138"/>
        <v>#REF!</v>
      </c>
      <c r="Q624" s="54" t="e">
        <f>'Product info'!#REF!</f>
        <v>#REF!</v>
      </c>
      <c r="R624" s="54" t="e">
        <f>'Product info'!#REF!</f>
        <v>#REF!</v>
      </c>
      <c r="S624" s="54" t="e">
        <f>'Product info'!#REF!</f>
        <v>#REF!</v>
      </c>
      <c r="T624" s="50" t="e">
        <f>'Product info'!#REF!</f>
        <v>#REF!</v>
      </c>
      <c r="U624" s="52" t="e">
        <f t="shared" si="139"/>
        <v>#REF!</v>
      </c>
      <c r="V624" s="50" t="e">
        <f t="shared" si="140"/>
        <v>#REF!</v>
      </c>
      <c r="W624" s="50" t="e">
        <f t="shared" si="141"/>
        <v>#REF!</v>
      </c>
      <c r="X624" s="50" t="e">
        <f t="shared" si="142"/>
        <v>#REF!</v>
      </c>
      <c r="Y624" s="50" t="e">
        <f t="shared" si="143"/>
        <v>#REF!</v>
      </c>
      <c r="Z624" t="e">
        <f t="shared" si="131"/>
        <v>#REF!</v>
      </c>
    </row>
    <row r="625" spans="1:26" x14ac:dyDescent="0.4">
      <c r="A625" t="e">
        <f>'Product info'!#REF!</f>
        <v>#REF!</v>
      </c>
      <c r="B625" t="e">
        <f>'Product info'!#REF!</f>
        <v>#REF!</v>
      </c>
      <c r="C625" s="6" t="e">
        <f>'Product info'!#REF!</f>
        <v>#REF!</v>
      </c>
      <c r="D625" s="6" t="e">
        <f>'Product info'!#REF!</f>
        <v>#REF!</v>
      </c>
      <c r="E625" t="e">
        <f t="shared" si="132"/>
        <v>#REF!</v>
      </c>
      <c r="F625" s="50" t="e">
        <f>'Product info'!#REF!</f>
        <v>#REF!</v>
      </c>
      <c r="G625" s="50" t="e">
        <f>'Product info'!#REF!</f>
        <v>#REF!</v>
      </c>
      <c r="H625" s="50" t="e">
        <f>'Product info'!#REF!</f>
        <v>#REF!</v>
      </c>
      <c r="I625" s="50" t="e">
        <f>'Product info'!#REF!</f>
        <v>#REF!</v>
      </c>
      <c r="J625" s="51" t="e">
        <f>'Product info'!#REF!</f>
        <v>#REF!</v>
      </c>
      <c r="K625" s="52" t="e">
        <f t="shared" si="133"/>
        <v>#REF!</v>
      </c>
      <c r="L625" s="50" t="e">
        <f t="shared" si="134"/>
        <v>#REF!</v>
      </c>
      <c r="M625" s="50" t="e">
        <f t="shared" si="135"/>
        <v>#REF!</v>
      </c>
      <c r="N625" s="50" t="e">
        <f t="shared" si="136"/>
        <v>#REF!</v>
      </c>
      <c r="O625" s="50" t="e">
        <f t="shared" si="137"/>
        <v>#REF!</v>
      </c>
      <c r="P625" s="53" t="e">
        <f t="shared" si="138"/>
        <v>#REF!</v>
      </c>
      <c r="Q625" s="54" t="e">
        <f>'Product info'!#REF!</f>
        <v>#REF!</v>
      </c>
      <c r="R625" s="54" t="e">
        <f>'Product info'!#REF!</f>
        <v>#REF!</v>
      </c>
      <c r="S625" s="54" t="e">
        <f>'Product info'!#REF!</f>
        <v>#REF!</v>
      </c>
      <c r="T625" s="50" t="e">
        <f>'Product info'!#REF!</f>
        <v>#REF!</v>
      </c>
      <c r="U625" s="52" t="e">
        <f t="shared" si="139"/>
        <v>#REF!</v>
      </c>
      <c r="V625" s="50" t="e">
        <f t="shared" si="140"/>
        <v>#REF!</v>
      </c>
      <c r="W625" s="50" t="e">
        <f t="shared" si="141"/>
        <v>#REF!</v>
      </c>
      <c r="X625" s="50" t="e">
        <f t="shared" si="142"/>
        <v>#REF!</v>
      </c>
      <c r="Y625" s="50" t="e">
        <f t="shared" si="143"/>
        <v>#REF!</v>
      </c>
      <c r="Z625" t="e">
        <f t="shared" si="131"/>
        <v>#REF!</v>
      </c>
    </row>
    <row r="626" spans="1:26" x14ac:dyDescent="0.4">
      <c r="A626" t="e">
        <f>'Product info'!#REF!</f>
        <v>#REF!</v>
      </c>
      <c r="B626" t="e">
        <f>'Product info'!#REF!</f>
        <v>#REF!</v>
      </c>
      <c r="C626" s="6" t="e">
        <f>'Product info'!#REF!</f>
        <v>#REF!</v>
      </c>
      <c r="D626" s="6" t="e">
        <f>'Product info'!#REF!</f>
        <v>#REF!</v>
      </c>
      <c r="E626" t="e">
        <f t="shared" si="132"/>
        <v>#REF!</v>
      </c>
      <c r="F626" s="50" t="e">
        <f>'Product info'!#REF!</f>
        <v>#REF!</v>
      </c>
      <c r="G626" s="50" t="e">
        <f>'Product info'!#REF!</f>
        <v>#REF!</v>
      </c>
      <c r="H626" s="50" t="e">
        <f>'Product info'!#REF!</f>
        <v>#REF!</v>
      </c>
      <c r="I626" s="50" t="e">
        <f>'Product info'!#REF!</f>
        <v>#REF!</v>
      </c>
      <c r="J626" s="51" t="e">
        <f>'Product info'!#REF!</f>
        <v>#REF!</v>
      </c>
      <c r="K626" s="52" t="e">
        <f t="shared" si="133"/>
        <v>#REF!</v>
      </c>
      <c r="L626" s="50" t="e">
        <f t="shared" si="134"/>
        <v>#REF!</v>
      </c>
      <c r="M626" s="50" t="e">
        <f t="shared" si="135"/>
        <v>#REF!</v>
      </c>
      <c r="N626" s="50" t="e">
        <f t="shared" si="136"/>
        <v>#REF!</v>
      </c>
      <c r="O626" s="50" t="e">
        <f t="shared" si="137"/>
        <v>#REF!</v>
      </c>
      <c r="P626" s="53" t="e">
        <f t="shared" si="138"/>
        <v>#REF!</v>
      </c>
      <c r="Q626" s="54" t="e">
        <f>'Product info'!#REF!</f>
        <v>#REF!</v>
      </c>
      <c r="R626" s="54" t="e">
        <f>'Product info'!#REF!</f>
        <v>#REF!</v>
      </c>
      <c r="S626" s="54" t="e">
        <f>'Product info'!#REF!</f>
        <v>#REF!</v>
      </c>
      <c r="T626" s="50" t="e">
        <f>'Product info'!#REF!</f>
        <v>#REF!</v>
      </c>
      <c r="U626" s="52" t="e">
        <f t="shared" si="139"/>
        <v>#REF!</v>
      </c>
      <c r="V626" s="50" t="e">
        <f t="shared" si="140"/>
        <v>#REF!</v>
      </c>
      <c r="W626" s="50" t="e">
        <f t="shared" si="141"/>
        <v>#REF!</v>
      </c>
      <c r="X626" s="50" t="e">
        <f t="shared" si="142"/>
        <v>#REF!</v>
      </c>
      <c r="Y626" s="50" t="e">
        <f t="shared" si="143"/>
        <v>#REF!</v>
      </c>
      <c r="Z626" t="e">
        <f t="shared" si="131"/>
        <v>#REF!</v>
      </c>
    </row>
    <row r="627" spans="1:26" x14ac:dyDescent="0.4">
      <c r="A627">
        <f>'Product info'!A12</f>
        <v>0</v>
      </c>
      <c r="B627">
        <f>'Product info'!F12</f>
        <v>0</v>
      </c>
      <c r="C627" s="6">
        <f>'Product info'!G12</f>
        <v>0</v>
      </c>
      <c r="D627" s="6">
        <f>'Product info'!H12</f>
        <v>0</v>
      </c>
      <c r="E627" t="str">
        <f t="shared" si="132"/>
        <v>0*0*0</v>
      </c>
      <c r="F627" s="50">
        <f>'Product info'!O12</f>
        <v>0</v>
      </c>
      <c r="G627" s="50">
        <f>'Product info'!P12</f>
        <v>0</v>
      </c>
      <c r="H627" s="50">
        <f>'Product info'!Q12</f>
        <v>0</v>
      </c>
      <c r="I627" s="50">
        <f>'Product info'!N12</f>
        <v>0</v>
      </c>
      <c r="J627" s="51">
        <f>'Product info'!M12</f>
        <v>0</v>
      </c>
      <c r="K627" s="52">
        <f t="shared" si="133"/>
        <v>0</v>
      </c>
      <c r="L627" s="50">
        <f t="shared" si="134"/>
        <v>0</v>
      </c>
      <c r="M627" s="50">
        <f t="shared" si="135"/>
        <v>0</v>
      </c>
      <c r="N627" s="50">
        <f t="shared" si="136"/>
        <v>0</v>
      </c>
      <c r="O627" s="50">
        <f t="shared" si="137"/>
        <v>0</v>
      </c>
      <c r="P627" s="53" t="str">
        <f t="shared" si="138"/>
        <v>0*0*0</v>
      </c>
      <c r="Q627" s="54">
        <f>'Product info'!S12</f>
        <v>0</v>
      </c>
      <c r="R627" s="54">
        <f>'Product info'!T12</f>
        <v>0</v>
      </c>
      <c r="S627" s="54">
        <f>'Product info'!U12</f>
        <v>0</v>
      </c>
      <c r="T627" s="50">
        <f>'Product info'!R12</f>
        <v>0</v>
      </c>
      <c r="U627" s="52">
        <f t="shared" si="139"/>
        <v>0</v>
      </c>
      <c r="V627" s="50">
        <f t="shared" si="140"/>
        <v>0</v>
      </c>
      <c r="W627" s="50">
        <f t="shared" si="141"/>
        <v>0</v>
      </c>
      <c r="X627" s="50">
        <f t="shared" si="142"/>
        <v>0</v>
      </c>
      <c r="Y627" s="50">
        <f t="shared" si="143"/>
        <v>0</v>
      </c>
      <c r="Z627" t="e">
        <f t="shared" si="131"/>
        <v>#DIV/0!</v>
      </c>
    </row>
    <row r="628" spans="1:26" x14ac:dyDescent="0.4">
      <c r="A628">
        <f>'Product info'!A13</f>
        <v>0</v>
      </c>
      <c r="B628">
        <f>'Product info'!F13</f>
        <v>0</v>
      </c>
      <c r="C628" s="6">
        <f>'Product info'!G13</f>
        <v>0</v>
      </c>
      <c r="D628" s="6">
        <f>'Product info'!H13</f>
        <v>0</v>
      </c>
      <c r="E628" t="str">
        <f t="shared" si="132"/>
        <v>0*0*0</v>
      </c>
      <c r="F628" s="50">
        <f>'Product info'!O13</f>
        <v>0</v>
      </c>
      <c r="G628" s="50">
        <f>'Product info'!P13</f>
        <v>0</v>
      </c>
      <c r="H628" s="50">
        <f>'Product info'!Q13</f>
        <v>0</v>
      </c>
      <c r="I628" s="50">
        <f>'Product info'!N13</f>
        <v>0</v>
      </c>
      <c r="J628" s="51">
        <f>'Product info'!M13</f>
        <v>0</v>
      </c>
      <c r="K628" s="52">
        <f t="shared" si="133"/>
        <v>0</v>
      </c>
      <c r="L628" s="50">
        <f t="shared" si="134"/>
        <v>0</v>
      </c>
      <c r="M628" s="50">
        <f t="shared" si="135"/>
        <v>0</v>
      </c>
      <c r="N628" s="50">
        <f t="shared" si="136"/>
        <v>0</v>
      </c>
      <c r="O628" s="50">
        <f t="shared" si="137"/>
        <v>0</v>
      </c>
      <c r="P628" s="53" t="str">
        <f t="shared" si="138"/>
        <v>0*0*0</v>
      </c>
      <c r="Q628" s="54">
        <f>'Product info'!S13</f>
        <v>0</v>
      </c>
      <c r="R628" s="54">
        <f>'Product info'!T13</f>
        <v>0</v>
      </c>
      <c r="S628" s="54">
        <f>'Product info'!U13</f>
        <v>0</v>
      </c>
      <c r="T628" s="50">
        <f>'Product info'!R13</f>
        <v>0</v>
      </c>
      <c r="U628" s="52">
        <f t="shared" si="139"/>
        <v>0</v>
      </c>
      <c r="V628" s="50">
        <f t="shared" si="140"/>
        <v>0</v>
      </c>
      <c r="W628" s="50">
        <f t="shared" si="141"/>
        <v>0</v>
      </c>
      <c r="X628" s="50">
        <f t="shared" si="142"/>
        <v>0</v>
      </c>
      <c r="Y628" s="50">
        <f t="shared" si="143"/>
        <v>0</v>
      </c>
      <c r="Z628" t="e">
        <f t="shared" si="131"/>
        <v>#DIV/0!</v>
      </c>
    </row>
    <row r="629" spans="1:26" x14ac:dyDescent="0.4">
      <c r="A629">
        <f>'Product info'!A14</f>
        <v>0</v>
      </c>
      <c r="B629">
        <f>'Product info'!F14</f>
        <v>0</v>
      </c>
      <c r="C629" s="6">
        <f>'Product info'!G14</f>
        <v>0</v>
      </c>
      <c r="D629" s="6">
        <f>'Product info'!H14</f>
        <v>0</v>
      </c>
      <c r="E629" t="str">
        <f t="shared" si="132"/>
        <v>0*0*0</v>
      </c>
      <c r="F629" s="50">
        <f>'Product info'!O14</f>
        <v>0</v>
      </c>
      <c r="G629" s="50">
        <f>'Product info'!P14</f>
        <v>0</v>
      </c>
      <c r="H629" s="50">
        <f>'Product info'!Q14</f>
        <v>0</v>
      </c>
      <c r="I629" s="50">
        <f>'Product info'!N14</f>
        <v>0</v>
      </c>
      <c r="J629" s="51">
        <f>'Product info'!M14</f>
        <v>0</v>
      </c>
      <c r="K629" s="52">
        <f t="shared" si="133"/>
        <v>0</v>
      </c>
      <c r="L629" s="50">
        <f t="shared" si="134"/>
        <v>0</v>
      </c>
      <c r="M629" s="50">
        <f t="shared" si="135"/>
        <v>0</v>
      </c>
      <c r="N629" s="50">
        <f t="shared" si="136"/>
        <v>0</v>
      </c>
      <c r="O629" s="50">
        <f t="shared" si="137"/>
        <v>0</v>
      </c>
      <c r="P629" s="53" t="str">
        <f t="shared" si="138"/>
        <v>0*0*0</v>
      </c>
      <c r="Q629" s="54">
        <f>'Product info'!S14</f>
        <v>0</v>
      </c>
      <c r="R629" s="54">
        <f>'Product info'!T14</f>
        <v>0</v>
      </c>
      <c r="S629" s="54">
        <f>'Product info'!U14</f>
        <v>0</v>
      </c>
      <c r="T629" s="50">
        <f>'Product info'!R14</f>
        <v>0</v>
      </c>
      <c r="U629" s="52">
        <f t="shared" si="139"/>
        <v>0</v>
      </c>
      <c r="V629" s="50">
        <f t="shared" si="140"/>
        <v>0</v>
      </c>
      <c r="W629" s="50">
        <f t="shared" si="141"/>
        <v>0</v>
      </c>
      <c r="X629" s="50">
        <f t="shared" si="142"/>
        <v>0</v>
      </c>
      <c r="Y629" s="50">
        <f t="shared" si="143"/>
        <v>0</v>
      </c>
      <c r="Z629" t="e">
        <f t="shared" si="131"/>
        <v>#DIV/0!</v>
      </c>
    </row>
    <row r="630" spans="1:26" x14ac:dyDescent="0.4">
      <c r="A630">
        <f>'Product info'!A15</f>
        <v>0</v>
      </c>
      <c r="B630">
        <f>'Product info'!F15</f>
        <v>0</v>
      </c>
      <c r="C630" s="6">
        <f>'Product info'!G15</f>
        <v>0</v>
      </c>
      <c r="D630" s="6">
        <f>'Product info'!H15</f>
        <v>0</v>
      </c>
      <c r="E630" t="str">
        <f t="shared" si="132"/>
        <v>0*0*0</v>
      </c>
      <c r="F630" s="50">
        <f>'Product info'!O15</f>
        <v>0</v>
      </c>
      <c r="G630" s="50">
        <f>'Product info'!P15</f>
        <v>0</v>
      </c>
      <c r="H630" s="50">
        <f>'Product info'!Q15</f>
        <v>0</v>
      </c>
      <c r="I630" s="50">
        <f>'Product info'!N15</f>
        <v>0</v>
      </c>
      <c r="J630" s="51">
        <f>'Product info'!M15</f>
        <v>0</v>
      </c>
      <c r="K630" s="52">
        <f t="shared" si="133"/>
        <v>0</v>
      </c>
      <c r="L630" s="50">
        <f t="shared" si="134"/>
        <v>0</v>
      </c>
      <c r="M630" s="50">
        <f t="shared" si="135"/>
        <v>0</v>
      </c>
      <c r="N630" s="50">
        <f t="shared" si="136"/>
        <v>0</v>
      </c>
      <c r="O630" s="50">
        <f t="shared" si="137"/>
        <v>0</v>
      </c>
      <c r="P630" s="53" t="str">
        <f t="shared" si="138"/>
        <v>0*0*0</v>
      </c>
      <c r="Q630" s="54">
        <f>'Product info'!S15</f>
        <v>0</v>
      </c>
      <c r="R630" s="54">
        <f>'Product info'!T15</f>
        <v>0</v>
      </c>
      <c r="S630" s="54">
        <f>'Product info'!U15</f>
        <v>0</v>
      </c>
      <c r="T630" s="50">
        <f>'Product info'!R15</f>
        <v>0</v>
      </c>
      <c r="U630" s="52">
        <f t="shared" si="139"/>
        <v>0</v>
      </c>
      <c r="V630" s="50">
        <f t="shared" si="140"/>
        <v>0</v>
      </c>
      <c r="W630" s="50">
        <f t="shared" si="141"/>
        <v>0</v>
      </c>
      <c r="X630" s="50">
        <f t="shared" si="142"/>
        <v>0</v>
      </c>
      <c r="Y630" s="50">
        <f t="shared" si="143"/>
        <v>0</v>
      </c>
      <c r="Z630" t="e">
        <f t="shared" si="131"/>
        <v>#DIV/0!</v>
      </c>
    </row>
    <row r="631" spans="1:26" x14ac:dyDescent="0.4">
      <c r="A631">
        <f>'Product info'!A16</f>
        <v>0</v>
      </c>
      <c r="B631">
        <f>'Product info'!F16</f>
        <v>0</v>
      </c>
      <c r="C631" s="6">
        <f>'Product info'!G16</f>
        <v>0</v>
      </c>
      <c r="D631" s="6">
        <f>'Product info'!H16</f>
        <v>0</v>
      </c>
      <c r="E631" t="str">
        <f t="shared" si="132"/>
        <v>0*0*0</v>
      </c>
      <c r="F631" s="50">
        <f>'Product info'!O16</f>
        <v>0</v>
      </c>
      <c r="G631" s="50">
        <f>'Product info'!P16</f>
        <v>0</v>
      </c>
      <c r="H631" s="50">
        <f>'Product info'!Q16</f>
        <v>0</v>
      </c>
      <c r="I631" s="50">
        <f>'Product info'!N16</f>
        <v>0</v>
      </c>
      <c r="J631" s="51">
        <f>'Product info'!M16</f>
        <v>0</v>
      </c>
      <c r="K631" s="52">
        <f t="shared" si="133"/>
        <v>0</v>
      </c>
      <c r="L631" s="50">
        <f t="shared" si="134"/>
        <v>0</v>
      </c>
      <c r="M631" s="50">
        <f t="shared" si="135"/>
        <v>0</v>
      </c>
      <c r="N631" s="50">
        <f t="shared" si="136"/>
        <v>0</v>
      </c>
      <c r="O631" s="50">
        <f t="shared" si="137"/>
        <v>0</v>
      </c>
      <c r="P631" s="53" t="str">
        <f t="shared" si="138"/>
        <v>0*0*0</v>
      </c>
      <c r="Q631" s="54">
        <f>'Product info'!S16</f>
        <v>0</v>
      </c>
      <c r="R631" s="54">
        <f>'Product info'!T16</f>
        <v>0</v>
      </c>
      <c r="S631" s="54">
        <f>'Product info'!U16</f>
        <v>0</v>
      </c>
      <c r="T631" s="50">
        <f>'Product info'!R16</f>
        <v>0</v>
      </c>
      <c r="U631" s="52">
        <f t="shared" si="139"/>
        <v>0</v>
      </c>
      <c r="V631" s="50">
        <f t="shared" si="140"/>
        <v>0</v>
      </c>
      <c r="W631" s="50">
        <f t="shared" si="141"/>
        <v>0</v>
      </c>
      <c r="X631" s="50">
        <f t="shared" si="142"/>
        <v>0</v>
      </c>
      <c r="Y631" s="50">
        <f t="shared" si="143"/>
        <v>0</v>
      </c>
      <c r="Z631" t="e">
        <f t="shared" si="131"/>
        <v>#DIV/0!</v>
      </c>
    </row>
    <row r="632" spans="1:26" x14ac:dyDescent="0.4">
      <c r="A632">
        <f>'Product info'!A17</f>
        <v>0</v>
      </c>
      <c r="B632">
        <f>'Product info'!F17</f>
        <v>0</v>
      </c>
      <c r="C632" s="6">
        <f>'Product info'!G17</f>
        <v>0</v>
      </c>
      <c r="D632" s="6">
        <f>'Product info'!H17</f>
        <v>0</v>
      </c>
      <c r="E632" t="str">
        <f t="shared" si="132"/>
        <v>0*0*0</v>
      </c>
      <c r="F632" s="50">
        <f>'Product info'!O17</f>
        <v>0</v>
      </c>
      <c r="G632" s="50">
        <f>'Product info'!P17</f>
        <v>0</v>
      </c>
      <c r="H632" s="50">
        <f>'Product info'!Q17</f>
        <v>0</v>
      </c>
      <c r="I632" s="50">
        <f>'Product info'!N17</f>
        <v>0</v>
      </c>
      <c r="J632" s="51">
        <f>'Product info'!M17</f>
        <v>0</v>
      </c>
      <c r="K632" s="52">
        <f t="shared" si="133"/>
        <v>0</v>
      </c>
      <c r="L632" s="50">
        <f t="shared" si="134"/>
        <v>0</v>
      </c>
      <c r="M632" s="50">
        <f t="shared" si="135"/>
        <v>0</v>
      </c>
      <c r="N632" s="50">
        <f t="shared" si="136"/>
        <v>0</v>
      </c>
      <c r="O632" s="50">
        <f t="shared" si="137"/>
        <v>0</v>
      </c>
      <c r="P632" s="53" t="str">
        <f t="shared" si="138"/>
        <v>0*0*0</v>
      </c>
      <c r="Q632" s="54">
        <f>'Product info'!S17</f>
        <v>0</v>
      </c>
      <c r="R632" s="54">
        <f>'Product info'!T17</f>
        <v>0</v>
      </c>
      <c r="S632" s="54">
        <f>'Product info'!U17</f>
        <v>0</v>
      </c>
      <c r="T632" s="50">
        <f>'Product info'!R17</f>
        <v>0</v>
      </c>
      <c r="U632" s="52">
        <f t="shared" si="139"/>
        <v>0</v>
      </c>
      <c r="V632" s="50">
        <f t="shared" si="140"/>
        <v>0</v>
      </c>
      <c r="W632" s="50">
        <f t="shared" si="141"/>
        <v>0</v>
      </c>
      <c r="X632" s="50">
        <f t="shared" si="142"/>
        <v>0</v>
      </c>
      <c r="Y632" s="50">
        <f t="shared" si="143"/>
        <v>0</v>
      </c>
      <c r="Z632" t="e">
        <f t="shared" si="131"/>
        <v>#DIV/0!</v>
      </c>
    </row>
    <row r="633" spans="1:26" x14ac:dyDescent="0.4">
      <c r="A633">
        <f>'Product info'!A18</f>
        <v>0</v>
      </c>
      <c r="B633">
        <f>'Product info'!F18</f>
        <v>0</v>
      </c>
      <c r="C633" s="6">
        <f>'Product info'!G18</f>
        <v>0</v>
      </c>
      <c r="D633" s="6">
        <f>'Product info'!H18</f>
        <v>0</v>
      </c>
      <c r="E633" t="str">
        <f t="shared" si="132"/>
        <v>0*0*0</v>
      </c>
      <c r="F633" s="50">
        <f>'Product info'!O18</f>
        <v>0</v>
      </c>
      <c r="G633" s="50">
        <f>'Product info'!P18</f>
        <v>0</v>
      </c>
      <c r="H633" s="50">
        <f>'Product info'!Q18</f>
        <v>0</v>
      </c>
      <c r="I633" s="50">
        <f>'Product info'!N18</f>
        <v>0</v>
      </c>
      <c r="J633" s="51">
        <f>'Product info'!M18</f>
        <v>0</v>
      </c>
      <c r="K633" s="52">
        <f t="shared" si="133"/>
        <v>0</v>
      </c>
      <c r="L633" s="50">
        <f t="shared" si="134"/>
        <v>0</v>
      </c>
      <c r="M633" s="50">
        <f t="shared" si="135"/>
        <v>0</v>
      </c>
      <c r="N633" s="50">
        <f t="shared" si="136"/>
        <v>0</v>
      </c>
      <c r="O633" s="50">
        <f t="shared" si="137"/>
        <v>0</v>
      </c>
      <c r="P633" s="53" t="str">
        <f t="shared" si="138"/>
        <v>0*0*0</v>
      </c>
      <c r="Q633" s="54">
        <f>'Product info'!S18</f>
        <v>0</v>
      </c>
      <c r="R633" s="54">
        <f>'Product info'!T18</f>
        <v>0</v>
      </c>
      <c r="S633" s="54">
        <f>'Product info'!U18</f>
        <v>0</v>
      </c>
      <c r="T633" s="50">
        <f>'Product info'!R18</f>
        <v>0</v>
      </c>
      <c r="U633" s="52">
        <f t="shared" si="139"/>
        <v>0</v>
      </c>
      <c r="V633" s="50">
        <f t="shared" si="140"/>
        <v>0</v>
      </c>
      <c r="W633" s="50">
        <f t="shared" si="141"/>
        <v>0</v>
      </c>
      <c r="X633" s="50">
        <f t="shared" si="142"/>
        <v>0</v>
      </c>
      <c r="Y633" s="50">
        <f t="shared" si="143"/>
        <v>0</v>
      </c>
      <c r="Z633" t="e">
        <f t="shared" si="131"/>
        <v>#DIV/0!</v>
      </c>
    </row>
    <row r="634" spans="1:26" x14ac:dyDescent="0.4">
      <c r="A634">
        <f>'Product info'!A19</f>
        <v>0</v>
      </c>
      <c r="B634">
        <f>'Product info'!F19</f>
        <v>0</v>
      </c>
      <c r="C634" s="6">
        <f>'Product info'!G19</f>
        <v>0</v>
      </c>
      <c r="D634" s="6">
        <f>'Product info'!H19</f>
        <v>0</v>
      </c>
      <c r="E634" t="str">
        <f t="shared" si="132"/>
        <v>0*0*0</v>
      </c>
      <c r="F634" s="50">
        <f>'Product info'!O19</f>
        <v>0</v>
      </c>
      <c r="G634" s="50">
        <f>'Product info'!P19</f>
        <v>0</v>
      </c>
      <c r="H634" s="50">
        <f>'Product info'!Q19</f>
        <v>0</v>
      </c>
      <c r="I634" s="50">
        <f>'Product info'!N19</f>
        <v>0</v>
      </c>
      <c r="J634" s="51">
        <f>'Product info'!M19</f>
        <v>0</v>
      </c>
      <c r="K634" s="52">
        <f t="shared" si="133"/>
        <v>0</v>
      </c>
      <c r="L634" s="50">
        <f t="shared" si="134"/>
        <v>0</v>
      </c>
      <c r="M634" s="50">
        <f t="shared" si="135"/>
        <v>0</v>
      </c>
      <c r="N634" s="50">
        <f t="shared" si="136"/>
        <v>0</v>
      </c>
      <c r="O634" s="50">
        <f t="shared" si="137"/>
        <v>0</v>
      </c>
      <c r="P634" s="53" t="str">
        <f t="shared" si="138"/>
        <v>0*0*0</v>
      </c>
      <c r="Q634" s="54">
        <f>'Product info'!S19</f>
        <v>0</v>
      </c>
      <c r="R634" s="54">
        <f>'Product info'!T19</f>
        <v>0</v>
      </c>
      <c r="S634" s="54">
        <f>'Product info'!U19</f>
        <v>0</v>
      </c>
      <c r="T634" s="50">
        <f>'Product info'!R19</f>
        <v>0</v>
      </c>
      <c r="U634" s="52">
        <f t="shared" si="139"/>
        <v>0</v>
      </c>
      <c r="V634" s="50">
        <f t="shared" si="140"/>
        <v>0</v>
      </c>
      <c r="W634" s="50">
        <f t="shared" si="141"/>
        <v>0</v>
      </c>
      <c r="X634" s="50">
        <f t="shared" si="142"/>
        <v>0</v>
      </c>
      <c r="Y634" s="50">
        <f t="shared" si="143"/>
        <v>0</v>
      </c>
      <c r="Z634" t="e">
        <f t="shared" si="131"/>
        <v>#DIV/0!</v>
      </c>
    </row>
    <row r="635" spans="1:26" x14ac:dyDescent="0.4">
      <c r="A635">
        <f>'Product info'!A20</f>
        <v>0</v>
      </c>
      <c r="B635">
        <f>'Product info'!F20</f>
        <v>0</v>
      </c>
      <c r="C635" s="6">
        <f>'Product info'!G20</f>
        <v>0</v>
      </c>
      <c r="D635" s="6">
        <f>'Product info'!H20</f>
        <v>0</v>
      </c>
      <c r="E635" t="str">
        <f t="shared" si="132"/>
        <v>0*0*0</v>
      </c>
      <c r="F635" s="50">
        <f>'Product info'!O20</f>
        <v>0</v>
      </c>
      <c r="G635" s="50">
        <f>'Product info'!P20</f>
        <v>0</v>
      </c>
      <c r="H635" s="50">
        <f>'Product info'!Q20</f>
        <v>0</v>
      </c>
      <c r="I635" s="50">
        <f>'Product info'!N20</f>
        <v>0</v>
      </c>
      <c r="J635" s="51">
        <f>'Product info'!M20</f>
        <v>0</v>
      </c>
      <c r="K635" s="52">
        <f t="shared" si="133"/>
        <v>0</v>
      </c>
      <c r="L635" s="50">
        <f t="shared" si="134"/>
        <v>0</v>
      </c>
      <c r="M635" s="50">
        <f t="shared" si="135"/>
        <v>0</v>
      </c>
      <c r="N635" s="50">
        <f t="shared" si="136"/>
        <v>0</v>
      </c>
      <c r="O635" s="50">
        <f t="shared" si="137"/>
        <v>0</v>
      </c>
      <c r="P635" s="53" t="str">
        <f t="shared" si="138"/>
        <v>0*0*0</v>
      </c>
      <c r="Q635" s="54">
        <f>'Product info'!S20</f>
        <v>0</v>
      </c>
      <c r="R635" s="54">
        <f>'Product info'!T20</f>
        <v>0</v>
      </c>
      <c r="S635" s="54">
        <f>'Product info'!U20</f>
        <v>0</v>
      </c>
      <c r="T635" s="50">
        <f>'Product info'!R20</f>
        <v>0</v>
      </c>
      <c r="U635" s="52">
        <f t="shared" si="139"/>
        <v>0</v>
      </c>
      <c r="V635" s="50">
        <f t="shared" si="140"/>
        <v>0</v>
      </c>
      <c r="W635" s="50">
        <f t="shared" si="141"/>
        <v>0</v>
      </c>
      <c r="X635" s="50">
        <f t="shared" si="142"/>
        <v>0</v>
      </c>
      <c r="Y635" s="50">
        <f t="shared" si="143"/>
        <v>0</v>
      </c>
      <c r="Z635" t="e">
        <f t="shared" si="131"/>
        <v>#DIV/0!</v>
      </c>
    </row>
    <row r="636" spans="1:26" x14ac:dyDescent="0.4">
      <c r="A636">
        <f>'Product info'!A21</f>
        <v>0</v>
      </c>
      <c r="B636">
        <f>'Product info'!F21</f>
        <v>0</v>
      </c>
      <c r="C636" s="6">
        <f>'Product info'!G21</f>
        <v>0</v>
      </c>
      <c r="D636" s="6">
        <f>'Product info'!H21</f>
        <v>0</v>
      </c>
      <c r="E636" t="str">
        <f t="shared" si="132"/>
        <v>0*0*0</v>
      </c>
      <c r="F636" s="50">
        <f>'Product info'!O21</f>
        <v>0</v>
      </c>
      <c r="G636" s="50">
        <f>'Product info'!P21</f>
        <v>0</v>
      </c>
      <c r="H636" s="50">
        <f>'Product info'!Q21</f>
        <v>0</v>
      </c>
      <c r="I636" s="50">
        <f>'Product info'!N21</f>
        <v>0</v>
      </c>
      <c r="J636" s="51">
        <f>'Product info'!M21</f>
        <v>0</v>
      </c>
      <c r="K636" s="52">
        <f t="shared" si="133"/>
        <v>0</v>
      </c>
      <c r="L636" s="50">
        <f t="shared" si="134"/>
        <v>0</v>
      </c>
      <c r="M636" s="50">
        <f t="shared" si="135"/>
        <v>0</v>
      </c>
      <c r="N636" s="50">
        <f t="shared" si="136"/>
        <v>0</v>
      </c>
      <c r="O636" s="50">
        <f t="shared" si="137"/>
        <v>0</v>
      </c>
      <c r="P636" s="53" t="str">
        <f t="shared" si="138"/>
        <v>0*0*0</v>
      </c>
      <c r="Q636" s="54">
        <f>'Product info'!S21</f>
        <v>0</v>
      </c>
      <c r="R636" s="54">
        <f>'Product info'!T21</f>
        <v>0</v>
      </c>
      <c r="S636" s="54">
        <f>'Product info'!U21</f>
        <v>0</v>
      </c>
      <c r="T636" s="50">
        <f>'Product info'!R21</f>
        <v>0</v>
      </c>
      <c r="U636" s="52">
        <f t="shared" si="139"/>
        <v>0</v>
      </c>
      <c r="V636" s="50">
        <f t="shared" si="140"/>
        <v>0</v>
      </c>
      <c r="W636" s="50">
        <f t="shared" si="141"/>
        <v>0</v>
      </c>
      <c r="X636" s="50">
        <f t="shared" si="142"/>
        <v>0</v>
      </c>
      <c r="Y636" s="50">
        <f t="shared" si="143"/>
        <v>0</v>
      </c>
      <c r="Z636" t="e">
        <f t="shared" si="131"/>
        <v>#DIV/0!</v>
      </c>
    </row>
    <row r="637" spans="1:26" x14ac:dyDescent="0.4">
      <c r="A637">
        <f>'Product info'!A22</f>
        <v>0</v>
      </c>
      <c r="B637">
        <f>'Product info'!F22</f>
        <v>0</v>
      </c>
      <c r="C637" s="6">
        <f>'Product info'!G22</f>
        <v>0</v>
      </c>
      <c r="D637" s="6">
        <f>'Product info'!H22</f>
        <v>0</v>
      </c>
      <c r="E637" t="str">
        <f t="shared" si="132"/>
        <v>0*0*0</v>
      </c>
      <c r="F637" s="50">
        <f>'Product info'!O22</f>
        <v>0</v>
      </c>
      <c r="G637" s="50">
        <f>'Product info'!P22</f>
        <v>0</v>
      </c>
      <c r="H637" s="50">
        <f>'Product info'!Q22</f>
        <v>0</v>
      </c>
      <c r="I637" s="50">
        <f>'Product info'!N22</f>
        <v>0</v>
      </c>
      <c r="J637" s="51">
        <f>'Product info'!M22</f>
        <v>0</v>
      </c>
      <c r="K637" s="52">
        <f t="shared" si="133"/>
        <v>0</v>
      </c>
      <c r="L637" s="50">
        <f t="shared" si="134"/>
        <v>0</v>
      </c>
      <c r="M637" s="50">
        <f t="shared" si="135"/>
        <v>0</v>
      </c>
      <c r="N637" s="50">
        <f t="shared" si="136"/>
        <v>0</v>
      </c>
      <c r="O637" s="50">
        <f t="shared" si="137"/>
        <v>0</v>
      </c>
      <c r="P637" s="53" t="str">
        <f t="shared" si="138"/>
        <v>0*0*0</v>
      </c>
      <c r="Q637" s="54">
        <f>'Product info'!S22</f>
        <v>0</v>
      </c>
      <c r="R637" s="54">
        <f>'Product info'!T22</f>
        <v>0</v>
      </c>
      <c r="S637" s="54">
        <f>'Product info'!U22</f>
        <v>0</v>
      </c>
      <c r="T637" s="50">
        <f>'Product info'!R22</f>
        <v>0</v>
      </c>
      <c r="U637" s="52">
        <f t="shared" si="139"/>
        <v>0</v>
      </c>
      <c r="V637" s="50">
        <f t="shared" si="140"/>
        <v>0</v>
      </c>
      <c r="W637" s="50">
        <f t="shared" si="141"/>
        <v>0</v>
      </c>
      <c r="X637" s="50">
        <f t="shared" si="142"/>
        <v>0</v>
      </c>
      <c r="Y637" s="50">
        <f t="shared" si="143"/>
        <v>0</v>
      </c>
      <c r="Z637" t="e">
        <f t="shared" si="131"/>
        <v>#DIV/0!</v>
      </c>
    </row>
    <row r="638" spans="1:26" x14ac:dyDescent="0.4">
      <c r="A638">
        <f>'Product info'!A23</f>
        <v>0</v>
      </c>
      <c r="B638">
        <f>'Product info'!F23</f>
        <v>0</v>
      </c>
      <c r="C638" s="6">
        <f>'Product info'!G23</f>
        <v>0</v>
      </c>
      <c r="D638" s="6">
        <f>'Product info'!H23</f>
        <v>0</v>
      </c>
      <c r="E638" t="str">
        <f t="shared" si="132"/>
        <v>0*0*0</v>
      </c>
      <c r="F638" s="50">
        <f>'Product info'!O23</f>
        <v>0</v>
      </c>
      <c r="G638" s="50">
        <f>'Product info'!P23</f>
        <v>0</v>
      </c>
      <c r="H638" s="50">
        <f>'Product info'!Q23</f>
        <v>0</v>
      </c>
      <c r="I638" s="50">
        <f>'Product info'!N23</f>
        <v>0</v>
      </c>
      <c r="J638" s="51">
        <f>'Product info'!M23</f>
        <v>0</v>
      </c>
      <c r="K638" s="52">
        <f t="shared" si="133"/>
        <v>0</v>
      </c>
      <c r="L638" s="50">
        <f t="shared" si="134"/>
        <v>0</v>
      </c>
      <c r="M638" s="50">
        <f t="shared" si="135"/>
        <v>0</v>
      </c>
      <c r="N638" s="50">
        <f t="shared" si="136"/>
        <v>0</v>
      </c>
      <c r="O638" s="50">
        <f t="shared" si="137"/>
        <v>0</v>
      </c>
      <c r="P638" s="53" t="str">
        <f t="shared" si="138"/>
        <v>0*0*0</v>
      </c>
      <c r="Q638" s="54">
        <f>'Product info'!S23</f>
        <v>0</v>
      </c>
      <c r="R638" s="54">
        <f>'Product info'!T23</f>
        <v>0</v>
      </c>
      <c r="S638" s="54">
        <f>'Product info'!U23</f>
        <v>0</v>
      </c>
      <c r="T638" s="50">
        <f>'Product info'!R23</f>
        <v>0</v>
      </c>
      <c r="U638" s="52">
        <f t="shared" si="139"/>
        <v>0</v>
      </c>
      <c r="V638" s="50">
        <f t="shared" si="140"/>
        <v>0</v>
      </c>
      <c r="W638" s="50">
        <f t="shared" si="141"/>
        <v>0</v>
      </c>
      <c r="X638" s="50">
        <f t="shared" si="142"/>
        <v>0</v>
      </c>
      <c r="Y638" s="50">
        <f t="shared" si="143"/>
        <v>0</v>
      </c>
      <c r="Z638" t="e">
        <f t="shared" si="131"/>
        <v>#DIV/0!</v>
      </c>
    </row>
    <row r="639" spans="1:26" x14ac:dyDescent="0.4">
      <c r="A639">
        <f>'Product info'!A24</f>
        <v>0</v>
      </c>
      <c r="B639">
        <f>'Product info'!F24</f>
        <v>0</v>
      </c>
      <c r="C639" s="6">
        <f>'Product info'!G24</f>
        <v>0</v>
      </c>
      <c r="D639" s="6">
        <f>'Product info'!H24</f>
        <v>0</v>
      </c>
      <c r="E639" t="str">
        <f t="shared" si="132"/>
        <v>0*0*0</v>
      </c>
      <c r="F639" s="50">
        <f>'Product info'!O24</f>
        <v>0</v>
      </c>
      <c r="G639" s="50">
        <f>'Product info'!P24</f>
        <v>0</v>
      </c>
      <c r="H639" s="50">
        <f>'Product info'!Q24</f>
        <v>0</v>
      </c>
      <c r="I639" s="50">
        <f>'Product info'!N24</f>
        <v>0</v>
      </c>
      <c r="J639" s="51">
        <f>'Product info'!M24</f>
        <v>0</v>
      </c>
      <c r="K639" s="52">
        <f t="shared" si="133"/>
        <v>0</v>
      </c>
      <c r="L639" s="50">
        <f t="shared" si="134"/>
        <v>0</v>
      </c>
      <c r="M639" s="50">
        <f t="shared" si="135"/>
        <v>0</v>
      </c>
      <c r="N639" s="50">
        <f t="shared" si="136"/>
        <v>0</v>
      </c>
      <c r="O639" s="50">
        <f t="shared" si="137"/>
        <v>0</v>
      </c>
      <c r="P639" s="53" t="str">
        <f t="shared" si="138"/>
        <v>0*0*0</v>
      </c>
      <c r="Q639" s="54">
        <f>'Product info'!S24</f>
        <v>0</v>
      </c>
      <c r="R639" s="54">
        <f>'Product info'!T24</f>
        <v>0</v>
      </c>
      <c r="S639" s="54">
        <f>'Product info'!U24</f>
        <v>0</v>
      </c>
      <c r="T639" s="50">
        <f>'Product info'!R24</f>
        <v>0</v>
      </c>
      <c r="U639" s="52">
        <f t="shared" si="139"/>
        <v>0</v>
      </c>
      <c r="V639" s="50">
        <f t="shared" si="140"/>
        <v>0</v>
      </c>
      <c r="W639" s="50">
        <f t="shared" si="141"/>
        <v>0</v>
      </c>
      <c r="X639" s="50">
        <f t="shared" si="142"/>
        <v>0</v>
      </c>
      <c r="Y639" s="50">
        <f t="shared" si="143"/>
        <v>0</v>
      </c>
      <c r="Z639" t="e">
        <f t="shared" si="131"/>
        <v>#DIV/0!</v>
      </c>
    </row>
    <row r="640" spans="1:26" x14ac:dyDescent="0.4">
      <c r="A640">
        <f>'Product info'!A25</f>
        <v>0</v>
      </c>
      <c r="B640">
        <f>'Product info'!F25</f>
        <v>0</v>
      </c>
      <c r="C640" s="6">
        <f>'Product info'!G25</f>
        <v>0</v>
      </c>
      <c r="D640" s="6">
        <f>'Product info'!H25</f>
        <v>0</v>
      </c>
      <c r="E640" t="str">
        <f t="shared" si="132"/>
        <v>0*0*0</v>
      </c>
      <c r="F640" s="50">
        <f>'Product info'!O25</f>
        <v>0</v>
      </c>
      <c r="G640" s="50">
        <f>'Product info'!P25</f>
        <v>0</v>
      </c>
      <c r="H640" s="50">
        <f>'Product info'!Q25</f>
        <v>0</v>
      </c>
      <c r="I640" s="50">
        <f>'Product info'!N25</f>
        <v>0</v>
      </c>
      <c r="J640" s="51">
        <f>'Product info'!M25</f>
        <v>0</v>
      </c>
      <c r="K640" s="52">
        <f t="shared" si="133"/>
        <v>0</v>
      </c>
      <c r="L640" s="50">
        <f t="shared" si="134"/>
        <v>0</v>
      </c>
      <c r="M640" s="50">
        <f t="shared" si="135"/>
        <v>0</v>
      </c>
      <c r="N640" s="50">
        <f t="shared" si="136"/>
        <v>0</v>
      </c>
      <c r="O640" s="50">
        <f t="shared" si="137"/>
        <v>0</v>
      </c>
      <c r="P640" s="53" t="str">
        <f t="shared" si="138"/>
        <v>0*0*0</v>
      </c>
      <c r="Q640" s="54">
        <f>'Product info'!S25</f>
        <v>0</v>
      </c>
      <c r="R640" s="54">
        <f>'Product info'!T25</f>
        <v>0</v>
      </c>
      <c r="S640" s="54">
        <f>'Product info'!U25</f>
        <v>0</v>
      </c>
      <c r="T640" s="50">
        <f>'Product info'!R25</f>
        <v>0</v>
      </c>
      <c r="U640" s="52">
        <f t="shared" si="139"/>
        <v>0</v>
      </c>
      <c r="V640" s="50">
        <f t="shared" si="140"/>
        <v>0</v>
      </c>
      <c r="W640" s="50">
        <f t="shared" si="141"/>
        <v>0</v>
      </c>
      <c r="X640" s="50">
        <f t="shared" si="142"/>
        <v>0</v>
      </c>
      <c r="Y640" s="50">
        <f t="shared" si="143"/>
        <v>0</v>
      </c>
      <c r="Z640" t="e">
        <f t="shared" si="131"/>
        <v>#DIV/0!</v>
      </c>
    </row>
    <row r="641" spans="1:26" x14ac:dyDescent="0.4">
      <c r="A641">
        <f>'Product info'!A26</f>
        <v>0</v>
      </c>
      <c r="B641">
        <f>'Product info'!F26</f>
        <v>0</v>
      </c>
      <c r="C641" s="6">
        <f>'Product info'!G26</f>
        <v>0</v>
      </c>
      <c r="D641" s="6">
        <f>'Product info'!H26</f>
        <v>0</v>
      </c>
      <c r="E641" t="str">
        <f t="shared" si="132"/>
        <v>0*0*0</v>
      </c>
      <c r="F641" s="50">
        <f>'Product info'!O26</f>
        <v>0</v>
      </c>
      <c r="G641" s="50">
        <f>'Product info'!P26</f>
        <v>0</v>
      </c>
      <c r="H641" s="50">
        <f>'Product info'!Q26</f>
        <v>0</v>
      </c>
      <c r="I641" s="50">
        <f>'Product info'!N26</f>
        <v>0</v>
      </c>
      <c r="J641" s="51">
        <f>'Product info'!M26</f>
        <v>0</v>
      </c>
      <c r="K641" s="52">
        <f t="shared" si="133"/>
        <v>0</v>
      </c>
      <c r="L641" s="50">
        <f t="shared" si="134"/>
        <v>0</v>
      </c>
      <c r="M641" s="50">
        <f t="shared" si="135"/>
        <v>0</v>
      </c>
      <c r="N641" s="50">
        <f t="shared" si="136"/>
        <v>0</v>
      </c>
      <c r="O641" s="50">
        <f t="shared" si="137"/>
        <v>0</v>
      </c>
      <c r="P641" s="53" t="str">
        <f t="shared" si="138"/>
        <v>0*0*0</v>
      </c>
      <c r="Q641" s="54">
        <f>'Product info'!S26</f>
        <v>0</v>
      </c>
      <c r="R641" s="54">
        <f>'Product info'!T26</f>
        <v>0</v>
      </c>
      <c r="S641" s="54">
        <f>'Product info'!U26</f>
        <v>0</v>
      </c>
      <c r="T641" s="50">
        <f>'Product info'!R26</f>
        <v>0</v>
      </c>
      <c r="U641" s="52">
        <f t="shared" si="139"/>
        <v>0</v>
      </c>
      <c r="V641" s="50">
        <f t="shared" si="140"/>
        <v>0</v>
      </c>
      <c r="W641" s="50">
        <f t="shared" si="141"/>
        <v>0</v>
      </c>
      <c r="X641" s="50">
        <f t="shared" si="142"/>
        <v>0</v>
      </c>
      <c r="Y641" s="50">
        <f t="shared" si="143"/>
        <v>0</v>
      </c>
      <c r="Z641" t="e">
        <f t="shared" si="131"/>
        <v>#DIV/0!</v>
      </c>
    </row>
    <row r="642" spans="1:26" x14ac:dyDescent="0.4">
      <c r="A642">
        <f>'Product info'!A27</f>
        <v>0</v>
      </c>
      <c r="B642">
        <f>'Product info'!F27</f>
        <v>0</v>
      </c>
      <c r="C642" s="6">
        <f>'Product info'!G27</f>
        <v>0</v>
      </c>
      <c r="D642" s="6">
        <f>'Product info'!H27</f>
        <v>0</v>
      </c>
      <c r="E642" t="str">
        <f t="shared" si="132"/>
        <v>0*0*0</v>
      </c>
      <c r="F642" s="50">
        <f>'Product info'!O27</f>
        <v>0</v>
      </c>
      <c r="G642" s="50">
        <f>'Product info'!P27</f>
        <v>0</v>
      </c>
      <c r="H642" s="50">
        <f>'Product info'!Q27</f>
        <v>0</v>
      </c>
      <c r="I642" s="50">
        <f>'Product info'!N27</f>
        <v>0</v>
      </c>
      <c r="J642" s="51">
        <f>'Product info'!M27</f>
        <v>0</v>
      </c>
      <c r="K642" s="52">
        <f t="shared" si="133"/>
        <v>0</v>
      </c>
      <c r="L642" s="50">
        <f t="shared" si="134"/>
        <v>0</v>
      </c>
      <c r="M642" s="50">
        <f t="shared" si="135"/>
        <v>0</v>
      </c>
      <c r="N642" s="50">
        <f t="shared" si="136"/>
        <v>0</v>
      </c>
      <c r="O642" s="50">
        <f t="shared" si="137"/>
        <v>0</v>
      </c>
      <c r="P642" s="53" t="str">
        <f t="shared" si="138"/>
        <v>0*0*0</v>
      </c>
      <c r="Q642" s="54">
        <f>'Product info'!S27</f>
        <v>0</v>
      </c>
      <c r="R642" s="54">
        <f>'Product info'!T27</f>
        <v>0</v>
      </c>
      <c r="S642" s="54">
        <f>'Product info'!U27</f>
        <v>0</v>
      </c>
      <c r="T642" s="50">
        <f>'Product info'!R27</f>
        <v>0</v>
      </c>
      <c r="U642" s="52">
        <f t="shared" si="139"/>
        <v>0</v>
      </c>
      <c r="V642" s="50">
        <f t="shared" si="140"/>
        <v>0</v>
      </c>
      <c r="W642" s="50">
        <f t="shared" si="141"/>
        <v>0</v>
      </c>
      <c r="X642" s="50">
        <f t="shared" si="142"/>
        <v>0</v>
      </c>
      <c r="Y642" s="50">
        <f t="shared" si="143"/>
        <v>0</v>
      </c>
      <c r="Z642" t="e">
        <f t="shared" si="131"/>
        <v>#DIV/0!</v>
      </c>
    </row>
    <row r="643" spans="1:26" x14ac:dyDescent="0.4">
      <c r="A643">
        <f>'Product info'!A28</f>
        <v>0</v>
      </c>
      <c r="B643">
        <f>'Product info'!F28</f>
        <v>0</v>
      </c>
      <c r="C643" s="6">
        <f>'Product info'!G28</f>
        <v>0</v>
      </c>
      <c r="D643" s="6">
        <f>'Product info'!H28</f>
        <v>0</v>
      </c>
      <c r="E643" t="str">
        <f t="shared" si="132"/>
        <v>0*0*0</v>
      </c>
      <c r="F643" s="50">
        <f>'Product info'!O28</f>
        <v>0</v>
      </c>
      <c r="G643" s="50">
        <f>'Product info'!P28</f>
        <v>0</v>
      </c>
      <c r="H643" s="50">
        <f>'Product info'!Q28</f>
        <v>0</v>
      </c>
      <c r="I643" s="50">
        <f>'Product info'!N28</f>
        <v>0</v>
      </c>
      <c r="J643" s="51">
        <f>'Product info'!M28</f>
        <v>0</v>
      </c>
      <c r="K643" s="52">
        <f t="shared" si="133"/>
        <v>0</v>
      </c>
      <c r="L643" s="50">
        <f t="shared" si="134"/>
        <v>0</v>
      </c>
      <c r="M643" s="50">
        <f t="shared" si="135"/>
        <v>0</v>
      </c>
      <c r="N643" s="50">
        <f t="shared" si="136"/>
        <v>0</v>
      </c>
      <c r="O643" s="50">
        <f t="shared" si="137"/>
        <v>0</v>
      </c>
      <c r="P643" s="53" t="str">
        <f t="shared" si="138"/>
        <v>0*0*0</v>
      </c>
      <c r="Q643" s="54">
        <f>'Product info'!S28</f>
        <v>0</v>
      </c>
      <c r="R643" s="54">
        <f>'Product info'!T28</f>
        <v>0</v>
      </c>
      <c r="S643" s="54">
        <f>'Product info'!U28</f>
        <v>0</v>
      </c>
      <c r="T643" s="50">
        <f>'Product info'!R28</f>
        <v>0</v>
      </c>
      <c r="U643" s="52">
        <f t="shared" si="139"/>
        <v>0</v>
      </c>
      <c r="V643" s="50">
        <f t="shared" si="140"/>
        <v>0</v>
      </c>
      <c r="W643" s="50">
        <f t="shared" si="141"/>
        <v>0</v>
      </c>
      <c r="X643" s="50">
        <f t="shared" si="142"/>
        <v>0</v>
      </c>
      <c r="Y643" s="50">
        <f t="shared" si="143"/>
        <v>0</v>
      </c>
      <c r="Z643" t="e">
        <f t="shared" si="131"/>
        <v>#DIV/0!</v>
      </c>
    </row>
    <row r="644" spans="1:26" x14ac:dyDescent="0.4">
      <c r="A644">
        <f>'Product info'!A29</f>
        <v>0</v>
      </c>
      <c r="B644">
        <f>'Product info'!F29</f>
        <v>0</v>
      </c>
      <c r="C644" s="6">
        <f>'Product info'!G29</f>
        <v>0</v>
      </c>
      <c r="D644" s="6">
        <f>'Product info'!H29</f>
        <v>0</v>
      </c>
      <c r="E644" t="str">
        <f t="shared" si="132"/>
        <v>0*0*0</v>
      </c>
      <c r="F644" s="50">
        <f>'Product info'!O29</f>
        <v>0</v>
      </c>
      <c r="G644" s="50">
        <f>'Product info'!P29</f>
        <v>0</v>
      </c>
      <c r="H644" s="50">
        <f>'Product info'!Q29</f>
        <v>0</v>
      </c>
      <c r="I644" s="50">
        <f>'Product info'!N29</f>
        <v>0</v>
      </c>
      <c r="J644" s="51">
        <f>'Product info'!M29</f>
        <v>0</v>
      </c>
      <c r="K644" s="52">
        <f t="shared" si="133"/>
        <v>0</v>
      </c>
      <c r="L644" s="50">
        <f t="shared" si="134"/>
        <v>0</v>
      </c>
      <c r="M644" s="50">
        <f t="shared" si="135"/>
        <v>0</v>
      </c>
      <c r="N644" s="50">
        <f t="shared" si="136"/>
        <v>0</v>
      </c>
      <c r="O644" s="50">
        <f t="shared" si="137"/>
        <v>0</v>
      </c>
      <c r="P644" s="53" t="str">
        <f t="shared" si="138"/>
        <v>0*0*0</v>
      </c>
      <c r="Q644" s="54">
        <f>'Product info'!S29</f>
        <v>0</v>
      </c>
      <c r="R644" s="54">
        <f>'Product info'!T29</f>
        <v>0</v>
      </c>
      <c r="S644" s="54">
        <f>'Product info'!U29</f>
        <v>0</v>
      </c>
      <c r="T644" s="50">
        <f>'Product info'!R29</f>
        <v>0</v>
      </c>
      <c r="U644" s="52">
        <f t="shared" si="139"/>
        <v>0</v>
      </c>
      <c r="V644" s="50">
        <f t="shared" si="140"/>
        <v>0</v>
      </c>
      <c r="W644" s="50">
        <f t="shared" si="141"/>
        <v>0</v>
      </c>
      <c r="X644" s="50">
        <f t="shared" si="142"/>
        <v>0</v>
      </c>
      <c r="Y644" s="50">
        <f t="shared" si="143"/>
        <v>0</v>
      </c>
      <c r="Z644" t="e">
        <f t="shared" ref="Z644:Z707" si="144">K644/J644</f>
        <v>#DIV/0!</v>
      </c>
    </row>
    <row r="645" spans="1:26" x14ac:dyDescent="0.4">
      <c r="A645">
        <f>'Product info'!A30</f>
        <v>0</v>
      </c>
      <c r="B645">
        <f>'Product info'!F30</f>
        <v>0</v>
      </c>
      <c r="C645" s="6">
        <f>'Product info'!G30</f>
        <v>0</v>
      </c>
      <c r="D645" s="6">
        <f>'Product info'!H30</f>
        <v>0</v>
      </c>
      <c r="E645" t="str">
        <f t="shared" si="132"/>
        <v>0*0*0</v>
      </c>
      <c r="F645" s="50">
        <f>'Product info'!O30</f>
        <v>0</v>
      </c>
      <c r="G645" s="50">
        <f>'Product info'!P30</f>
        <v>0</v>
      </c>
      <c r="H645" s="50">
        <f>'Product info'!Q30</f>
        <v>0</v>
      </c>
      <c r="I645" s="50">
        <f>'Product info'!N30</f>
        <v>0</v>
      </c>
      <c r="J645" s="51">
        <f>'Product info'!M30</f>
        <v>0</v>
      </c>
      <c r="K645" s="52">
        <f t="shared" si="133"/>
        <v>0</v>
      </c>
      <c r="L645" s="50">
        <f t="shared" si="134"/>
        <v>0</v>
      </c>
      <c r="M645" s="50">
        <f t="shared" si="135"/>
        <v>0</v>
      </c>
      <c r="N645" s="50">
        <f t="shared" si="136"/>
        <v>0</v>
      </c>
      <c r="O645" s="50">
        <f t="shared" si="137"/>
        <v>0</v>
      </c>
      <c r="P645" s="53" t="str">
        <f t="shared" si="138"/>
        <v>0*0*0</v>
      </c>
      <c r="Q645" s="54">
        <f>'Product info'!S30</f>
        <v>0</v>
      </c>
      <c r="R645" s="54">
        <f>'Product info'!T30</f>
        <v>0</v>
      </c>
      <c r="S645" s="54">
        <f>'Product info'!U30</f>
        <v>0</v>
      </c>
      <c r="T645" s="50">
        <f>'Product info'!R30</f>
        <v>0</v>
      </c>
      <c r="U645" s="52">
        <f t="shared" si="139"/>
        <v>0</v>
      </c>
      <c r="V645" s="50">
        <f t="shared" si="140"/>
        <v>0</v>
      </c>
      <c r="W645" s="50">
        <f t="shared" si="141"/>
        <v>0</v>
      </c>
      <c r="X645" s="50">
        <f t="shared" si="142"/>
        <v>0</v>
      </c>
      <c r="Y645" s="50">
        <f t="shared" si="143"/>
        <v>0</v>
      </c>
      <c r="Z645" t="e">
        <f t="shared" si="144"/>
        <v>#DIV/0!</v>
      </c>
    </row>
    <row r="646" spans="1:26" x14ac:dyDescent="0.4">
      <c r="A646">
        <f>'Product info'!A31</f>
        <v>0</v>
      </c>
      <c r="B646">
        <f>'Product info'!F31</f>
        <v>0</v>
      </c>
      <c r="C646" s="6">
        <f>'Product info'!G31</f>
        <v>0</v>
      </c>
      <c r="D646" s="6">
        <f>'Product info'!H31</f>
        <v>0</v>
      </c>
      <c r="E646" t="str">
        <f t="shared" si="132"/>
        <v>0*0*0</v>
      </c>
      <c r="F646" s="50">
        <f>'Product info'!O31</f>
        <v>0</v>
      </c>
      <c r="G646" s="50">
        <f>'Product info'!P31</f>
        <v>0</v>
      </c>
      <c r="H646" s="50">
        <f>'Product info'!Q31</f>
        <v>0</v>
      </c>
      <c r="I646" s="50">
        <f>'Product info'!N31</f>
        <v>0</v>
      </c>
      <c r="J646" s="51">
        <f>'Product info'!M31</f>
        <v>0</v>
      </c>
      <c r="K646" s="52">
        <f t="shared" si="133"/>
        <v>0</v>
      </c>
      <c r="L646" s="50">
        <f t="shared" si="134"/>
        <v>0</v>
      </c>
      <c r="M646" s="50">
        <f t="shared" si="135"/>
        <v>0</v>
      </c>
      <c r="N646" s="50">
        <f t="shared" si="136"/>
        <v>0</v>
      </c>
      <c r="O646" s="50">
        <f t="shared" si="137"/>
        <v>0</v>
      </c>
      <c r="P646" s="53" t="str">
        <f t="shared" si="138"/>
        <v>0*0*0</v>
      </c>
      <c r="Q646" s="54">
        <f>'Product info'!S31</f>
        <v>0</v>
      </c>
      <c r="R646" s="54">
        <f>'Product info'!T31</f>
        <v>0</v>
      </c>
      <c r="S646" s="54">
        <f>'Product info'!U31</f>
        <v>0</v>
      </c>
      <c r="T646" s="50">
        <f>'Product info'!R31</f>
        <v>0</v>
      </c>
      <c r="U646" s="52">
        <f t="shared" si="139"/>
        <v>0</v>
      </c>
      <c r="V646" s="50">
        <f t="shared" si="140"/>
        <v>0</v>
      </c>
      <c r="W646" s="50">
        <f t="shared" si="141"/>
        <v>0</v>
      </c>
      <c r="X646" s="50">
        <f t="shared" si="142"/>
        <v>0</v>
      </c>
      <c r="Y646" s="50">
        <f t="shared" si="143"/>
        <v>0</v>
      </c>
      <c r="Z646" t="e">
        <f t="shared" si="144"/>
        <v>#DIV/0!</v>
      </c>
    </row>
    <row r="647" spans="1:26" x14ac:dyDescent="0.4">
      <c r="A647">
        <f>'Product info'!A32</f>
        <v>0</v>
      </c>
      <c r="B647">
        <f>'Product info'!F32</f>
        <v>0</v>
      </c>
      <c r="C647" s="6">
        <f>'Product info'!G32</f>
        <v>0</v>
      </c>
      <c r="D647" s="6">
        <f>'Product info'!H32</f>
        <v>0</v>
      </c>
      <c r="E647" t="str">
        <f t="shared" si="132"/>
        <v>0*0*0</v>
      </c>
      <c r="F647" s="50">
        <f>'Product info'!O32</f>
        <v>0</v>
      </c>
      <c r="G647" s="50">
        <f>'Product info'!P32</f>
        <v>0</v>
      </c>
      <c r="H647" s="50">
        <f>'Product info'!Q32</f>
        <v>0</v>
      </c>
      <c r="I647" s="50">
        <f>'Product info'!N32</f>
        <v>0</v>
      </c>
      <c r="J647" s="51">
        <f>'Product info'!M32</f>
        <v>0</v>
      </c>
      <c r="K647" s="52">
        <f t="shared" si="133"/>
        <v>0</v>
      </c>
      <c r="L647" s="50">
        <f t="shared" si="134"/>
        <v>0</v>
      </c>
      <c r="M647" s="50">
        <f t="shared" si="135"/>
        <v>0</v>
      </c>
      <c r="N647" s="50">
        <f t="shared" si="136"/>
        <v>0</v>
      </c>
      <c r="O647" s="50">
        <f t="shared" si="137"/>
        <v>0</v>
      </c>
      <c r="P647" s="53" t="str">
        <f t="shared" si="138"/>
        <v>0*0*0</v>
      </c>
      <c r="Q647" s="54">
        <f>'Product info'!S32</f>
        <v>0</v>
      </c>
      <c r="R647" s="54">
        <f>'Product info'!T32</f>
        <v>0</v>
      </c>
      <c r="S647" s="54">
        <f>'Product info'!U32</f>
        <v>0</v>
      </c>
      <c r="T647" s="50">
        <f>'Product info'!R32</f>
        <v>0</v>
      </c>
      <c r="U647" s="52">
        <f t="shared" si="139"/>
        <v>0</v>
      </c>
      <c r="V647" s="50">
        <f t="shared" si="140"/>
        <v>0</v>
      </c>
      <c r="W647" s="50">
        <f t="shared" si="141"/>
        <v>0</v>
      </c>
      <c r="X647" s="50">
        <f t="shared" si="142"/>
        <v>0</v>
      </c>
      <c r="Y647" s="50">
        <f t="shared" si="143"/>
        <v>0</v>
      </c>
      <c r="Z647" t="e">
        <f t="shared" si="144"/>
        <v>#DIV/0!</v>
      </c>
    </row>
    <row r="648" spans="1:26" x14ac:dyDescent="0.4">
      <c r="A648">
        <f>'Product info'!A33</f>
        <v>0</v>
      </c>
      <c r="B648">
        <f>'Product info'!F33</f>
        <v>0</v>
      </c>
      <c r="C648" s="6">
        <f>'Product info'!G33</f>
        <v>0</v>
      </c>
      <c r="D648" s="6">
        <f>'Product info'!H33</f>
        <v>0</v>
      </c>
      <c r="E648" t="str">
        <f t="shared" si="132"/>
        <v>0*0*0</v>
      </c>
      <c r="F648" s="50">
        <f>'Product info'!O33</f>
        <v>0</v>
      </c>
      <c r="G648" s="50">
        <f>'Product info'!P33</f>
        <v>0</v>
      </c>
      <c r="H648" s="50">
        <f>'Product info'!Q33</f>
        <v>0</v>
      </c>
      <c r="I648" s="50">
        <f>'Product info'!N33</f>
        <v>0</v>
      </c>
      <c r="J648" s="51">
        <f>'Product info'!M33</f>
        <v>0</v>
      </c>
      <c r="K648" s="52">
        <f t="shared" si="133"/>
        <v>0</v>
      </c>
      <c r="L648" s="50">
        <f t="shared" si="134"/>
        <v>0</v>
      </c>
      <c r="M648" s="50">
        <f t="shared" si="135"/>
        <v>0</v>
      </c>
      <c r="N648" s="50">
        <f t="shared" si="136"/>
        <v>0</v>
      </c>
      <c r="O648" s="50">
        <f t="shared" si="137"/>
        <v>0</v>
      </c>
      <c r="P648" s="53" t="str">
        <f t="shared" si="138"/>
        <v>0*0*0</v>
      </c>
      <c r="Q648" s="54">
        <f>'Product info'!S33</f>
        <v>0</v>
      </c>
      <c r="R648" s="54">
        <f>'Product info'!T33</f>
        <v>0</v>
      </c>
      <c r="S648" s="54">
        <f>'Product info'!U33</f>
        <v>0</v>
      </c>
      <c r="T648" s="50">
        <f>'Product info'!R33</f>
        <v>0</v>
      </c>
      <c r="U648" s="52">
        <f t="shared" si="139"/>
        <v>0</v>
      </c>
      <c r="V648" s="50">
        <f t="shared" si="140"/>
        <v>0</v>
      </c>
      <c r="W648" s="50">
        <f t="shared" si="141"/>
        <v>0</v>
      </c>
      <c r="X648" s="50">
        <f t="shared" si="142"/>
        <v>0</v>
      </c>
      <c r="Y648" s="50">
        <f t="shared" si="143"/>
        <v>0</v>
      </c>
      <c r="Z648" t="e">
        <f t="shared" si="144"/>
        <v>#DIV/0!</v>
      </c>
    </row>
    <row r="649" spans="1:26" x14ac:dyDescent="0.4">
      <c r="A649">
        <f>'Product info'!A34</f>
        <v>0</v>
      </c>
      <c r="B649">
        <f>'Product info'!F34</f>
        <v>0</v>
      </c>
      <c r="C649" s="6">
        <f>'Product info'!G34</f>
        <v>0</v>
      </c>
      <c r="D649" s="6">
        <f>'Product info'!H34</f>
        <v>0</v>
      </c>
      <c r="E649" t="str">
        <f t="shared" si="132"/>
        <v>0*0*0</v>
      </c>
      <c r="F649" s="50">
        <f>'Product info'!O34</f>
        <v>0</v>
      </c>
      <c r="G649" s="50">
        <f>'Product info'!P34</f>
        <v>0</v>
      </c>
      <c r="H649" s="50">
        <f>'Product info'!Q34</f>
        <v>0</v>
      </c>
      <c r="I649" s="50">
        <f>'Product info'!N34</f>
        <v>0</v>
      </c>
      <c r="J649" s="51">
        <f>'Product info'!M34</f>
        <v>0</v>
      </c>
      <c r="K649" s="52">
        <f t="shared" si="133"/>
        <v>0</v>
      </c>
      <c r="L649" s="50">
        <f t="shared" si="134"/>
        <v>0</v>
      </c>
      <c r="M649" s="50">
        <f t="shared" si="135"/>
        <v>0</v>
      </c>
      <c r="N649" s="50">
        <f t="shared" si="136"/>
        <v>0</v>
      </c>
      <c r="O649" s="50">
        <f t="shared" si="137"/>
        <v>0</v>
      </c>
      <c r="P649" s="53" t="str">
        <f t="shared" si="138"/>
        <v>0*0*0</v>
      </c>
      <c r="Q649" s="54">
        <f>'Product info'!S34</f>
        <v>0</v>
      </c>
      <c r="R649" s="54">
        <f>'Product info'!T34</f>
        <v>0</v>
      </c>
      <c r="S649" s="54">
        <f>'Product info'!U34</f>
        <v>0</v>
      </c>
      <c r="T649" s="50">
        <f>'Product info'!R34</f>
        <v>0</v>
      </c>
      <c r="U649" s="52">
        <f t="shared" si="139"/>
        <v>0</v>
      </c>
      <c r="V649" s="50">
        <f t="shared" si="140"/>
        <v>0</v>
      </c>
      <c r="W649" s="50">
        <f t="shared" si="141"/>
        <v>0</v>
      </c>
      <c r="X649" s="50">
        <f t="shared" si="142"/>
        <v>0</v>
      </c>
      <c r="Y649" s="50">
        <f t="shared" si="143"/>
        <v>0</v>
      </c>
      <c r="Z649" t="e">
        <f t="shared" si="144"/>
        <v>#DIV/0!</v>
      </c>
    </row>
    <row r="650" spans="1:26" x14ac:dyDescent="0.4">
      <c r="A650">
        <f>'Product info'!A35</f>
        <v>0</v>
      </c>
      <c r="B650">
        <f>'Product info'!F35</f>
        <v>0</v>
      </c>
      <c r="C650" s="6">
        <f>'Product info'!G35</f>
        <v>0</v>
      </c>
      <c r="D650" s="6">
        <f>'Product info'!H35</f>
        <v>0</v>
      </c>
      <c r="E650" t="str">
        <f t="shared" si="132"/>
        <v>0*0*0</v>
      </c>
      <c r="F650" s="50">
        <f>'Product info'!O35</f>
        <v>0</v>
      </c>
      <c r="G650" s="50">
        <f>'Product info'!P35</f>
        <v>0</v>
      </c>
      <c r="H650" s="50">
        <f>'Product info'!Q35</f>
        <v>0</v>
      </c>
      <c r="I650" s="50">
        <f>'Product info'!N35</f>
        <v>0</v>
      </c>
      <c r="J650" s="51">
        <f>'Product info'!M35</f>
        <v>0</v>
      </c>
      <c r="K650" s="52">
        <f t="shared" si="133"/>
        <v>0</v>
      </c>
      <c r="L650" s="50">
        <f t="shared" si="134"/>
        <v>0</v>
      </c>
      <c r="M650" s="50">
        <f t="shared" si="135"/>
        <v>0</v>
      </c>
      <c r="N650" s="50">
        <f t="shared" si="136"/>
        <v>0</v>
      </c>
      <c r="O650" s="50">
        <f t="shared" si="137"/>
        <v>0</v>
      </c>
      <c r="P650" s="53" t="str">
        <f t="shared" si="138"/>
        <v>0*0*0</v>
      </c>
      <c r="Q650" s="54">
        <f>'Product info'!S35</f>
        <v>0</v>
      </c>
      <c r="R650" s="54">
        <f>'Product info'!T35</f>
        <v>0</v>
      </c>
      <c r="S650" s="54">
        <f>'Product info'!U35</f>
        <v>0</v>
      </c>
      <c r="T650" s="50">
        <f>'Product info'!R35</f>
        <v>0</v>
      </c>
      <c r="U650" s="52">
        <f t="shared" si="139"/>
        <v>0</v>
      </c>
      <c r="V650" s="50">
        <f t="shared" si="140"/>
        <v>0</v>
      </c>
      <c r="W650" s="50">
        <f t="shared" si="141"/>
        <v>0</v>
      </c>
      <c r="X650" s="50">
        <f t="shared" si="142"/>
        <v>0</v>
      </c>
      <c r="Y650" s="50">
        <f t="shared" si="143"/>
        <v>0</v>
      </c>
      <c r="Z650" t="e">
        <f t="shared" si="144"/>
        <v>#DIV/0!</v>
      </c>
    </row>
    <row r="651" spans="1:26" x14ac:dyDescent="0.4">
      <c r="A651">
        <f>'Product info'!A36</f>
        <v>0</v>
      </c>
      <c r="B651">
        <f>'Product info'!F36</f>
        <v>0</v>
      </c>
      <c r="C651" s="6">
        <f>'Product info'!G36</f>
        <v>0</v>
      </c>
      <c r="D651" s="6">
        <f>'Product info'!H36</f>
        <v>0</v>
      </c>
      <c r="E651" t="str">
        <f t="shared" si="132"/>
        <v>0*0*0</v>
      </c>
      <c r="F651" s="50">
        <f>'Product info'!O36</f>
        <v>0</v>
      </c>
      <c r="G651" s="50">
        <f>'Product info'!P36</f>
        <v>0</v>
      </c>
      <c r="H651" s="50">
        <f>'Product info'!Q36</f>
        <v>0</v>
      </c>
      <c r="I651" s="50">
        <f>'Product info'!N36</f>
        <v>0</v>
      </c>
      <c r="J651" s="51">
        <f>'Product info'!M36</f>
        <v>0</v>
      </c>
      <c r="K651" s="52">
        <f t="shared" si="133"/>
        <v>0</v>
      </c>
      <c r="L651" s="50">
        <f t="shared" si="134"/>
        <v>0</v>
      </c>
      <c r="M651" s="50">
        <f t="shared" si="135"/>
        <v>0</v>
      </c>
      <c r="N651" s="50">
        <f t="shared" si="136"/>
        <v>0</v>
      </c>
      <c r="O651" s="50">
        <f t="shared" si="137"/>
        <v>0</v>
      </c>
      <c r="P651" s="53" t="str">
        <f t="shared" si="138"/>
        <v>0*0*0</v>
      </c>
      <c r="Q651" s="54">
        <f>'Product info'!S36</f>
        <v>0</v>
      </c>
      <c r="R651" s="54">
        <f>'Product info'!T36</f>
        <v>0</v>
      </c>
      <c r="S651" s="54">
        <f>'Product info'!U36</f>
        <v>0</v>
      </c>
      <c r="T651" s="50">
        <f>'Product info'!R36</f>
        <v>0</v>
      </c>
      <c r="U651" s="52">
        <f t="shared" si="139"/>
        <v>0</v>
      </c>
      <c r="V651" s="50">
        <f t="shared" si="140"/>
        <v>0</v>
      </c>
      <c r="W651" s="50">
        <f t="shared" si="141"/>
        <v>0</v>
      </c>
      <c r="X651" s="50">
        <f t="shared" si="142"/>
        <v>0</v>
      </c>
      <c r="Y651" s="50">
        <f t="shared" si="143"/>
        <v>0</v>
      </c>
      <c r="Z651" t="e">
        <f t="shared" si="144"/>
        <v>#DIV/0!</v>
      </c>
    </row>
    <row r="652" spans="1:26" x14ac:dyDescent="0.4">
      <c r="A652">
        <f>'Product info'!A37</f>
        <v>0</v>
      </c>
      <c r="B652">
        <f>'Product info'!F37</f>
        <v>0</v>
      </c>
      <c r="C652" s="6">
        <f>'Product info'!G37</f>
        <v>0</v>
      </c>
      <c r="D652" s="6">
        <f>'Product info'!H37</f>
        <v>0</v>
      </c>
      <c r="E652" t="str">
        <f t="shared" si="132"/>
        <v>0*0*0</v>
      </c>
      <c r="F652" s="50">
        <f>'Product info'!O37</f>
        <v>0</v>
      </c>
      <c r="G652" s="50">
        <f>'Product info'!P37</f>
        <v>0</v>
      </c>
      <c r="H652" s="50">
        <f>'Product info'!Q37</f>
        <v>0</v>
      </c>
      <c r="I652" s="50">
        <f>'Product info'!N37</f>
        <v>0</v>
      </c>
      <c r="J652" s="51">
        <f>'Product info'!M37</f>
        <v>0</v>
      </c>
      <c r="K652" s="52">
        <f t="shared" si="133"/>
        <v>0</v>
      </c>
      <c r="L652" s="50">
        <f t="shared" si="134"/>
        <v>0</v>
      </c>
      <c r="M652" s="50">
        <f t="shared" si="135"/>
        <v>0</v>
      </c>
      <c r="N652" s="50">
        <f t="shared" si="136"/>
        <v>0</v>
      </c>
      <c r="O652" s="50">
        <f t="shared" si="137"/>
        <v>0</v>
      </c>
      <c r="P652" s="53" t="str">
        <f t="shared" si="138"/>
        <v>0*0*0</v>
      </c>
      <c r="Q652" s="54">
        <f>'Product info'!S37</f>
        <v>0</v>
      </c>
      <c r="R652" s="54">
        <f>'Product info'!T37</f>
        <v>0</v>
      </c>
      <c r="S652" s="54">
        <f>'Product info'!U37</f>
        <v>0</v>
      </c>
      <c r="T652" s="50">
        <f>'Product info'!R37</f>
        <v>0</v>
      </c>
      <c r="U652" s="52">
        <f t="shared" si="139"/>
        <v>0</v>
      </c>
      <c r="V652" s="50">
        <f t="shared" si="140"/>
        <v>0</v>
      </c>
      <c r="W652" s="50">
        <f t="shared" si="141"/>
        <v>0</v>
      </c>
      <c r="X652" s="50">
        <f t="shared" si="142"/>
        <v>0</v>
      </c>
      <c r="Y652" s="50">
        <f t="shared" si="143"/>
        <v>0</v>
      </c>
      <c r="Z652" t="e">
        <f t="shared" si="144"/>
        <v>#DIV/0!</v>
      </c>
    </row>
    <row r="653" spans="1:26" x14ac:dyDescent="0.4">
      <c r="A653">
        <f>'Product info'!A38</f>
        <v>0</v>
      </c>
      <c r="B653">
        <f>'Product info'!F38</f>
        <v>0</v>
      </c>
      <c r="C653" s="6">
        <f>'Product info'!G38</f>
        <v>0</v>
      </c>
      <c r="D653" s="6">
        <f>'Product info'!H38</f>
        <v>0</v>
      </c>
      <c r="E653" t="str">
        <f t="shared" si="132"/>
        <v>0*0*0</v>
      </c>
      <c r="F653" s="50">
        <f>'Product info'!O38</f>
        <v>0</v>
      </c>
      <c r="G653" s="50">
        <f>'Product info'!P38</f>
        <v>0</v>
      </c>
      <c r="H653" s="50">
        <f>'Product info'!Q38</f>
        <v>0</v>
      </c>
      <c r="I653" s="50">
        <f>'Product info'!N38</f>
        <v>0</v>
      </c>
      <c r="J653" s="51">
        <f>'Product info'!M38</f>
        <v>0</v>
      </c>
      <c r="K653" s="52">
        <f t="shared" si="133"/>
        <v>0</v>
      </c>
      <c r="L653" s="50">
        <f t="shared" si="134"/>
        <v>0</v>
      </c>
      <c r="M653" s="50">
        <f t="shared" si="135"/>
        <v>0</v>
      </c>
      <c r="N653" s="50">
        <f t="shared" si="136"/>
        <v>0</v>
      </c>
      <c r="O653" s="50">
        <f t="shared" si="137"/>
        <v>0</v>
      </c>
      <c r="P653" s="53" t="str">
        <f t="shared" si="138"/>
        <v>0*0*0</v>
      </c>
      <c r="Q653" s="54">
        <f>'Product info'!S38</f>
        <v>0</v>
      </c>
      <c r="R653" s="54">
        <f>'Product info'!T38</f>
        <v>0</v>
      </c>
      <c r="S653" s="54">
        <f>'Product info'!U38</f>
        <v>0</v>
      </c>
      <c r="T653" s="50">
        <f>'Product info'!R38</f>
        <v>0</v>
      </c>
      <c r="U653" s="52">
        <f t="shared" si="139"/>
        <v>0</v>
      </c>
      <c r="V653" s="50">
        <f t="shared" si="140"/>
        <v>0</v>
      </c>
      <c r="W653" s="50">
        <f t="shared" si="141"/>
        <v>0</v>
      </c>
      <c r="X653" s="50">
        <f t="shared" si="142"/>
        <v>0</v>
      </c>
      <c r="Y653" s="50">
        <f t="shared" si="143"/>
        <v>0</v>
      </c>
      <c r="Z653" t="e">
        <f t="shared" si="144"/>
        <v>#DIV/0!</v>
      </c>
    </row>
    <row r="654" spans="1:26" x14ac:dyDescent="0.4">
      <c r="A654">
        <f>'Product info'!A39</f>
        <v>0</v>
      </c>
      <c r="B654">
        <f>'Product info'!F39</f>
        <v>0</v>
      </c>
      <c r="C654" s="6">
        <f>'Product info'!G39</f>
        <v>0</v>
      </c>
      <c r="D654" s="6">
        <f>'Product info'!H39</f>
        <v>0</v>
      </c>
      <c r="E654" t="str">
        <f t="shared" si="132"/>
        <v>0*0*0</v>
      </c>
      <c r="F654" s="50">
        <f>'Product info'!O39</f>
        <v>0</v>
      </c>
      <c r="G654" s="50">
        <f>'Product info'!P39</f>
        <v>0</v>
      </c>
      <c r="H654" s="50">
        <f>'Product info'!Q39</f>
        <v>0</v>
      </c>
      <c r="I654" s="50">
        <f>'Product info'!N39</f>
        <v>0</v>
      </c>
      <c r="J654" s="51">
        <f>'Product info'!M39</f>
        <v>0</v>
      </c>
      <c r="K654" s="52">
        <f t="shared" si="133"/>
        <v>0</v>
      </c>
      <c r="L654" s="50">
        <f t="shared" si="134"/>
        <v>0</v>
      </c>
      <c r="M654" s="50">
        <f t="shared" si="135"/>
        <v>0</v>
      </c>
      <c r="N654" s="50">
        <f t="shared" si="136"/>
        <v>0</v>
      </c>
      <c r="O654" s="50">
        <f t="shared" si="137"/>
        <v>0</v>
      </c>
      <c r="P654" s="53" t="str">
        <f t="shared" si="138"/>
        <v>0*0*0</v>
      </c>
      <c r="Q654" s="54">
        <f>'Product info'!S39</f>
        <v>0</v>
      </c>
      <c r="R654" s="54">
        <f>'Product info'!T39</f>
        <v>0</v>
      </c>
      <c r="S654" s="54">
        <f>'Product info'!U39</f>
        <v>0</v>
      </c>
      <c r="T654" s="50">
        <f>'Product info'!R39</f>
        <v>0</v>
      </c>
      <c r="U654" s="52">
        <f t="shared" si="139"/>
        <v>0</v>
      </c>
      <c r="V654" s="50">
        <f t="shared" si="140"/>
        <v>0</v>
      </c>
      <c r="W654" s="50">
        <f t="shared" si="141"/>
        <v>0</v>
      </c>
      <c r="X654" s="50">
        <f t="shared" si="142"/>
        <v>0</v>
      </c>
      <c r="Y654" s="50">
        <f t="shared" si="143"/>
        <v>0</v>
      </c>
      <c r="Z654" t="e">
        <f t="shared" si="144"/>
        <v>#DIV/0!</v>
      </c>
    </row>
    <row r="655" spans="1:26" x14ac:dyDescent="0.4">
      <c r="A655">
        <f>'Product info'!A40</f>
        <v>0</v>
      </c>
      <c r="B655">
        <f>'Product info'!F40</f>
        <v>0</v>
      </c>
      <c r="C655" s="6">
        <f>'Product info'!G40</f>
        <v>0</v>
      </c>
      <c r="D655" s="6">
        <f>'Product info'!H40</f>
        <v>0</v>
      </c>
      <c r="E655" t="str">
        <f t="shared" si="132"/>
        <v>0*0*0</v>
      </c>
      <c r="F655" s="50">
        <f>'Product info'!O40</f>
        <v>0</v>
      </c>
      <c r="G655" s="50">
        <f>'Product info'!P40</f>
        <v>0</v>
      </c>
      <c r="H655" s="50">
        <f>'Product info'!Q40</f>
        <v>0</v>
      </c>
      <c r="I655" s="50">
        <f>'Product info'!N40</f>
        <v>0</v>
      </c>
      <c r="J655" s="51">
        <f>'Product info'!M40</f>
        <v>0</v>
      </c>
      <c r="K655" s="52">
        <f t="shared" si="133"/>
        <v>0</v>
      </c>
      <c r="L655" s="50">
        <f t="shared" si="134"/>
        <v>0</v>
      </c>
      <c r="M655" s="50">
        <f t="shared" si="135"/>
        <v>0</v>
      </c>
      <c r="N655" s="50">
        <f t="shared" si="136"/>
        <v>0</v>
      </c>
      <c r="O655" s="50">
        <f t="shared" si="137"/>
        <v>0</v>
      </c>
      <c r="P655" s="53" t="str">
        <f t="shared" si="138"/>
        <v>0*0*0</v>
      </c>
      <c r="Q655" s="54">
        <f>'Product info'!S40</f>
        <v>0</v>
      </c>
      <c r="R655" s="54">
        <f>'Product info'!T40</f>
        <v>0</v>
      </c>
      <c r="S655" s="54">
        <f>'Product info'!U40</f>
        <v>0</v>
      </c>
      <c r="T655" s="50">
        <f>'Product info'!R40</f>
        <v>0</v>
      </c>
      <c r="U655" s="52">
        <f t="shared" si="139"/>
        <v>0</v>
      </c>
      <c r="V655" s="50">
        <f t="shared" si="140"/>
        <v>0</v>
      </c>
      <c r="W655" s="50">
        <f t="shared" si="141"/>
        <v>0</v>
      </c>
      <c r="X655" s="50">
        <f t="shared" si="142"/>
        <v>0</v>
      </c>
      <c r="Y655" s="50">
        <f t="shared" si="143"/>
        <v>0</v>
      </c>
      <c r="Z655" t="e">
        <f t="shared" si="144"/>
        <v>#DIV/0!</v>
      </c>
    </row>
    <row r="656" spans="1:26" x14ac:dyDescent="0.4">
      <c r="A656">
        <f>'Product info'!A41</f>
        <v>0</v>
      </c>
      <c r="B656">
        <f>'Product info'!F41</f>
        <v>0</v>
      </c>
      <c r="C656" s="6">
        <f>'Product info'!G41</f>
        <v>0</v>
      </c>
      <c r="D656" s="6">
        <f>'Product info'!H41</f>
        <v>0</v>
      </c>
      <c r="E656" t="str">
        <f t="shared" si="132"/>
        <v>0*0*0</v>
      </c>
      <c r="F656" s="50">
        <f>'Product info'!O41</f>
        <v>0</v>
      </c>
      <c r="G656" s="50">
        <f>'Product info'!P41</f>
        <v>0</v>
      </c>
      <c r="H656" s="50">
        <f>'Product info'!Q41</f>
        <v>0</v>
      </c>
      <c r="I656" s="50">
        <f>'Product info'!N41</f>
        <v>0</v>
      </c>
      <c r="J656" s="51">
        <f>'Product info'!M41</f>
        <v>0</v>
      </c>
      <c r="K656" s="52">
        <f t="shared" si="133"/>
        <v>0</v>
      </c>
      <c r="L656" s="50">
        <f t="shared" si="134"/>
        <v>0</v>
      </c>
      <c r="M656" s="50">
        <f t="shared" si="135"/>
        <v>0</v>
      </c>
      <c r="N656" s="50">
        <f t="shared" si="136"/>
        <v>0</v>
      </c>
      <c r="O656" s="50">
        <f t="shared" si="137"/>
        <v>0</v>
      </c>
      <c r="P656" s="53" t="str">
        <f t="shared" si="138"/>
        <v>0*0*0</v>
      </c>
      <c r="Q656" s="54">
        <f>'Product info'!S41</f>
        <v>0</v>
      </c>
      <c r="R656" s="54">
        <f>'Product info'!T41</f>
        <v>0</v>
      </c>
      <c r="S656" s="54">
        <f>'Product info'!U41</f>
        <v>0</v>
      </c>
      <c r="T656" s="50">
        <f>'Product info'!R41</f>
        <v>0</v>
      </c>
      <c r="U656" s="52">
        <f t="shared" si="139"/>
        <v>0</v>
      </c>
      <c r="V656" s="50">
        <f t="shared" si="140"/>
        <v>0</v>
      </c>
      <c r="W656" s="50">
        <f t="shared" si="141"/>
        <v>0</v>
      </c>
      <c r="X656" s="50">
        <f t="shared" si="142"/>
        <v>0</v>
      </c>
      <c r="Y656" s="50">
        <f t="shared" si="143"/>
        <v>0</v>
      </c>
      <c r="Z656" t="e">
        <f t="shared" si="144"/>
        <v>#DIV/0!</v>
      </c>
    </row>
    <row r="657" spans="1:26" x14ac:dyDescent="0.4">
      <c r="A657">
        <f>'Product info'!A42</f>
        <v>0</v>
      </c>
      <c r="B657">
        <f>'Product info'!F42</f>
        <v>0</v>
      </c>
      <c r="C657" s="6">
        <f>'Product info'!G42</f>
        <v>0</v>
      </c>
      <c r="D657" s="6">
        <f>'Product info'!H42</f>
        <v>0</v>
      </c>
      <c r="E657" t="str">
        <f t="shared" si="132"/>
        <v>0*0*0</v>
      </c>
      <c r="F657" s="50">
        <f>'Product info'!O42</f>
        <v>0</v>
      </c>
      <c r="G657" s="50">
        <f>'Product info'!P42</f>
        <v>0</v>
      </c>
      <c r="H657" s="50">
        <f>'Product info'!Q42</f>
        <v>0</v>
      </c>
      <c r="I657" s="50">
        <f>'Product info'!N42</f>
        <v>0</v>
      </c>
      <c r="J657" s="51">
        <f>'Product info'!M42</f>
        <v>0</v>
      </c>
      <c r="K657" s="52">
        <f t="shared" si="133"/>
        <v>0</v>
      </c>
      <c r="L657" s="50">
        <f t="shared" si="134"/>
        <v>0</v>
      </c>
      <c r="M657" s="50">
        <f t="shared" si="135"/>
        <v>0</v>
      </c>
      <c r="N657" s="50">
        <f t="shared" si="136"/>
        <v>0</v>
      </c>
      <c r="O657" s="50">
        <f t="shared" si="137"/>
        <v>0</v>
      </c>
      <c r="P657" s="53" t="str">
        <f t="shared" si="138"/>
        <v>0*0*0</v>
      </c>
      <c r="Q657" s="54">
        <f>'Product info'!S42</f>
        <v>0</v>
      </c>
      <c r="R657" s="54">
        <f>'Product info'!T42</f>
        <v>0</v>
      </c>
      <c r="S657" s="54">
        <f>'Product info'!U42</f>
        <v>0</v>
      </c>
      <c r="T657" s="50">
        <f>'Product info'!R42</f>
        <v>0</v>
      </c>
      <c r="U657" s="52">
        <f t="shared" si="139"/>
        <v>0</v>
      </c>
      <c r="V657" s="50">
        <f t="shared" si="140"/>
        <v>0</v>
      </c>
      <c r="W657" s="50">
        <f t="shared" si="141"/>
        <v>0</v>
      </c>
      <c r="X657" s="50">
        <f t="shared" si="142"/>
        <v>0</v>
      </c>
      <c r="Y657" s="50">
        <f t="shared" si="143"/>
        <v>0</v>
      </c>
      <c r="Z657" t="e">
        <f t="shared" si="144"/>
        <v>#DIV/0!</v>
      </c>
    </row>
    <row r="658" spans="1:26" x14ac:dyDescent="0.4">
      <c r="A658">
        <f>'Product info'!A43</f>
        <v>0</v>
      </c>
      <c r="B658">
        <f>'Product info'!F43</f>
        <v>0</v>
      </c>
      <c r="C658" s="6">
        <f>'Product info'!G43</f>
        <v>0</v>
      </c>
      <c r="D658" s="6">
        <f>'Product info'!H43</f>
        <v>0</v>
      </c>
      <c r="E658" t="str">
        <f t="shared" si="132"/>
        <v>0*0*0</v>
      </c>
      <c r="F658" s="50">
        <f>'Product info'!O43</f>
        <v>0</v>
      </c>
      <c r="G658" s="50">
        <f>'Product info'!P43</f>
        <v>0</v>
      </c>
      <c r="H658" s="50">
        <f>'Product info'!Q43</f>
        <v>0</v>
      </c>
      <c r="I658" s="50">
        <f>'Product info'!N43</f>
        <v>0</v>
      </c>
      <c r="J658" s="51">
        <f>'Product info'!M43</f>
        <v>0</v>
      </c>
      <c r="K658" s="52">
        <f t="shared" si="133"/>
        <v>0</v>
      </c>
      <c r="L658" s="50">
        <f t="shared" si="134"/>
        <v>0</v>
      </c>
      <c r="M658" s="50">
        <f t="shared" si="135"/>
        <v>0</v>
      </c>
      <c r="N658" s="50">
        <f t="shared" si="136"/>
        <v>0</v>
      </c>
      <c r="O658" s="50">
        <f t="shared" si="137"/>
        <v>0</v>
      </c>
      <c r="P658" s="53" t="str">
        <f t="shared" si="138"/>
        <v>0*0*0</v>
      </c>
      <c r="Q658" s="54">
        <f>'Product info'!S43</f>
        <v>0</v>
      </c>
      <c r="R658" s="54">
        <f>'Product info'!T43</f>
        <v>0</v>
      </c>
      <c r="S658" s="54">
        <f>'Product info'!U43</f>
        <v>0</v>
      </c>
      <c r="T658" s="50">
        <f>'Product info'!R43</f>
        <v>0</v>
      </c>
      <c r="U658" s="52">
        <f t="shared" si="139"/>
        <v>0</v>
      </c>
      <c r="V658" s="50">
        <f t="shared" si="140"/>
        <v>0</v>
      </c>
      <c r="W658" s="50">
        <f t="shared" si="141"/>
        <v>0</v>
      </c>
      <c r="X658" s="50">
        <f t="shared" si="142"/>
        <v>0</v>
      </c>
      <c r="Y658" s="50">
        <f t="shared" si="143"/>
        <v>0</v>
      </c>
      <c r="Z658" t="e">
        <f t="shared" si="144"/>
        <v>#DIV/0!</v>
      </c>
    </row>
    <row r="659" spans="1:26" x14ac:dyDescent="0.4">
      <c r="A659">
        <f>'Product info'!A44</f>
        <v>0</v>
      </c>
      <c r="B659">
        <f>'Product info'!F44</f>
        <v>0</v>
      </c>
      <c r="C659" s="6">
        <f>'Product info'!G44</f>
        <v>0</v>
      </c>
      <c r="D659" s="6">
        <f>'Product info'!H44</f>
        <v>0</v>
      </c>
      <c r="E659" t="str">
        <f t="shared" si="132"/>
        <v>0*0*0</v>
      </c>
      <c r="F659" s="50">
        <f>'Product info'!O44</f>
        <v>0</v>
      </c>
      <c r="G659" s="50">
        <f>'Product info'!P44</f>
        <v>0</v>
      </c>
      <c r="H659" s="50">
        <f>'Product info'!Q44</f>
        <v>0</v>
      </c>
      <c r="I659" s="50">
        <f>'Product info'!N44</f>
        <v>0</v>
      </c>
      <c r="J659" s="51">
        <f>'Product info'!M44</f>
        <v>0</v>
      </c>
      <c r="K659" s="52">
        <f t="shared" si="133"/>
        <v>0</v>
      </c>
      <c r="L659" s="50">
        <f t="shared" si="134"/>
        <v>0</v>
      </c>
      <c r="M659" s="50">
        <f t="shared" si="135"/>
        <v>0</v>
      </c>
      <c r="N659" s="50">
        <f t="shared" si="136"/>
        <v>0</v>
      </c>
      <c r="O659" s="50">
        <f t="shared" si="137"/>
        <v>0</v>
      </c>
      <c r="P659" s="53" t="str">
        <f t="shared" si="138"/>
        <v>0*0*0</v>
      </c>
      <c r="Q659" s="54">
        <f>'Product info'!S44</f>
        <v>0</v>
      </c>
      <c r="R659" s="54">
        <f>'Product info'!T44</f>
        <v>0</v>
      </c>
      <c r="S659" s="54">
        <f>'Product info'!U44</f>
        <v>0</v>
      </c>
      <c r="T659" s="50">
        <f>'Product info'!R44</f>
        <v>0</v>
      </c>
      <c r="U659" s="52">
        <f t="shared" si="139"/>
        <v>0</v>
      </c>
      <c r="V659" s="50">
        <f t="shared" si="140"/>
        <v>0</v>
      </c>
      <c r="W659" s="50">
        <f t="shared" si="141"/>
        <v>0</v>
      </c>
      <c r="X659" s="50">
        <f t="shared" si="142"/>
        <v>0</v>
      </c>
      <c r="Y659" s="50">
        <f t="shared" si="143"/>
        <v>0</v>
      </c>
      <c r="Z659" t="e">
        <f t="shared" si="144"/>
        <v>#DIV/0!</v>
      </c>
    </row>
    <row r="660" spans="1:26" x14ac:dyDescent="0.4">
      <c r="A660">
        <f>'Product info'!A45</f>
        <v>0</v>
      </c>
      <c r="B660">
        <f>'Product info'!F45</f>
        <v>0</v>
      </c>
      <c r="C660" s="6">
        <f>'Product info'!G45</f>
        <v>0</v>
      </c>
      <c r="D660" s="6">
        <f>'Product info'!H45</f>
        <v>0</v>
      </c>
      <c r="E660" t="str">
        <f t="shared" si="132"/>
        <v>0*0*0</v>
      </c>
      <c r="F660" s="50">
        <f>'Product info'!O45</f>
        <v>0</v>
      </c>
      <c r="G660" s="50">
        <f>'Product info'!P45</f>
        <v>0</v>
      </c>
      <c r="H660" s="50">
        <f>'Product info'!Q45</f>
        <v>0</v>
      </c>
      <c r="I660" s="50">
        <f>'Product info'!N45</f>
        <v>0</v>
      </c>
      <c r="J660" s="51">
        <f>'Product info'!M45</f>
        <v>0</v>
      </c>
      <c r="K660" s="52">
        <f t="shared" si="133"/>
        <v>0</v>
      </c>
      <c r="L660" s="50">
        <f t="shared" si="134"/>
        <v>0</v>
      </c>
      <c r="M660" s="50">
        <f t="shared" si="135"/>
        <v>0</v>
      </c>
      <c r="N660" s="50">
        <f t="shared" si="136"/>
        <v>0</v>
      </c>
      <c r="O660" s="50">
        <f t="shared" si="137"/>
        <v>0</v>
      </c>
      <c r="P660" s="53" t="str">
        <f t="shared" si="138"/>
        <v>0*0*0</v>
      </c>
      <c r="Q660" s="54">
        <f>'Product info'!S45</f>
        <v>0</v>
      </c>
      <c r="R660" s="54">
        <f>'Product info'!T45</f>
        <v>0</v>
      </c>
      <c r="S660" s="54">
        <f>'Product info'!U45</f>
        <v>0</v>
      </c>
      <c r="T660" s="50">
        <f>'Product info'!R45</f>
        <v>0</v>
      </c>
      <c r="U660" s="52">
        <f t="shared" si="139"/>
        <v>0</v>
      </c>
      <c r="V660" s="50">
        <f t="shared" si="140"/>
        <v>0</v>
      </c>
      <c r="W660" s="50">
        <f t="shared" si="141"/>
        <v>0</v>
      </c>
      <c r="X660" s="50">
        <f t="shared" si="142"/>
        <v>0</v>
      </c>
      <c r="Y660" s="50">
        <f t="shared" si="143"/>
        <v>0</v>
      </c>
      <c r="Z660" t="e">
        <f t="shared" si="144"/>
        <v>#DIV/0!</v>
      </c>
    </row>
    <row r="661" spans="1:26" x14ac:dyDescent="0.4">
      <c r="A661">
        <f>'Product info'!A46</f>
        <v>0</v>
      </c>
      <c r="B661">
        <f>'Product info'!F46</f>
        <v>0</v>
      </c>
      <c r="C661" s="6">
        <f>'Product info'!G46</f>
        <v>0</v>
      </c>
      <c r="D661" s="6">
        <f>'Product info'!H46</f>
        <v>0</v>
      </c>
      <c r="E661" t="str">
        <f t="shared" si="132"/>
        <v>0*0*0</v>
      </c>
      <c r="F661" s="50">
        <f>'Product info'!O46</f>
        <v>0</v>
      </c>
      <c r="G661" s="50">
        <f>'Product info'!P46</f>
        <v>0</v>
      </c>
      <c r="H661" s="50">
        <f>'Product info'!Q46</f>
        <v>0</v>
      </c>
      <c r="I661" s="50">
        <f>'Product info'!N46</f>
        <v>0</v>
      </c>
      <c r="J661" s="51">
        <f>'Product info'!M46</f>
        <v>0</v>
      </c>
      <c r="K661" s="52">
        <f t="shared" si="133"/>
        <v>0</v>
      </c>
      <c r="L661" s="50">
        <f t="shared" si="134"/>
        <v>0</v>
      </c>
      <c r="M661" s="50">
        <f t="shared" si="135"/>
        <v>0</v>
      </c>
      <c r="N661" s="50">
        <f t="shared" si="136"/>
        <v>0</v>
      </c>
      <c r="O661" s="50">
        <f t="shared" si="137"/>
        <v>0</v>
      </c>
      <c r="P661" s="53" t="str">
        <f t="shared" si="138"/>
        <v>0*0*0</v>
      </c>
      <c r="Q661" s="54">
        <f>'Product info'!S46</f>
        <v>0</v>
      </c>
      <c r="R661" s="54">
        <f>'Product info'!T46</f>
        <v>0</v>
      </c>
      <c r="S661" s="54">
        <f>'Product info'!U46</f>
        <v>0</v>
      </c>
      <c r="T661" s="50">
        <f>'Product info'!R46</f>
        <v>0</v>
      </c>
      <c r="U661" s="52">
        <f t="shared" si="139"/>
        <v>0</v>
      </c>
      <c r="V661" s="50">
        <f t="shared" si="140"/>
        <v>0</v>
      </c>
      <c r="W661" s="50">
        <f t="shared" si="141"/>
        <v>0</v>
      </c>
      <c r="X661" s="50">
        <f t="shared" si="142"/>
        <v>0</v>
      </c>
      <c r="Y661" s="50">
        <f t="shared" si="143"/>
        <v>0</v>
      </c>
      <c r="Z661" t="e">
        <f t="shared" si="144"/>
        <v>#DIV/0!</v>
      </c>
    </row>
    <row r="662" spans="1:26" x14ac:dyDescent="0.4">
      <c r="A662">
        <f>'Product info'!A47</f>
        <v>0</v>
      </c>
      <c r="B662">
        <f>'Product info'!F47</f>
        <v>0</v>
      </c>
      <c r="C662" s="6">
        <f>'Product info'!G47</f>
        <v>0</v>
      </c>
      <c r="D662" s="6">
        <f>'Product info'!H47</f>
        <v>0</v>
      </c>
      <c r="E662" t="str">
        <f t="shared" si="132"/>
        <v>0*0*0</v>
      </c>
      <c r="F662" s="50">
        <f>'Product info'!O47</f>
        <v>0</v>
      </c>
      <c r="G662" s="50">
        <f>'Product info'!P47</f>
        <v>0</v>
      </c>
      <c r="H662" s="50">
        <f>'Product info'!Q47</f>
        <v>0</v>
      </c>
      <c r="I662" s="50">
        <f>'Product info'!N47</f>
        <v>0</v>
      </c>
      <c r="J662" s="51">
        <f>'Product info'!M47</f>
        <v>0</v>
      </c>
      <c r="K662" s="52">
        <f t="shared" si="133"/>
        <v>0</v>
      </c>
      <c r="L662" s="50">
        <f t="shared" si="134"/>
        <v>0</v>
      </c>
      <c r="M662" s="50">
        <f t="shared" si="135"/>
        <v>0</v>
      </c>
      <c r="N662" s="50">
        <f t="shared" si="136"/>
        <v>0</v>
      </c>
      <c r="O662" s="50">
        <f t="shared" si="137"/>
        <v>0</v>
      </c>
      <c r="P662" s="53" t="str">
        <f t="shared" si="138"/>
        <v>0*0*0</v>
      </c>
      <c r="Q662" s="54">
        <f>'Product info'!S47</f>
        <v>0</v>
      </c>
      <c r="R662" s="54">
        <f>'Product info'!T47</f>
        <v>0</v>
      </c>
      <c r="S662" s="54">
        <f>'Product info'!U47</f>
        <v>0</v>
      </c>
      <c r="T662" s="50">
        <f>'Product info'!R47</f>
        <v>0</v>
      </c>
      <c r="U662" s="52">
        <f t="shared" si="139"/>
        <v>0</v>
      </c>
      <c r="V662" s="50">
        <f t="shared" si="140"/>
        <v>0</v>
      </c>
      <c r="W662" s="50">
        <f t="shared" si="141"/>
        <v>0</v>
      </c>
      <c r="X662" s="50">
        <f t="shared" si="142"/>
        <v>0</v>
      </c>
      <c r="Y662" s="50">
        <f t="shared" si="143"/>
        <v>0</v>
      </c>
      <c r="Z662" t="e">
        <f t="shared" si="144"/>
        <v>#DIV/0!</v>
      </c>
    </row>
    <row r="663" spans="1:26" x14ac:dyDescent="0.4">
      <c r="A663">
        <f>'Product info'!A48</f>
        <v>0</v>
      </c>
      <c r="B663">
        <f>'Product info'!F48</f>
        <v>0</v>
      </c>
      <c r="C663" s="6">
        <f>'Product info'!G48</f>
        <v>0</v>
      </c>
      <c r="D663" s="6">
        <f>'Product info'!H48</f>
        <v>0</v>
      </c>
      <c r="E663" t="str">
        <f t="shared" si="132"/>
        <v>0*0*0</v>
      </c>
      <c r="F663" s="50">
        <f>'Product info'!O48</f>
        <v>0</v>
      </c>
      <c r="G663" s="50">
        <f>'Product info'!P48</f>
        <v>0</v>
      </c>
      <c r="H663" s="50">
        <f>'Product info'!Q48</f>
        <v>0</v>
      </c>
      <c r="I663" s="50">
        <f>'Product info'!N48</f>
        <v>0</v>
      </c>
      <c r="J663" s="51">
        <f>'Product info'!M48</f>
        <v>0</v>
      </c>
      <c r="K663" s="52">
        <f t="shared" si="133"/>
        <v>0</v>
      </c>
      <c r="L663" s="50">
        <f t="shared" si="134"/>
        <v>0</v>
      </c>
      <c r="M663" s="50">
        <f t="shared" si="135"/>
        <v>0</v>
      </c>
      <c r="N663" s="50">
        <f t="shared" si="136"/>
        <v>0</v>
      </c>
      <c r="O663" s="50">
        <f t="shared" si="137"/>
        <v>0</v>
      </c>
      <c r="P663" s="53" t="str">
        <f t="shared" si="138"/>
        <v>0*0*0</v>
      </c>
      <c r="Q663" s="54">
        <f>'Product info'!S48</f>
        <v>0</v>
      </c>
      <c r="R663" s="54">
        <f>'Product info'!T48</f>
        <v>0</v>
      </c>
      <c r="S663" s="54">
        <f>'Product info'!U48</f>
        <v>0</v>
      </c>
      <c r="T663" s="50">
        <f>'Product info'!R48</f>
        <v>0</v>
      </c>
      <c r="U663" s="52">
        <f t="shared" si="139"/>
        <v>0</v>
      </c>
      <c r="V663" s="50">
        <f t="shared" si="140"/>
        <v>0</v>
      </c>
      <c r="W663" s="50">
        <f t="shared" si="141"/>
        <v>0</v>
      </c>
      <c r="X663" s="50">
        <f t="shared" si="142"/>
        <v>0</v>
      </c>
      <c r="Y663" s="50">
        <f t="shared" si="143"/>
        <v>0</v>
      </c>
      <c r="Z663" t="e">
        <f t="shared" si="144"/>
        <v>#DIV/0!</v>
      </c>
    </row>
    <row r="664" spans="1:26" x14ac:dyDescent="0.4">
      <c r="A664">
        <f>'Product info'!A49</f>
        <v>0</v>
      </c>
      <c r="B664">
        <f>'Product info'!F49</f>
        <v>0</v>
      </c>
      <c r="C664" s="6">
        <f>'Product info'!G49</f>
        <v>0</v>
      </c>
      <c r="D664" s="6">
        <f>'Product info'!H49</f>
        <v>0</v>
      </c>
      <c r="E664" t="str">
        <f t="shared" si="132"/>
        <v>0*0*0</v>
      </c>
      <c r="F664" s="50">
        <f>'Product info'!O49</f>
        <v>0</v>
      </c>
      <c r="G664" s="50">
        <f>'Product info'!P49</f>
        <v>0</v>
      </c>
      <c r="H664" s="50">
        <f>'Product info'!Q49</f>
        <v>0</v>
      </c>
      <c r="I664" s="50">
        <f>'Product info'!N49</f>
        <v>0</v>
      </c>
      <c r="J664" s="51">
        <f>'Product info'!M49</f>
        <v>0</v>
      </c>
      <c r="K664" s="52">
        <f t="shared" si="133"/>
        <v>0</v>
      </c>
      <c r="L664" s="50">
        <f t="shared" si="134"/>
        <v>0</v>
      </c>
      <c r="M664" s="50">
        <f t="shared" si="135"/>
        <v>0</v>
      </c>
      <c r="N664" s="50">
        <f t="shared" si="136"/>
        <v>0</v>
      </c>
      <c r="O664" s="50">
        <f t="shared" si="137"/>
        <v>0</v>
      </c>
      <c r="P664" s="53" t="str">
        <f t="shared" si="138"/>
        <v>0*0*0</v>
      </c>
      <c r="Q664" s="54">
        <f>'Product info'!S49</f>
        <v>0</v>
      </c>
      <c r="R664" s="54">
        <f>'Product info'!T49</f>
        <v>0</v>
      </c>
      <c r="S664" s="54">
        <f>'Product info'!U49</f>
        <v>0</v>
      </c>
      <c r="T664" s="50">
        <f>'Product info'!R49</f>
        <v>0</v>
      </c>
      <c r="U664" s="52">
        <f t="shared" si="139"/>
        <v>0</v>
      </c>
      <c r="V664" s="50">
        <f t="shared" si="140"/>
        <v>0</v>
      </c>
      <c r="W664" s="50">
        <f t="shared" si="141"/>
        <v>0</v>
      </c>
      <c r="X664" s="50">
        <f t="shared" si="142"/>
        <v>0</v>
      </c>
      <c r="Y664" s="50">
        <f t="shared" si="143"/>
        <v>0</v>
      </c>
      <c r="Z664" t="e">
        <f t="shared" si="144"/>
        <v>#DIV/0!</v>
      </c>
    </row>
    <row r="665" spans="1:26" x14ac:dyDescent="0.4">
      <c r="A665">
        <f>'Product info'!A50</f>
        <v>0</v>
      </c>
      <c r="B665">
        <f>'Product info'!F50</f>
        <v>0</v>
      </c>
      <c r="C665" s="6">
        <f>'Product info'!G50</f>
        <v>0</v>
      </c>
      <c r="D665" s="6">
        <f>'Product info'!H50</f>
        <v>0</v>
      </c>
      <c r="E665" t="str">
        <f t="shared" ref="E665:E728" si="145">F665&amp;"*"&amp;G665&amp;"*"&amp;H665</f>
        <v>0*0*0</v>
      </c>
      <c r="F665" s="50">
        <f>'Product info'!O50</f>
        <v>0</v>
      </c>
      <c r="G665" s="50">
        <f>'Product info'!P50</f>
        <v>0</v>
      </c>
      <c r="H665" s="50">
        <f>'Product info'!Q50</f>
        <v>0</v>
      </c>
      <c r="I665" s="50">
        <f>'Product info'!N50</f>
        <v>0</v>
      </c>
      <c r="J665" s="51">
        <f>'Product info'!M50</f>
        <v>0</v>
      </c>
      <c r="K665" s="52">
        <f t="shared" ref="K665:K728" si="146">F665*G665*H665/(100*100*100)</f>
        <v>0</v>
      </c>
      <c r="L665" s="50">
        <f t="shared" ref="L665:L728" si="147">F665*0.393701</f>
        <v>0</v>
      </c>
      <c r="M665" s="50">
        <f t="shared" ref="M665:M728" si="148">G665*0.393701</f>
        <v>0</v>
      </c>
      <c r="N665" s="50">
        <f t="shared" ref="N665:N728" si="149">H665*0.393701</f>
        <v>0</v>
      </c>
      <c r="O665" s="50">
        <f t="shared" ref="O665:O728" si="150">I665*2.20462</f>
        <v>0</v>
      </c>
      <c r="P665" s="53" t="str">
        <f t="shared" ref="P665:P728" si="151">Q665&amp;"*"&amp;R665&amp;"*"&amp;S665</f>
        <v>0*0*0</v>
      </c>
      <c r="Q665" s="54">
        <f>'Product info'!S50</f>
        <v>0</v>
      </c>
      <c r="R665" s="54">
        <f>'Product info'!T50</f>
        <v>0</v>
      </c>
      <c r="S665" s="54">
        <f>'Product info'!U50</f>
        <v>0</v>
      </c>
      <c r="T665" s="50">
        <f>'Product info'!R50</f>
        <v>0</v>
      </c>
      <c r="U665" s="52">
        <f t="shared" ref="U665:U728" si="152">Q665*R665*S665/(100*100*100)</f>
        <v>0</v>
      </c>
      <c r="V665" s="50">
        <f t="shared" ref="V665:V728" si="153">Q665*0.393701</f>
        <v>0</v>
      </c>
      <c r="W665" s="50">
        <f t="shared" ref="W665:W728" si="154">R665*0.393701</f>
        <v>0</v>
      </c>
      <c r="X665" s="50">
        <f t="shared" ref="X665:X728" si="155">S665*0.393701</f>
        <v>0</v>
      </c>
      <c r="Y665" s="50">
        <f t="shared" ref="Y665:Y728" si="156">T665*2.20462</f>
        <v>0</v>
      </c>
      <c r="Z665" t="e">
        <f t="shared" si="144"/>
        <v>#DIV/0!</v>
      </c>
    </row>
    <row r="666" spans="1:26" x14ac:dyDescent="0.4">
      <c r="A666">
        <f>'Product info'!A51</f>
        <v>0</v>
      </c>
      <c r="B666">
        <f>'Product info'!F51</f>
        <v>0</v>
      </c>
      <c r="C666" s="6">
        <f>'Product info'!G51</f>
        <v>0</v>
      </c>
      <c r="D666" s="6">
        <f>'Product info'!H51</f>
        <v>0</v>
      </c>
      <c r="E666" t="str">
        <f t="shared" si="145"/>
        <v>0*0*0</v>
      </c>
      <c r="F666" s="50">
        <f>'Product info'!O51</f>
        <v>0</v>
      </c>
      <c r="G666" s="50">
        <f>'Product info'!P51</f>
        <v>0</v>
      </c>
      <c r="H666" s="50">
        <f>'Product info'!Q51</f>
        <v>0</v>
      </c>
      <c r="I666" s="50">
        <f>'Product info'!N51</f>
        <v>0</v>
      </c>
      <c r="J666" s="51">
        <f>'Product info'!M51</f>
        <v>0</v>
      </c>
      <c r="K666" s="52">
        <f t="shared" si="146"/>
        <v>0</v>
      </c>
      <c r="L666" s="50">
        <f t="shared" si="147"/>
        <v>0</v>
      </c>
      <c r="M666" s="50">
        <f t="shared" si="148"/>
        <v>0</v>
      </c>
      <c r="N666" s="50">
        <f t="shared" si="149"/>
        <v>0</v>
      </c>
      <c r="O666" s="50">
        <f t="shared" si="150"/>
        <v>0</v>
      </c>
      <c r="P666" s="53" t="str">
        <f t="shared" si="151"/>
        <v>0*0*0</v>
      </c>
      <c r="Q666" s="54">
        <f>'Product info'!S51</f>
        <v>0</v>
      </c>
      <c r="R666" s="54">
        <f>'Product info'!T51</f>
        <v>0</v>
      </c>
      <c r="S666" s="54">
        <f>'Product info'!U51</f>
        <v>0</v>
      </c>
      <c r="T666" s="50">
        <f>'Product info'!R51</f>
        <v>0</v>
      </c>
      <c r="U666" s="52">
        <f t="shared" si="152"/>
        <v>0</v>
      </c>
      <c r="V666" s="50">
        <f t="shared" si="153"/>
        <v>0</v>
      </c>
      <c r="W666" s="50">
        <f t="shared" si="154"/>
        <v>0</v>
      </c>
      <c r="X666" s="50">
        <f t="shared" si="155"/>
        <v>0</v>
      </c>
      <c r="Y666" s="50">
        <f t="shared" si="156"/>
        <v>0</v>
      </c>
      <c r="Z666" t="e">
        <f t="shared" si="144"/>
        <v>#DIV/0!</v>
      </c>
    </row>
    <row r="667" spans="1:26" x14ac:dyDescent="0.4">
      <c r="A667">
        <f>'Product info'!A52</f>
        <v>0</v>
      </c>
      <c r="B667">
        <f>'Product info'!F52</f>
        <v>0</v>
      </c>
      <c r="C667" s="6">
        <f>'Product info'!G52</f>
        <v>0</v>
      </c>
      <c r="D667" s="6">
        <f>'Product info'!H52</f>
        <v>0</v>
      </c>
      <c r="E667" t="str">
        <f t="shared" si="145"/>
        <v>0*0*0</v>
      </c>
      <c r="F667" s="50">
        <f>'Product info'!O52</f>
        <v>0</v>
      </c>
      <c r="G667" s="50">
        <f>'Product info'!P52</f>
        <v>0</v>
      </c>
      <c r="H667" s="50">
        <f>'Product info'!Q52</f>
        <v>0</v>
      </c>
      <c r="I667" s="50">
        <f>'Product info'!N52</f>
        <v>0</v>
      </c>
      <c r="J667" s="51">
        <f>'Product info'!M52</f>
        <v>0</v>
      </c>
      <c r="K667" s="52">
        <f t="shared" si="146"/>
        <v>0</v>
      </c>
      <c r="L667" s="50">
        <f t="shared" si="147"/>
        <v>0</v>
      </c>
      <c r="M667" s="50">
        <f t="shared" si="148"/>
        <v>0</v>
      </c>
      <c r="N667" s="50">
        <f t="shared" si="149"/>
        <v>0</v>
      </c>
      <c r="O667" s="50">
        <f t="shared" si="150"/>
        <v>0</v>
      </c>
      <c r="P667" s="53" t="str">
        <f t="shared" si="151"/>
        <v>0*0*0</v>
      </c>
      <c r="Q667" s="54">
        <f>'Product info'!S52</f>
        <v>0</v>
      </c>
      <c r="R667" s="54">
        <f>'Product info'!T52</f>
        <v>0</v>
      </c>
      <c r="S667" s="54">
        <f>'Product info'!U52</f>
        <v>0</v>
      </c>
      <c r="T667" s="50">
        <f>'Product info'!R52</f>
        <v>0</v>
      </c>
      <c r="U667" s="52">
        <f t="shared" si="152"/>
        <v>0</v>
      </c>
      <c r="V667" s="50">
        <f t="shared" si="153"/>
        <v>0</v>
      </c>
      <c r="W667" s="50">
        <f t="shared" si="154"/>
        <v>0</v>
      </c>
      <c r="X667" s="50">
        <f t="shared" si="155"/>
        <v>0</v>
      </c>
      <c r="Y667" s="50">
        <f t="shared" si="156"/>
        <v>0</v>
      </c>
      <c r="Z667" t="e">
        <f t="shared" si="144"/>
        <v>#DIV/0!</v>
      </c>
    </row>
    <row r="668" spans="1:26" x14ac:dyDescent="0.4">
      <c r="A668">
        <f>'Product info'!A53</f>
        <v>0</v>
      </c>
      <c r="B668">
        <f>'Product info'!F53</f>
        <v>0</v>
      </c>
      <c r="C668" s="6">
        <f>'Product info'!G53</f>
        <v>0</v>
      </c>
      <c r="D668" s="6">
        <f>'Product info'!H53</f>
        <v>0</v>
      </c>
      <c r="E668" t="str">
        <f t="shared" si="145"/>
        <v>0*0*0</v>
      </c>
      <c r="F668" s="50">
        <f>'Product info'!O53</f>
        <v>0</v>
      </c>
      <c r="G668" s="50">
        <f>'Product info'!P53</f>
        <v>0</v>
      </c>
      <c r="H668" s="50">
        <f>'Product info'!Q53</f>
        <v>0</v>
      </c>
      <c r="I668" s="50">
        <f>'Product info'!N53</f>
        <v>0</v>
      </c>
      <c r="J668" s="51">
        <f>'Product info'!M53</f>
        <v>0</v>
      </c>
      <c r="K668" s="52">
        <f t="shared" si="146"/>
        <v>0</v>
      </c>
      <c r="L668" s="50">
        <f t="shared" si="147"/>
        <v>0</v>
      </c>
      <c r="M668" s="50">
        <f t="shared" si="148"/>
        <v>0</v>
      </c>
      <c r="N668" s="50">
        <f t="shared" si="149"/>
        <v>0</v>
      </c>
      <c r="O668" s="50">
        <f t="shared" si="150"/>
        <v>0</v>
      </c>
      <c r="P668" s="53" t="str">
        <f t="shared" si="151"/>
        <v>0*0*0</v>
      </c>
      <c r="Q668" s="54">
        <f>'Product info'!S53</f>
        <v>0</v>
      </c>
      <c r="R668" s="54">
        <f>'Product info'!T53</f>
        <v>0</v>
      </c>
      <c r="S668" s="54">
        <f>'Product info'!U53</f>
        <v>0</v>
      </c>
      <c r="T668" s="50">
        <f>'Product info'!R53</f>
        <v>0</v>
      </c>
      <c r="U668" s="52">
        <f t="shared" si="152"/>
        <v>0</v>
      </c>
      <c r="V668" s="50">
        <f t="shared" si="153"/>
        <v>0</v>
      </c>
      <c r="W668" s="50">
        <f t="shared" si="154"/>
        <v>0</v>
      </c>
      <c r="X668" s="50">
        <f t="shared" si="155"/>
        <v>0</v>
      </c>
      <c r="Y668" s="50">
        <f t="shared" si="156"/>
        <v>0</v>
      </c>
      <c r="Z668" t="e">
        <f t="shared" si="144"/>
        <v>#DIV/0!</v>
      </c>
    </row>
    <row r="669" spans="1:26" x14ac:dyDescent="0.4">
      <c r="A669">
        <f>'Product info'!A54</f>
        <v>0</v>
      </c>
      <c r="B669">
        <f>'Product info'!F54</f>
        <v>0</v>
      </c>
      <c r="C669" s="6">
        <f>'Product info'!G54</f>
        <v>0</v>
      </c>
      <c r="D669" s="6">
        <f>'Product info'!H54</f>
        <v>0</v>
      </c>
      <c r="E669" t="str">
        <f t="shared" si="145"/>
        <v>0*0*0</v>
      </c>
      <c r="F669" s="50">
        <f>'Product info'!O54</f>
        <v>0</v>
      </c>
      <c r="G669" s="50">
        <f>'Product info'!P54</f>
        <v>0</v>
      </c>
      <c r="H669" s="50">
        <f>'Product info'!Q54</f>
        <v>0</v>
      </c>
      <c r="I669" s="50">
        <f>'Product info'!N54</f>
        <v>0</v>
      </c>
      <c r="J669" s="51">
        <f>'Product info'!M54</f>
        <v>0</v>
      </c>
      <c r="K669" s="52">
        <f t="shared" si="146"/>
        <v>0</v>
      </c>
      <c r="L669" s="50">
        <f t="shared" si="147"/>
        <v>0</v>
      </c>
      <c r="M669" s="50">
        <f t="shared" si="148"/>
        <v>0</v>
      </c>
      <c r="N669" s="50">
        <f t="shared" si="149"/>
        <v>0</v>
      </c>
      <c r="O669" s="50">
        <f t="shared" si="150"/>
        <v>0</v>
      </c>
      <c r="P669" s="53" t="str">
        <f t="shared" si="151"/>
        <v>0*0*0</v>
      </c>
      <c r="Q669" s="54">
        <f>'Product info'!S54</f>
        <v>0</v>
      </c>
      <c r="R669" s="54">
        <f>'Product info'!T54</f>
        <v>0</v>
      </c>
      <c r="S669" s="54">
        <f>'Product info'!U54</f>
        <v>0</v>
      </c>
      <c r="T669" s="50">
        <f>'Product info'!R54</f>
        <v>0</v>
      </c>
      <c r="U669" s="52">
        <f t="shared" si="152"/>
        <v>0</v>
      </c>
      <c r="V669" s="50">
        <f t="shared" si="153"/>
        <v>0</v>
      </c>
      <c r="W669" s="50">
        <f t="shared" si="154"/>
        <v>0</v>
      </c>
      <c r="X669" s="50">
        <f t="shared" si="155"/>
        <v>0</v>
      </c>
      <c r="Y669" s="50">
        <f t="shared" si="156"/>
        <v>0</v>
      </c>
      <c r="Z669" t="e">
        <f t="shared" si="144"/>
        <v>#DIV/0!</v>
      </c>
    </row>
    <row r="670" spans="1:26" x14ac:dyDescent="0.4">
      <c r="A670">
        <f>'Product info'!A55</f>
        <v>0</v>
      </c>
      <c r="B670">
        <f>'Product info'!F55</f>
        <v>0</v>
      </c>
      <c r="C670" s="6">
        <f>'Product info'!G55</f>
        <v>0</v>
      </c>
      <c r="D670" s="6">
        <f>'Product info'!H55</f>
        <v>0</v>
      </c>
      <c r="E670" t="str">
        <f t="shared" si="145"/>
        <v>0*0*0</v>
      </c>
      <c r="F670" s="50">
        <f>'Product info'!O55</f>
        <v>0</v>
      </c>
      <c r="G670" s="50">
        <f>'Product info'!P55</f>
        <v>0</v>
      </c>
      <c r="H670" s="50">
        <f>'Product info'!Q55</f>
        <v>0</v>
      </c>
      <c r="I670" s="50">
        <f>'Product info'!N55</f>
        <v>0</v>
      </c>
      <c r="J670" s="51">
        <f>'Product info'!M55</f>
        <v>0</v>
      </c>
      <c r="K670" s="52">
        <f t="shared" si="146"/>
        <v>0</v>
      </c>
      <c r="L670" s="50">
        <f t="shared" si="147"/>
        <v>0</v>
      </c>
      <c r="M670" s="50">
        <f t="shared" si="148"/>
        <v>0</v>
      </c>
      <c r="N670" s="50">
        <f t="shared" si="149"/>
        <v>0</v>
      </c>
      <c r="O670" s="50">
        <f t="shared" si="150"/>
        <v>0</v>
      </c>
      <c r="P670" s="53" t="str">
        <f t="shared" si="151"/>
        <v>0*0*0</v>
      </c>
      <c r="Q670" s="54">
        <f>'Product info'!S55</f>
        <v>0</v>
      </c>
      <c r="R670" s="54">
        <f>'Product info'!T55</f>
        <v>0</v>
      </c>
      <c r="S670" s="54">
        <f>'Product info'!U55</f>
        <v>0</v>
      </c>
      <c r="T670" s="50">
        <f>'Product info'!R55</f>
        <v>0</v>
      </c>
      <c r="U670" s="52">
        <f t="shared" si="152"/>
        <v>0</v>
      </c>
      <c r="V670" s="50">
        <f t="shared" si="153"/>
        <v>0</v>
      </c>
      <c r="W670" s="50">
        <f t="shared" si="154"/>
        <v>0</v>
      </c>
      <c r="X670" s="50">
        <f t="shared" si="155"/>
        <v>0</v>
      </c>
      <c r="Y670" s="50">
        <f t="shared" si="156"/>
        <v>0</v>
      </c>
      <c r="Z670" t="e">
        <f t="shared" si="144"/>
        <v>#DIV/0!</v>
      </c>
    </row>
    <row r="671" spans="1:26" x14ac:dyDescent="0.4">
      <c r="A671">
        <f>'Product info'!A56</f>
        <v>0</v>
      </c>
      <c r="B671">
        <f>'Product info'!F56</f>
        <v>0</v>
      </c>
      <c r="C671" s="6">
        <f>'Product info'!G56</f>
        <v>0</v>
      </c>
      <c r="D671" s="6">
        <f>'Product info'!H56</f>
        <v>0</v>
      </c>
      <c r="E671" t="str">
        <f t="shared" si="145"/>
        <v>0*0*0</v>
      </c>
      <c r="F671" s="50">
        <f>'Product info'!O56</f>
        <v>0</v>
      </c>
      <c r="G671" s="50">
        <f>'Product info'!P56</f>
        <v>0</v>
      </c>
      <c r="H671" s="50">
        <f>'Product info'!Q56</f>
        <v>0</v>
      </c>
      <c r="I671" s="50">
        <f>'Product info'!N56</f>
        <v>0</v>
      </c>
      <c r="J671" s="51">
        <f>'Product info'!M56</f>
        <v>0</v>
      </c>
      <c r="K671" s="52">
        <f t="shared" si="146"/>
        <v>0</v>
      </c>
      <c r="L671" s="50">
        <f t="shared" si="147"/>
        <v>0</v>
      </c>
      <c r="M671" s="50">
        <f t="shared" si="148"/>
        <v>0</v>
      </c>
      <c r="N671" s="50">
        <f t="shared" si="149"/>
        <v>0</v>
      </c>
      <c r="O671" s="50">
        <f t="shared" si="150"/>
        <v>0</v>
      </c>
      <c r="P671" s="53" t="str">
        <f t="shared" si="151"/>
        <v>0*0*0</v>
      </c>
      <c r="Q671" s="54">
        <f>'Product info'!S56</f>
        <v>0</v>
      </c>
      <c r="R671" s="54">
        <f>'Product info'!T56</f>
        <v>0</v>
      </c>
      <c r="S671" s="54">
        <f>'Product info'!U56</f>
        <v>0</v>
      </c>
      <c r="T671" s="50">
        <f>'Product info'!R56</f>
        <v>0</v>
      </c>
      <c r="U671" s="52">
        <f t="shared" si="152"/>
        <v>0</v>
      </c>
      <c r="V671" s="50">
        <f t="shared" si="153"/>
        <v>0</v>
      </c>
      <c r="W671" s="50">
        <f t="shared" si="154"/>
        <v>0</v>
      </c>
      <c r="X671" s="50">
        <f t="shared" si="155"/>
        <v>0</v>
      </c>
      <c r="Y671" s="50">
        <f t="shared" si="156"/>
        <v>0</v>
      </c>
      <c r="Z671" t="e">
        <f t="shared" si="144"/>
        <v>#DIV/0!</v>
      </c>
    </row>
    <row r="672" spans="1:26" x14ac:dyDescent="0.4">
      <c r="A672">
        <f>'Product info'!A57</f>
        <v>0</v>
      </c>
      <c r="B672">
        <f>'Product info'!F57</f>
        <v>0</v>
      </c>
      <c r="C672" s="6">
        <f>'Product info'!G57</f>
        <v>0</v>
      </c>
      <c r="D672" s="6">
        <f>'Product info'!H57</f>
        <v>0</v>
      </c>
      <c r="E672" t="str">
        <f t="shared" si="145"/>
        <v>0*0*0</v>
      </c>
      <c r="F672" s="50">
        <f>'Product info'!O57</f>
        <v>0</v>
      </c>
      <c r="G672" s="50">
        <f>'Product info'!P57</f>
        <v>0</v>
      </c>
      <c r="H672" s="50">
        <f>'Product info'!Q57</f>
        <v>0</v>
      </c>
      <c r="I672" s="50">
        <f>'Product info'!N57</f>
        <v>0</v>
      </c>
      <c r="J672" s="51">
        <f>'Product info'!M57</f>
        <v>0</v>
      </c>
      <c r="K672" s="52">
        <f t="shared" si="146"/>
        <v>0</v>
      </c>
      <c r="L672" s="50">
        <f t="shared" si="147"/>
        <v>0</v>
      </c>
      <c r="M672" s="50">
        <f t="shared" si="148"/>
        <v>0</v>
      </c>
      <c r="N672" s="50">
        <f t="shared" si="149"/>
        <v>0</v>
      </c>
      <c r="O672" s="50">
        <f t="shared" si="150"/>
        <v>0</v>
      </c>
      <c r="P672" s="53" t="str">
        <f t="shared" si="151"/>
        <v>0*0*0</v>
      </c>
      <c r="Q672" s="54">
        <f>'Product info'!S57</f>
        <v>0</v>
      </c>
      <c r="R672" s="54">
        <f>'Product info'!T57</f>
        <v>0</v>
      </c>
      <c r="S672" s="54">
        <f>'Product info'!U57</f>
        <v>0</v>
      </c>
      <c r="T672" s="50">
        <f>'Product info'!R57</f>
        <v>0</v>
      </c>
      <c r="U672" s="52">
        <f t="shared" si="152"/>
        <v>0</v>
      </c>
      <c r="V672" s="50">
        <f t="shared" si="153"/>
        <v>0</v>
      </c>
      <c r="W672" s="50">
        <f t="shared" si="154"/>
        <v>0</v>
      </c>
      <c r="X672" s="50">
        <f t="shared" si="155"/>
        <v>0</v>
      </c>
      <c r="Y672" s="50">
        <f t="shared" si="156"/>
        <v>0</v>
      </c>
      <c r="Z672" t="e">
        <f t="shared" si="144"/>
        <v>#DIV/0!</v>
      </c>
    </row>
    <row r="673" spans="1:26" x14ac:dyDescent="0.4">
      <c r="A673">
        <f>'Product info'!A58</f>
        <v>0</v>
      </c>
      <c r="B673">
        <f>'Product info'!F58</f>
        <v>0</v>
      </c>
      <c r="C673" s="6">
        <f>'Product info'!G58</f>
        <v>0</v>
      </c>
      <c r="D673" s="6">
        <f>'Product info'!H58</f>
        <v>0</v>
      </c>
      <c r="E673" t="str">
        <f t="shared" si="145"/>
        <v>0*0*0</v>
      </c>
      <c r="F673" s="50">
        <f>'Product info'!O58</f>
        <v>0</v>
      </c>
      <c r="G673" s="50">
        <f>'Product info'!P58</f>
        <v>0</v>
      </c>
      <c r="H673" s="50">
        <f>'Product info'!Q58</f>
        <v>0</v>
      </c>
      <c r="I673" s="50">
        <f>'Product info'!N58</f>
        <v>0</v>
      </c>
      <c r="J673" s="51">
        <f>'Product info'!M58</f>
        <v>0</v>
      </c>
      <c r="K673" s="52">
        <f t="shared" si="146"/>
        <v>0</v>
      </c>
      <c r="L673" s="50">
        <f t="shared" si="147"/>
        <v>0</v>
      </c>
      <c r="M673" s="50">
        <f t="shared" si="148"/>
        <v>0</v>
      </c>
      <c r="N673" s="50">
        <f t="shared" si="149"/>
        <v>0</v>
      </c>
      <c r="O673" s="50">
        <f t="shared" si="150"/>
        <v>0</v>
      </c>
      <c r="P673" s="53" t="str">
        <f t="shared" si="151"/>
        <v>0*0*0</v>
      </c>
      <c r="Q673" s="54">
        <f>'Product info'!S58</f>
        <v>0</v>
      </c>
      <c r="R673" s="54">
        <f>'Product info'!T58</f>
        <v>0</v>
      </c>
      <c r="S673" s="54">
        <f>'Product info'!U58</f>
        <v>0</v>
      </c>
      <c r="T673" s="50">
        <f>'Product info'!R58</f>
        <v>0</v>
      </c>
      <c r="U673" s="52">
        <f t="shared" si="152"/>
        <v>0</v>
      </c>
      <c r="V673" s="50">
        <f t="shared" si="153"/>
        <v>0</v>
      </c>
      <c r="W673" s="50">
        <f t="shared" si="154"/>
        <v>0</v>
      </c>
      <c r="X673" s="50">
        <f t="shared" si="155"/>
        <v>0</v>
      </c>
      <c r="Y673" s="50">
        <f t="shared" si="156"/>
        <v>0</v>
      </c>
      <c r="Z673" t="e">
        <f t="shared" si="144"/>
        <v>#DIV/0!</v>
      </c>
    </row>
    <row r="674" spans="1:26" x14ac:dyDescent="0.4">
      <c r="A674">
        <f>'Product info'!A59</f>
        <v>0</v>
      </c>
      <c r="B674">
        <f>'Product info'!F59</f>
        <v>0</v>
      </c>
      <c r="C674" s="6">
        <f>'Product info'!G59</f>
        <v>0</v>
      </c>
      <c r="D674" s="6">
        <f>'Product info'!H59</f>
        <v>0</v>
      </c>
      <c r="E674" t="str">
        <f t="shared" si="145"/>
        <v>0*0*0</v>
      </c>
      <c r="F674" s="50">
        <f>'Product info'!O59</f>
        <v>0</v>
      </c>
      <c r="G674" s="50">
        <f>'Product info'!P59</f>
        <v>0</v>
      </c>
      <c r="H674" s="50">
        <f>'Product info'!Q59</f>
        <v>0</v>
      </c>
      <c r="I674" s="50">
        <f>'Product info'!N59</f>
        <v>0</v>
      </c>
      <c r="J674" s="51">
        <f>'Product info'!M59</f>
        <v>0</v>
      </c>
      <c r="K674" s="52">
        <f t="shared" si="146"/>
        <v>0</v>
      </c>
      <c r="L674" s="50">
        <f t="shared" si="147"/>
        <v>0</v>
      </c>
      <c r="M674" s="50">
        <f t="shared" si="148"/>
        <v>0</v>
      </c>
      <c r="N674" s="50">
        <f t="shared" si="149"/>
        <v>0</v>
      </c>
      <c r="O674" s="50">
        <f t="shared" si="150"/>
        <v>0</v>
      </c>
      <c r="P674" s="53" t="str">
        <f t="shared" si="151"/>
        <v>0*0*0</v>
      </c>
      <c r="Q674" s="54">
        <f>'Product info'!S59</f>
        <v>0</v>
      </c>
      <c r="R674" s="54">
        <f>'Product info'!T59</f>
        <v>0</v>
      </c>
      <c r="S674" s="54">
        <f>'Product info'!U59</f>
        <v>0</v>
      </c>
      <c r="T674" s="50">
        <f>'Product info'!R59</f>
        <v>0</v>
      </c>
      <c r="U674" s="52">
        <f t="shared" si="152"/>
        <v>0</v>
      </c>
      <c r="V674" s="50">
        <f t="shared" si="153"/>
        <v>0</v>
      </c>
      <c r="W674" s="50">
        <f t="shared" si="154"/>
        <v>0</v>
      </c>
      <c r="X674" s="50">
        <f t="shared" si="155"/>
        <v>0</v>
      </c>
      <c r="Y674" s="50">
        <f t="shared" si="156"/>
        <v>0</v>
      </c>
      <c r="Z674" t="e">
        <f t="shared" si="144"/>
        <v>#DIV/0!</v>
      </c>
    </row>
    <row r="675" spans="1:26" x14ac:dyDescent="0.4">
      <c r="A675">
        <f>'Product info'!A60</f>
        <v>0</v>
      </c>
      <c r="B675">
        <f>'Product info'!F60</f>
        <v>0</v>
      </c>
      <c r="C675" s="6">
        <f>'Product info'!G60</f>
        <v>0</v>
      </c>
      <c r="D675" s="6">
        <f>'Product info'!H60</f>
        <v>0</v>
      </c>
      <c r="E675" t="str">
        <f t="shared" si="145"/>
        <v>0*0*0</v>
      </c>
      <c r="F675" s="50">
        <f>'Product info'!O60</f>
        <v>0</v>
      </c>
      <c r="G675" s="50">
        <f>'Product info'!P60</f>
        <v>0</v>
      </c>
      <c r="H675" s="50">
        <f>'Product info'!Q60</f>
        <v>0</v>
      </c>
      <c r="I675" s="50">
        <f>'Product info'!N60</f>
        <v>0</v>
      </c>
      <c r="J675" s="51">
        <f>'Product info'!M60</f>
        <v>0</v>
      </c>
      <c r="K675" s="52">
        <f t="shared" si="146"/>
        <v>0</v>
      </c>
      <c r="L675" s="50">
        <f t="shared" si="147"/>
        <v>0</v>
      </c>
      <c r="M675" s="50">
        <f t="shared" si="148"/>
        <v>0</v>
      </c>
      <c r="N675" s="50">
        <f t="shared" si="149"/>
        <v>0</v>
      </c>
      <c r="O675" s="50">
        <f t="shared" si="150"/>
        <v>0</v>
      </c>
      <c r="P675" s="53" t="str">
        <f t="shared" si="151"/>
        <v>0*0*0</v>
      </c>
      <c r="Q675" s="54">
        <f>'Product info'!S60</f>
        <v>0</v>
      </c>
      <c r="R675" s="54">
        <f>'Product info'!T60</f>
        <v>0</v>
      </c>
      <c r="S675" s="54">
        <f>'Product info'!U60</f>
        <v>0</v>
      </c>
      <c r="T675" s="50">
        <f>'Product info'!R60</f>
        <v>0</v>
      </c>
      <c r="U675" s="52">
        <f t="shared" si="152"/>
        <v>0</v>
      </c>
      <c r="V675" s="50">
        <f t="shared" si="153"/>
        <v>0</v>
      </c>
      <c r="W675" s="50">
        <f t="shared" si="154"/>
        <v>0</v>
      </c>
      <c r="X675" s="50">
        <f t="shared" si="155"/>
        <v>0</v>
      </c>
      <c r="Y675" s="50">
        <f t="shared" si="156"/>
        <v>0</v>
      </c>
      <c r="Z675" t="e">
        <f t="shared" si="144"/>
        <v>#DIV/0!</v>
      </c>
    </row>
    <row r="676" spans="1:26" x14ac:dyDescent="0.4">
      <c r="A676">
        <f>'Product info'!A61</f>
        <v>0</v>
      </c>
      <c r="B676">
        <f>'Product info'!F61</f>
        <v>0</v>
      </c>
      <c r="C676" s="6">
        <f>'Product info'!G61</f>
        <v>0</v>
      </c>
      <c r="D676" s="6">
        <f>'Product info'!H61</f>
        <v>0</v>
      </c>
      <c r="E676" t="str">
        <f t="shared" si="145"/>
        <v>0*0*0</v>
      </c>
      <c r="F676" s="50">
        <f>'Product info'!O61</f>
        <v>0</v>
      </c>
      <c r="G676" s="50">
        <f>'Product info'!P61</f>
        <v>0</v>
      </c>
      <c r="H676" s="50">
        <f>'Product info'!Q61</f>
        <v>0</v>
      </c>
      <c r="I676" s="50">
        <f>'Product info'!N61</f>
        <v>0</v>
      </c>
      <c r="J676" s="51">
        <f>'Product info'!M61</f>
        <v>0</v>
      </c>
      <c r="K676" s="52">
        <f t="shared" si="146"/>
        <v>0</v>
      </c>
      <c r="L676" s="50">
        <f t="shared" si="147"/>
        <v>0</v>
      </c>
      <c r="M676" s="50">
        <f t="shared" si="148"/>
        <v>0</v>
      </c>
      <c r="N676" s="50">
        <f t="shared" si="149"/>
        <v>0</v>
      </c>
      <c r="O676" s="50">
        <f t="shared" si="150"/>
        <v>0</v>
      </c>
      <c r="P676" s="53" t="str">
        <f t="shared" si="151"/>
        <v>0*0*0</v>
      </c>
      <c r="Q676" s="54">
        <f>'Product info'!S61</f>
        <v>0</v>
      </c>
      <c r="R676" s="54">
        <f>'Product info'!T61</f>
        <v>0</v>
      </c>
      <c r="S676" s="54">
        <f>'Product info'!U61</f>
        <v>0</v>
      </c>
      <c r="T676" s="50">
        <f>'Product info'!R61</f>
        <v>0</v>
      </c>
      <c r="U676" s="52">
        <f t="shared" si="152"/>
        <v>0</v>
      </c>
      <c r="V676" s="50">
        <f t="shared" si="153"/>
        <v>0</v>
      </c>
      <c r="W676" s="50">
        <f t="shared" si="154"/>
        <v>0</v>
      </c>
      <c r="X676" s="50">
        <f t="shared" si="155"/>
        <v>0</v>
      </c>
      <c r="Y676" s="50">
        <f t="shared" si="156"/>
        <v>0</v>
      </c>
      <c r="Z676" t="e">
        <f t="shared" si="144"/>
        <v>#DIV/0!</v>
      </c>
    </row>
    <row r="677" spans="1:26" x14ac:dyDescent="0.4">
      <c r="A677">
        <f>'Product info'!A62</f>
        <v>0</v>
      </c>
      <c r="B677">
        <f>'Product info'!F62</f>
        <v>0</v>
      </c>
      <c r="C677" s="6">
        <f>'Product info'!G62</f>
        <v>0</v>
      </c>
      <c r="D677" s="6">
        <f>'Product info'!H62</f>
        <v>0</v>
      </c>
      <c r="E677" t="str">
        <f t="shared" si="145"/>
        <v>0*0*0</v>
      </c>
      <c r="F677" s="50">
        <f>'Product info'!O62</f>
        <v>0</v>
      </c>
      <c r="G677" s="50">
        <f>'Product info'!P62</f>
        <v>0</v>
      </c>
      <c r="H677" s="50">
        <f>'Product info'!Q62</f>
        <v>0</v>
      </c>
      <c r="I677" s="50">
        <f>'Product info'!N62</f>
        <v>0</v>
      </c>
      <c r="J677" s="51">
        <f>'Product info'!M62</f>
        <v>0</v>
      </c>
      <c r="K677" s="52">
        <f t="shared" si="146"/>
        <v>0</v>
      </c>
      <c r="L677" s="50">
        <f t="shared" si="147"/>
        <v>0</v>
      </c>
      <c r="M677" s="50">
        <f t="shared" si="148"/>
        <v>0</v>
      </c>
      <c r="N677" s="50">
        <f t="shared" si="149"/>
        <v>0</v>
      </c>
      <c r="O677" s="50">
        <f t="shared" si="150"/>
        <v>0</v>
      </c>
      <c r="P677" s="53" t="str">
        <f t="shared" si="151"/>
        <v>0*0*0</v>
      </c>
      <c r="Q677" s="54">
        <f>'Product info'!S62</f>
        <v>0</v>
      </c>
      <c r="R677" s="54">
        <f>'Product info'!T62</f>
        <v>0</v>
      </c>
      <c r="S677" s="54">
        <f>'Product info'!U62</f>
        <v>0</v>
      </c>
      <c r="T677" s="50">
        <f>'Product info'!R62</f>
        <v>0</v>
      </c>
      <c r="U677" s="52">
        <f t="shared" si="152"/>
        <v>0</v>
      </c>
      <c r="V677" s="50">
        <f t="shared" si="153"/>
        <v>0</v>
      </c>
      <c r="W677" s="50">
        <f t="shared" si="154"/>
        <v>0</v>
      </c>
      <c r="X677" s="50">
        <f t="shared" si="155"/>
        <v>0</v>
      </c>
      <c r="Y677" s="50">
        <f t="shared" si="156"/>
        <v>0</v>
      </c>
      <c r="Z677" t="e">
        <f t="shared" si="144"/>
        <v>#DIV/0!</v>
      </c>
    </row>
    <row r="678" spans="1:26" x14ac:dyDescent="0.4">
      <c r="A678">
        <f>'Product info'!A63</f>
        <v>0</v>
      </c>
      <c r="B678">
        <f>'Product info'!F63</f>
        <v>0</v>
      </c>
      <c r="C678" s="6">
        <f>'Product info'!G63</f>
        <v>0</v>
      </c>
      <c r="D678" s="6">
        <f>'Product info'!H63</f>
        <v>0</v>
      </c>
      <c r="E678" t="str">
        <f t="shared" si="145"/>
        <v>0*0*0</v>
      </c>
      <c r="F678" s="50">
        <f>'Product info'!O63</f>
        <v>0</v>
      </c>
      <c r="G678" s="50">
        <f>'Product info'!P63</f>
        <v>0</v>
      </c>
      <c r="H678" s="50">
        <f>'Product info'!Q63</f>
        <v>0</v>
      </c>
      <c r="I678" s="50">
        <f>'Product info'!N63</f>
        <v>0</v>
      </c>
      <c r="J678" s="51">
        <f>'Product info'!M63</f>
        <v>0</v>
      </c>
      <c r="K678" s="52">
        <f t="shared" si="146"/>
        <v>0</v>
      </c>
      <c r="L678" s="50">
        <f t="shared" si="147"/>
        <v>0</v>
      </c>
      <c r="M678" s="50">
        <f t="shared" si="148"/>
        <v>0</v>
      </c>
      <c r="N678" s="50">
        <f t="shared" si="149"/>
        <v>0</v>
      </c>
      <c r="O678" s="50">
        <f t="shared" si="150"/>
        <v>0</v>
      </c>
      <c r="P678" s="53" t="str">
        <f t="shared" si="151"/>
        <v>0*0*0</v>
      </c>
      <c r="Q678" s="54">
        <f>'Product info'!S63</f>
        <v>0</v>
      </c>
      <c r="R678" s="54">
        <f>'Product info'!T63</f>
        <v>0</v>
      </c>
      <c r="S678" s="54">
        <f>'Product info'!U63</f>
        <v>0</v>
      </c>
      <c r="T678" s="50">
        <f>'Product info'!R63</f>
        <v>0</v>
      </c>
      <c r="U678" s="52">
        <f t="shared" si="152"/>
        <v>0</v>
      </c>
      <c r="V678" s="50">
        <f t="shared" si="153"/>
        <v>0</v>
      </c>
      <c r="W678" s="50">
        <f t="shared" si="154"/>
        <v>0</v>
      </c>
      <c r="X678" s="50">
        <f t="shared" si="155"/>
        <v>0</v>
      </c>
      <c r="Y678" s="50">
        <f t="shared" si="156"/>
        <v>0</v>
      </c>
      <c r="Z678" t="e">
        <f t="shared" si="144"/>
        <v>#DIV/0!</v>
      </c>
    </row>
    <row r="679" spans="1:26" x14ac:dyDescent="0.4">
      <c r="A679">
        <f>'Product info'!A64</f>
        <v>0</v>
      </c>
      <c r="B679">
        <f>'Product info'!F64</f>
        <v>0</v>
      </c>
      <c r="C679" s="6">
        <f>'Product info'!G64</f>
        <v>0</v>
      </c>
      <c r="D679" s="6">
        <f>'Product info'!H64</f>
        <v>0</v>
      </c>
      <c r="E679" t="str">
        <f t="shared" si="145"/>
        <v>0*0*0</v>
      </c>
      <c r="F679" s="50">
        <f>'Product info'!O64</f>
        <v>0</v>
      </c>
      <c r="G679" s="50">
        <f>'Product info'!P64</f>
        <v>0</v>
      </c>
      <c r="H679" s="50">
        <f>'Product info'!Q64</f>
        <v>0</v>
      </c>
      <c r="I679" s="50">
        <f>'Product info'!N64</f>
        <v>0</v>
      </c>
      <c r="J679" s="51">
        <f>'Product info'!M64</f>
        <v>0</v>
      </c>
      <c r="K679" s="52">
        <f t="shared" si="146"/>
        <v>0</v>
      </c>
      <c r="L679" s="50">
        <f t="shared" si="147"/>
        <v>0</v>
      </c>
      <c r="M679" s="50">
        <f t="shared" si="148"/>
        <v>0</v>
      </c>
      <c r="N679" s="50">
        <f t="shared" si="149"/>
        <v>0</v>
      </c>
      <c r="O679" s="50">
        <f t="shared" si="150"/>
        <v>0</v>
      </c>
      <c r="P679" s="53" t="str">
        <f t="shared" si="151"/>
        <v>0*0*0</v>
      </c>
      <c r="Q679" s="54">
        <f>'Product info'!S64</f>
        <v>0</v>
      </c>
      <c r="R679" s="54">
        <f>'Product info'!T64</f>
        <v>0</v>
      </c>
      <c r="S679" s="54">
        <f>'Product info'!U64</f>
        <v>0</v>
      </c>
      <c r="T679" s="50">
        <f>'Product info'!R64</f>
        <v>0</v>
      </c>
      <c r="U679" s="52">
        <f t="shared" si="152"/>
        <v>0</v>
      </c>
      <c r="V679" s="50">
        <f t="shared" si="153"/>
        <v>0</v>
      </c>
      <c r="W679" s="50">
        <f t="shared" si="154"/>
        <v>0</v>
      </c>
      <c r="X679" s="50">
        <f t="shared" si="155"/>
        <v>0</v>
      </c>
      <c r="Y679" s="50">
        <f t="shared" si="156"/>
        <v>0</v>
      </c>
      <c r="Z679" t="e">
        <f t="shared" si="144"/>
        <v>#DIV/0!</v>
      </c>
    </row>
    <row r="680" spans="1:26" x14ac:dyDescent="0.4">
      <c r="A680">
        <f>'Product info'!A65</f>
        <v>0</v>
      </c>
      <c r="B680">
        <f>'Product info'!F65</f>
        <v>0</v>
      </c>
      <c r="C680" s="6">
        <f>'Product info'!G65</f>
        <v>0</v>
      </c>
      <c r="D680" s="6">
        <f>'Product info'!H65</f>
        <v>0</v>
      </c>
      <c r="E680" t="str">
        <f t="shared" si="145"/>
        <v>0*0*0</v>
      </c>
      <c r="F680" s="50">
        <f>'Product info'!O65</f>
        <v>0</v>
      </c>
      <c r="G680" s="50">
        <f>'Product info'!P65</f>
        <v>0</v>
      </c>
      <c r="H680" s="50">
        <f>'Product info'!Q65</f>
        <v>0</v>
      </c>
      <c r="I680" s="50">
        <f>'Product info'!N65</f>
        <v>0</v>
      </c>
      <c r="J680" s="51">
        <f>'Product info'!M65</f>
        <v>0</v>
      </c>
      <c r="K680" s="52">
        <f t="shared" si="146"/>
        <v>0</v>
      </c>
      <c r="L680" s="50">
        <f t="shared" si="147"/>
        <v>0</v>
      </c>
      <c r="M680" s="50">
        <f t="shared" si="148"/>
        <v>0</v>
      </c>
      <c r="N680" s="50">
        <f t="shared" si="149"/>
        <v>0</v>
      </c>
      <c r="O680" s="50">
        <f t="shared" si="150"/>
        <v>0</v>
      </c>
      <c r="P680" s="53" t="str">
        <f t="shared" si="151"/>
        <v>0*0*0</v>
      </c>
      <c r="Q680" s="54">
        <f>'Product info'!S65</f>
        <v>0</v>
      </c>
      <c r="R680" s="54">
        <f>'Product info'!T65</f>
        <v>0</v>
      </c>
      <c r="S680" s="54">
        <f>'Product info'!U65</f>
        <v>0</v>
      </c>
      <c r="T680" s="50">
        <f>'Product info'!R65</f>
        <v>0</v>
      </c>
      <c r="U680" s="52">
        <f t="shared" si="152"/>
        <v>0</v>
      </c>
      <c r="V680" s="50">
        <f t="shared" si="153"/>
        <v>0</v>
      </c>
      <c r="W680" s="50">
        <f t="shared" si="154"/>
        <v>0</v>
      </c>
      <c r="X680" s="50">
        <f t="shared" si="155"/>
        <v>0</v>
      </c>
      <c r="Y680" s="50">
        <f t="shared" si="156"/>
        <v>0</v>
      </c>
      <c r="Z680" t="e">
        <f t="shared" si="144"/>
        <v>#DIV/0!</v>
      </c>
    </row>
    <row r="681" spans="1:26" x14ac:dyDescent="0.4">
      <c r="A681">
        <f>'Product info'!A66</f>
        <v>0</v>
      </c>
      <c r="B681">
        <f>'Product info'!F66</f>
        <v>0</v>
      </c>
      <c r="C681" s="6">
        <f>'Product info'!G66</f>
        <v>0</v>
      </c>
      <c r="D681" s="6">
        <f>'Product info'!H66</f>
        <v>0</v>
      </c>
      <c r="E681" t="str">
        <f t="shared" si="145"/>
        <v>0*0*0</v>
      </c>
      <c r="F681" s="50">
        <f>'Product info'!O66</f>
        <v>0</v>
      </c>
      <c r="G681" s="50">
        <f>'Product info'!P66</f>
        <v>0</v>
      </c>
      <c r="H681" s="50">
        <f>'Product info'!Q66</f>
        <v>0</v>
      </c>
      <c r="I681" s="50">
        <f>'Product info'!N66</f>
        <v>0</v>
      </c>
      <c r="J681" s="51">
        <f>'Product info'!M66</f>
        <v>0</v>
      </c>
      <c r="K681" s="52">
        <f t="shared" si="146"/>
        <v>0</v>
      </c>
      <c r="L681" s="50">
        <f t="shared" si="147"/>
        <v>0</v>
      </c>
      <c r="M681" s="50">
        <f t="shared" si="148"/>
        <v>0</v>
      </c>
      <c r="N681" s="50">
        <f t="shared" si="149"/>
        <v>0</v>
      </c>
      <c r="O681" s="50">
        <f t="shared" si="150"/>
        <v>0</v>
      </c>
      <c r="P681" s="53" t="str">
        <f t="shared" si="151"/>
        <v>0*0*0</v>
      </c>
      <c r="Q681" s="54">
        <f>'Product info'!S66</f>
        <v>0</v>
      </c>
      <c r="R681" s="54">
        <f>'Product info'!T66</f>
        <v>0</v>
      </c>
      <c r="S681" s="54">
        <f>'Product info'!U66</f>
        <v>0</v>
      </c>
      <c r="T681" s="50">
        <f>'Product info'!R66</f>
        <v>0</v>
      </c>
      <c r="U681" s="52">
        <f t="shared" si="152"/>
        <v>0</v>
      </c>
      <c r="V681" s="50">
        <f t="shared" si="153"/>
        <v>0</v>
      </c>
      <c r="W681" s="50">
        <f t="shared" si="154"/>
        <v>0</v>
      </c>
      <c r="X681" s="50">
        <f t="shared" si="155"/>
        <v>0</v>
      </c>
      <c r="Y681" s="50">
        <f t="shared" si="156"/>
        <v>0</v>
      </c>
      <c r="Z681" t="e">
        <f t="shared" si="144"/>
        <v>#DIV/0!</v>
      </c>
    </row>
    <row r="682" spans="1:26" x14ac:dyDescent="0.4">
      <c r="A682">
        <f>'Product info'!A67</f>
        <v>0</v>
      </c>
      <c r="B682">
        <f>'Product info'!F67</f>
        <v>0</v>
      </c>
      <c r="C682" s="6">
        <f>'Product info'!G67</f>
        <v>0</v>
      </c>
      <c r="D682" s="6">
        <f>'Product info'!H67</f>
        <v>0</v>
      </c>
      <c r="E682" t="str">
        <f t="shared" si="145"/>
        <v>0*0*0</v>
      </c>
      <c r="F682" s="50">
        <f>'Product info'!O67</f>
        <v>0</v>
      </c>
      <c r="G682" s="50">
        <f>'Product info'!P67</f>
        <v>0</v>
      </c>
      <c r="H682" s="50">
        <f>'Product info'!Q67</f>
        <v>0</v>
      </c>
      <c r="I682" s="50">
        <f>'Product info'!N67</f>
        <v>0</v>
      </c>
      <c r="J682" s="51">
        <f>'Product info'!M67</f>
        <v>0</v>
      </c>
      <c r="K682" s="52">
        <f t="shared" si="146"/>
        <v>0</v>
      </c>
      <c r="L682" s="50">
        <f t="shared" si="147"/>
        <v>0</v>
      </c>
      <c r="M682" s="50">
        <f t="shared" si="148"/>
        <v>0</v>
      </c>
      <c r="N682" s="50">
        <f t="shared" si="149"/>
        <v>0</v>
      </c>
      <c r="O682" s="50">
        <f t="shared" si="150"/>
        <v>0</v>
      </c>
      <c r="P682" s="53" t="str">
        <f t="shared" si="151"/>
        <v>0*0*0</v>
      </c>
      <c r="Q682" s="54">
        <f>'Product info'!S67</f>
        <v>0</v>
      </c>
      <c r="R682" s="54">
        <f>'Product info'!T67</f>
        <v>0</v>
      </c>
      <c r="S682" s="54">
        <f>'Product info'!U67</f>
        <v>0</v>
      </c>
      <c r="T682" s="50">
        <f>'Product info'!R67</f>
        <v>0</v>
      </c>
      <c r="U682" s="52">
        <f t="shared" si="152"/>
        <v>0</v>
      </c>
      <c r="V682" s="50">
        <f t="shared" si="153"/>
        <v>0</v>
      </c>
      <c r="W682" s="50">
        <f t="shared" si="154"/>
        <v>0</v>
      </c>
      <c r="X682" s="50">
        <f t="shared" si="155"/>
        <v>0</v>
      </c>
      <c r="Y682" s="50">
        <f t="shared" si="156"/>
        <v>0</v>
      </c>
      <c r="Z682" t="e">
        <f t="shared" si="144"/>
        <v>#DIV/0!</v>
      </c>
    </row>
    <row r="683" spans="1:26" x14ac:dyDescent="0.4">
      <c r="A683">
        <f>'Product info'!A68</f>
        <v>0</v>
      </c>
      <c r="B683">
        <f>'Product info'!F68</f>
        <v>0</v>
      </c>
      <c r="C683" s="6">
        <f>'Product info'!G68</f>
        <v>0</v>
      </c>
      <c r="D683" s="6">
        <f>'Product info'!H68</f>
        <v>0</v>
      </c>
      <c r="E683" t="str">
        <f t="shared" si="145"/>
        <v>0*0*0</v>
      </c>
      <c r="F683" s="50">
        <f>'Product info'!O68</f>
        <v>0</v>
      </c>
      <c r="G683" s="50">
        <f>'Product info'!P68</f>
        <v>0</v>
      </c>
      <c r="H683" s="50">
        <f>'Product info'!Q68</f>
        <v>0</v>
      </c>
      <c r="I683" s="50">
        <f>'Product info'!N68</f>
        <v>0</v>
      </c>
      <c r="J683" s="51">
        <f>'Product info'!M68</f>
        <v>0</v>
      </c>
      <c r="K683" s="52">
        <f t="shared" si="146"/>
        <v>0</v>
      </c>
      <c r="L683" s="50">
        <f t="shared" si="147"/>
        <v>0</v>
      </c>
      <c r="M683" s="50">
        <f t="shared" si="148"/>
        <v>0</v>
      </c>
      <c r="N683" s="50">
        <f t="shared" si="149"/>
        <v>0</v>
      </c>
      <c r="O683" s="50">
        <f t="shared" si="150"/>
        <v>0</v>
      </c>
      <c r="P683" s="53" t="str">
        <f t="shared" si="151"/>
        <v>0*0*0</v>
      </c>
      <c r="Q683" s="54">
        <f>'Product info'!S68</f>
        <v>0</v>
      </c>
      <c r="R683" s="54">
        <f>'Product info'!T68</f>
        <v>0</v>
      </c>
      <c r="S683" s="54">
        <f>'Product info'!U68</f>
        <v>0</v>
      </c>
      <c r="T683" s="50">
        <f>'Product info'!R68</f>
        <v>0</v>
      </c>
      <c r="U683" s="52">
        <f t="shared" si="152"/>
        <v>0</v>
      </c>
      <c r="V683" s="50">
        <f t="shared" si="153"/>
        <v>0</v>
      </c>
      <c r="W683" s="50">
        <f t="shared" si="154"/>
        <v>0</v>
      </c>
      <c r="X683" s="50">
        <f t="shared" si="155"/>
        <v>0</v>
      </c>
      <c r="Y683" s="50">
        <f t="shared" si="156"/>
        <v>0</v>
      </c>
      <c r="Z683" t="e">
        <f t="shared" si="144"/>
        <v>#DIV/0!</v>
      </c>
    </row>
    <row r="684" spans="1:26" x14ac:dyDescent="0.4">
      <c r="A684">
        <f>'Product info'!A69</f>
        <v>0</v>
      </c>
      <c r="B684">
        <f>'Product info'!F69</f>
        <v>0</v>
      </c>
      <c r="C684" s="6">
        <f>'Product info'!G69</f>
        <v>0</v>
      </c>
      <c r="D684" s="6">
        <f>'Product info'!H69</f>
        <v>0</v>
      </c>
      <c r="E684" t="str">
        <f t="shared" si="145"/>
        <v>0*0*0</v>
      </c>
      <c r="F684" s="50">
        <f>'Product info'!O69</f>
        <v>0</v>
      </c>
      <c r="G684" s="50">
        <f>'Product info'!P69</f>
        <v>0</v>
      </c>
      <c r="H684" s="50">
        <f>'Product info'!Q69</f>
        <v>0</v>
      </c>
      <c r="I684" s="50">
        <f>'Product info'!N69</f>
        <v>0</v>
      </c>
      <c r="J684" s="51">
        <f>'Product info'!M69</f>
        <v>0</v>
      </c>
      <c r="K684" s="52">
        <f t="shared" si="146"/>
        <v>0</v>
      </c>
      <c r="L684" s="50">
        <f t="shared" si="147"/>
        <v>0</v>
      </c>
      <c r="M684" s="50">
        <f t="shared" si="148"/>
        <v>0</v>
      </c>
      <c r="N684" s="50">
        <f t="shared" si="149"/>
        <v>0</v>
      </c>
      <c r="O684" s="50">
        <f t="shared" si="150"/>
        <v>0</v>
      </c>
      <c r="P684" s="53" t="str">
        <f t="shared" si="151"/>
        <v>0*0*0</v>
      </c>
      <c r="Q684" s="54">
        <f>'Product info'!S69</f>
        <v>0</v>
      </c>
      <c r="R684" s="54">
        <f>'Product info'!T69</f>
        <v>0</v>
      </c>
      <c r="S684" s="54">
        <f>'Product info'!U69</f>
        <v>0</v>
      </c>
      <c r="T684" s="50">
        <f>'Product info'!R69</f>
        <v>0</v>
      </c>
      <c r="U684" s="52">
        <f t="shared" si="152"/>
        <v>0</v>
      </c>
      <c r="V684" s="50">
        <f t="shared" si="153"/>
        <v>0</v>
      </c>
      <c r="W684" s="50">
        <f t="shared" si="154"/>
        <v>0</v>
      </c>
      <c r="X684" s="50">
        <f t="shared" si="155"/>
        <v>0</v>
      </c>
      <c r="Y684" s="50">
        <f t="shared" si="156"/>
        <v>0</v>
      </c>
      <c r="Z684" t="e">
        <f t="shared" si="144"/>
        <v>#DIV/0!</v>
      </c>
    </row>
    <row r="685" spans="1:26" x14ac:dyDescent="0.4">
      <c r="A685">
        <f>'Product info'!A70</f>
        <v>0</v>
      </c>
      <c r="B685">
        <f>'Product info'!F70</f>
        <v>0</v>
      </c>
      <c r="C685" s="6">
        <f>'Product info'!G70</f>
        <v>0</v>
      </c>
      <c r="D685" s="6">
        <f>'Product info'!H70</f>
        <v>0</v>
      </c>
      <c r="E685" t="str">
        <f t="shared" si="145"/>
        <v>0*0*0</v>
      </c>
      <c r="F685" s="50">
        <f>'Product info'!O70</f>
        <v>0</v>
      </c>
      <c r="G685" s="50">
        <f>'Product info'!P70</f>
        <v>0</v>
      </c>
      <c r="H685" s="50">
        <f>'Product info'!Q70</f>
        <v>0</v>
      </c>
      <c r="I685" s="50">
        <f>'Product info'!N70</f>
        <v>0</v>
      </c>
      <c r="J685" s="51">
        <f>'Product info'!M70</f>
        <v>0</v>
      </c>
      <c r="K685" s="52">
        <f t="shared" si="146"/>
        <v>0</v>
      </c>
      <c r="L685" s="50">
        <f t="shared" si="147"/>
        <v>0</v>
      </c>
      <c r="M685" s="50">
        <f t="shared" si="148"/>
        <v>0</v>
      </c>
      <c r="N685" s="50">
        <f t="shared" si="149"/>
        <v>0</v>
      </c>
      <c r="O685" s="50">
        <f t="shared" si="150"/>
        <v>0</v>
      </c>
      <c r="P685" s="53" t="str">
        <f t="shared" si="151"/>
        <v>0*0*0</v>
      </c>
      <c r="Q685" s="54">
        <f>'Product info'!S70</f>
        <v>0</v>
      </c>
      <c r="R685" s="54">
        <f>'Product info'!T70</f>
        <v>0</v>
      </c>
      <c r="S685" s="54">
        <f>'Product info'!U70</f>
        <v>0</v>
      </c>
      <c r="T685" s="50">
        <f>'Product info'!R70</f>
        <v>0</v>
      </c>
      <c r="U685" s="52">
        <f t="shared" si="152"/>
        <v>0</v>
      </c>
      <c r="V685" s="50">
        <f t="shared" si="153"/>
        <v>0</v>
      </c>
      <c r="W685" s="50">
        <f t="shared" si="154"/>
        <v>0</v>
      </c>
      <c r="X685" s="50">
        <f t="shared" si="155"/>
        <v>0</v>
      </c>
      <c r="Y685" s="50">
        <f t="shared" si="156"/>
        <v>0</v>
      </c>
      <c r="Z685" t="e">
        <f t="shared" si="144"/>
        <v>#DIV/0!</v>
      </c>
    </row>
    <row r="686" spans="1:26" x14ac:dyDescent="0.4">
      <c r="A686">
        <f>'Product info'!A71</f>
        <v>0</v>
      </c>
      <c r="B686">
        <f>'Product info'!F71</f>
        <v>0</v>
      </c>
      <c r="C686" s="6">
        <f>'Product info'!G71</f>
        <v>0</v>
      </c>
      <c r="D686" s="6">
        <f>'Product info'!H71</f>
        <v>0</v>
      </c>
      <c r="E686" t="str">
        <f t="shared" si="145"/>
        <v>0*0*0</v>
      </c>
      <c r="F686" s="50">
        <f>'Product info'!O71</f>
        <v>0</v>
      </c>
      <c r="G686" s="50">
        <f>'Product info'!P71</f>
        <v>0</v>
      </c>
      <c r="H686" s="50">
        <f>'Product info'!Q71</f>
        <v>0</v>
      </c>
      <c r="I686" s="50">
        <f>'Product info'!N71</f>
        <v>0</v>
      </c>
      <c r="J686" s="51">
        <f>'Product info'!M71</f>
        <v>0</v>
      </c>
      <c r="K686" s="52">
        <f t="shared" si="146"/>
        <v>0</v>
      </c>
      <c r="L686" s="50">
        <f t="shared" si="147"/>
        <v>0</v>
      </c>
      <c r="M686" s="50">
        <f t="shared" si="148"/>
        <v>0</v>
      </c>
      <c r="N686" s="50">
        <f t="shared" si="149"/>
        <v>0</v>
      </c>
      <c r="O686" s="50">
        <f t="shared" si="150"/>
        <v>0</v>
      </c>
      <c r="P686" s="53" t="str">
        <f t="shared" si="151"/>
        <v>0*0*0</v>
      </c>
      <c r="Q686" s="54">
        <f>'Product info'!S71</f>
        <v>0</v>
      </c>
      <c r="R686" s="54">
        <f>'Product info'!T71</f>
        <v>0</v>
      </c>
      <c r="S686" s="54">
        <f>'Product info'!U71</f>
        <v>0</v>
      </c>
      <c r="T686" s="50">
        <f>'Product info'!R71</f>
        <v>0</v>
      </c>
      <c r="U686" s="52">
        <f t="shared" si="152"/>
        <v>0</v>
      </c>
      <c r="V686" s="50">
        <f t="shared" si="153"/>
        <v>0</v>
      </c>
      <c r="W686" s="50">
        <f t="shared" si="154"/>
        <v>0</v>
      </c>
      <c r="X686" s="50">
        <f t="shared" si="155"/>
        <v>0</v>
      </c>
      <c r="Y686" s="50">
        <f t="shared" si="156"/>
        <v>0</v>
      </c>
      <c r="Z686" t="e">
        <f t="shared" si="144"/>
        <v>#DIV/0!</v>
      </c>
    </row>
    <row r="687" spans="1:26" x14ac:dyDescent="0.4">
      <c r="A687">
        <f>'Product info'!A72</f>
        <v>0</v>
      </c>
      <c r="B687">
        <f>'Product info'!F72</f>
        <v>0</v>
      </c>
      <c r="C687" s="6">
        <f>'Product info'!G72</f>
        <v>0</v>
      </c>
      <c r="D687" s="6">
        <f>'Product info'!H72</f>
        <v>0</v>
      </c>
      <c r="E687" t="str">
        <f t="shared" si="145"/>
        <v>0*0*0</v>
      </c>
      <c r="F687" s="50">
        <f>'Product info'!O72</f>
        <v>0</v>
      </c>
      <c r="G687" s="50">
        <f>'Product info'!P72</f>
        <v>0</v>
      </c>
      <c r="H687" s="50">
        <f>'Product info'!Q72</f>
        <v>0</v>
      </c>
      <c r="I687" s="50">
        <f>'Product info'!N72</f>
        <v>0</v>
      </c>
      <c r="J687" s="51">
        <f>'Product info'!M72</f>
        <v>0</v>
      </c>
      <c r="K687" s="52">
        <f t="shared" si="146"/>
        <v>0</v>
      </c>
      <c r="L687" s="50">
        <f t="shared" si="147"/>
        <v>0</v>
      </c>
      <c r="M687" s="50">
        <f t="shared" si="148"/>
        <v>0</v>
      </c>
      <c r="N687" s="50">
        <f t="shared" si="149"/>
        <v>0</v>
      </c>
      <c r="O687" s="50">
        <f t="shared" si="150"/>
        <v>0</v>
      </c>
      <c r="P687" s="53" t="str">
        <f t="shared" si="151"/>
        <v>0*0*0</v>
      </c>
      <c r="Q687" s="54">
        <f>'Product info'!S72</f>
        <v>0</v>
      </c>
      <c r="R687" s="54">
        <f>'Product info'!T72</f>
        <v>0</v>
      </c>
      <c r="S687" s="54">
        <f>'Product info'!U72</f>
        <v>0</v>
      </c>
      <c r="T687" s="50">
        <f>'Product info'!R72</f>
        <v>0</v>
      </c>
      <c r="U687" s="52">
        <f t="shared" si="152"/>
        <v>0</v>
      </c>
      <c r="V687" s="50">
        <f t="shared" si="153"/>
        <v>0</v>
      </c>
      <c r="W687" s="50">
        <f t="shared" si="154"/>
        <v>0</v>
      </c>
      <c r="X687" s="50">
        <f t="shared" si="155"/>
        <v>0</v>
      </c>
      <c r="Y687" s="50">
        <f t="shared" si="156"/>
        <v>0</v>
      </c>
      <c r="Z687" t="e">
        <f t="shared" si="144"/>
        <v>#DIV/0!</v>
      </c>
    </row>
    <row r="688" spans="1:26" x14ac:dyDescent="0.4">
      <c r="A688">
        <f>'Product info'!A73</f>
        <v>0</v>
      </c>
      <c r="B688">
        <f>'Product info'!F73</f>
        <v>0</v>
      </c>
      <c r="C688" s="6">
        <f>'Product info'!G73</f>
        <v>0</v>
      </c>
      <c r="D688" s="6">
        <f>'Product info'!H73</f>
        <v>0</v>
      </c>
      <c r="E688" t="str">
        <f t="shared" si="145"/>
        <v>0*0*0</v>
      </c>
      <c r="F688" s="50">
        <f>'Product info'!O73</f>
        <v>0</v>
      </c>
      <c r="G688" s="50">
        <f>'Product info'!P73</f>
        <v>0</v>
      </c>
      <c r="H688" s="50">
        <f>'Product info'!Q73</f>
        <v>0</v>
      </c>
      <c r="I688" s="50">
        <f>'Product info'!N73</f>
        <v>0</v>
      </c>
      <c r="J688" s="51">
        <f>'Product info'!M73</f>
        <v>0</v>
      </c>
      <c r="K688" s="52">
        <f t="shared" si="146"/>
        <v>0</v>
      </c>
      <c r="L688" s="50">
        <f t="shared" si="147"/>
        <v>0</v>
      </c>
      <c r="M688" s="50">
        <f t="shared" si="148"/>
        <v>0</v>
      </c>
      <c r="N688" s="50">
        <f t="shared" si="149"/>
        <v>0</v>
      </c>
      <c r="O688" s="50">
        <f t="shared" si="150"/>
        <v>0</v>
      </c>
      <c r="P688" s="53" t="str">
        <f t="shared" si="151"/>
        <v>0*0*0</v>
      </c>
      <c r="Q688" s="54">
        <f>'Product info'!S73</f>
        <v>0</v>
      </c>
      <c r="R688" s="54">
        <f>'Product info'!T73</f>
        <v>0</v>
      </c>
      <c r="S688" s="54">
        <f>'Product info'!U73</f>
        <v>0</v>
      </c>
      <c r="T688" s="50">
        <f>'Product info'!R73</f>
        <v>0</v>
      </c>
      <c r="U688" s="52">
        <f t="shared" si="152"/>
        <v>0</v>
      </c>
      <c r="V688" s="50">
        <f t="shared" si="153"/>
        <v>0</v>
      </c>
      <c r="W688" s="50">
        <f t="shared" si="154"/>
        <v>0</v>
      </c>
      <c r="X688" s="50">
        <f t="shared" si="155"/>
        <v>0</v>
      </c>
      <c r="Y688" s="50">
        <f t="shared" si="156"/>
        <v>0</v>
      </c>
      <c r="Z688" t="e">
        <f t="shared" si="144"/>
        <v>#DIV/0!</v>
      </c>
    </row>
    <row r="689" spans="1:26" x14ac:dyDescent="0.4">
      <c r="A689">
        <f>'Product info'!A74</f>
        <v>0</v>
      </c>
      <c r="B689">
        <f>'Product info'!F74</f>
        <v>0</v>
      </c>
      <c r="C689" s="6">
        <f>'Product info'!G74</f>
        <v>0</v>
      </c>
      <c r="D689" s="6">
        <f>'Product info'!H74</f>
        <v>0</v>
      </c>
      <c r="E689" t="str">
        <f t="shared" si="145"/>
        <v>0*0*0</v>
      </c>
      <c r="F689" s="50">
        <f>'Product info'!O74</f>
        <v>0</v>
      </c>
      <c r="G689" s="50">
        <f>'Product info'!P74</f>
        <v>0</v>
      </c>
      <c r="H689" s="50">
        <f>'Product info'!Q74</f>
        <v>0</v>
      </c>
      <c r="I689" s="50">
        <f>'Product info'!N74</f>
        <v>0</v>
      </c>
      <c r="J689" s="51">
        <f>'Product info'!M74</f>
        <v>0</v>
      </c>
      <c r="K689" s="52">
        <f t="shared" si="146"/>
        <v>0</v>
      </c>
      <c r="L689" s="50">
        <f t="shared" si="147"/>
        <v>0</v>
      </c>
      <c r="M689" s="50">
        <f t="shared" si="148"/>
        <v>0</v>
      </c>
      <c r="N689" s="50">
        <f t="shared" si="149"/>
        <v>0</v>
      </c>
      <c r="O689" s="50">
        <f t="shared" si="150"/>
        <v>0</v>
      </c>
      <c r="P689" s="53" t="str">
        <f t="shared" si="151"/>
        <v>0*0*0</v>
      </c>
      <c r="Q689" s="54">
        <f>'Product info'!S74</f>
        <v>0</v>
      </c>
      <c r="R689" s="54">
        <f>'Product info'!T74</f>
        <v>0</v>
      </c>
      <c r="S689" s="54">
        <f>'Product info'!U74</f>
        <v>0</v>
      </c>
      <c r="T689" s="50">
        <f>'Product info'!R74</f>
        <v>0</v>
      </c>
      <c r="U689" s="52">
        <f t="shared" si="152"/>
        <v>0</v>
      </c>
      <c r="V689" s="50">
        <f t="shared" si="153"/>
        <v>0</v>
      </c>
      <c r="W689" s="50">
        <f t="shared" si="154"/>
        <v>0</v>
      </c>
      <c r="X689" s="50">
        <f t="shared" si="155"/>
        <v>0</v>
      </c>
      <c r="Y689" s="50">
        <f t="shared" si="156"/>
        <v>0</v>
      </c>
      <c r="Z689" t="e">
        <f t="shared" si="144"/>
        <v>#DIV/0!</v>
      </c>
    </row>
    <row r="690" spans="1:26" x14ac:dyDescent="0.4">
      <c r="A690">
        <f>'Product info'!A75</f>
        <v>0</v>
      </c>
      <c r="B690">
        <f>'Product info'!F75</f>
        <v>0</v>
      </c>
      <c r="C690" s="6">
        <f>'Product info'!G75</f>
        <v>0</v>
      </c>
      <c r="D690" s="6">
        <f>'Product info'!H75</f>
        <v>0</v>
      </c>
      <c r="E690" t="str">
        <f t="shared" si="145"/>
        <v>0*0*0</v>
      </c>
      <c r="F690" s="50">
        <f>'Product info'!O75</f>
        <v>0</v>
      </c>
      <c r="G690" s="50">
        <f>'Product info'!P75</f>
        <v>0</v>
      </c>
      <c r="H690" s="50">
        <f>'Product info'!Q75</f>
        <v>0</v>
      </c>
      <c r="I690" s="50">
        <f>'Product info'!N75</f>
        <v>0</v>
      </c>
      <c r="J690" s="51">
        <f>'Product info'!M75</f>
        <v>0</v>
      </c>
      <c r="K690" s="52">
        <f t="shared" si="146"/>
        <v>0</v>
      </c>
      <c r="L690" s="50">
        <f t="shared" si="147"/>
        <v>0</v>
      </c>
      <c r="M690" s="50">
        <f t="shared" si="148"/>
        <v>0</v>
      </c>
      <c r="N690" s="50">
        <f t="shared" si="149"/>
        <v>0</v>
      </c>
      <c r="O690" s="50">
        <f t="shared" si="150"/>
        <v>0</v>
      </c>
      <c r="P690" s="53" t="str">
        <f t="shared" si="151"/>
        <v>0*0*0</v>
      </c>
      <c r="Q690" s="54">
        <f>'Product info'!S75</f>
        <v>0</v>
      </c>
      <c r="R690" s="54">
        <f>'Product info'!T75</f>
        <v>0</v>
      </c>
      <c r="S690" s="54">
        <f>'Product info'!U75</f>
        <v>0</v>
      </c>
      <c r="T690" s="50">
        <f>'Product info'!R75</f>
        <v>0</v>
      </c>
      <c r="U690" s="52">
        <f t="shared" si="152"/>
        <v>0</v>
      </c>
      <c r="V690" s="50">
        <f t="shared" si="153"/>
        <v>0</v>
      </c>
      <c r="W690" s="50">
        <f t="shared" si="154"/>
        <v>0</v>
      </c>
      <c r="X690" s="50">
        <f t="shared" si="155"/>
        <v>0</v>
      </c>
      <c r="Y690" s="50">
        <f t="shared" si="156"/>
        <v>0</v>
      </c>
      <c r="Z690" t="e">
        <f t="shared" si="144"/>
        <v>#DIV/0!</v>
      </c>
    </row>
    <row r="691" spans="1:26" x14ac:dyDescent="0.4">
      <c r="A691">
        <f>'Product info'!A76</f>
        <v>0</v>
      </c>
      <c r="B691">
        <f>'Product info'!F76</f>
        <v>0</v>
      </c>
      <c r="C691" s="6">
        <f>'Product info'!G76</f>
        <v>0</v>
      </c>
      <c r="D691" s="6">
        <f>'Product info'!H76</f>
        <v>0</v>
      </c>
      <c r="E691" t="str">
        <f t="shared" si="145"/>
        <v>0*0*0</v>
      </c>
      <c r="F691" s="50">
        <f>'Product info'!O76</f>
        <v>0</v>
      </c>
      <c r="G691" s="50">
        <f>'Product info'!P76</f>
        <v>0</v>
      </c>
      <c r="H691" s="50">
        <f>'Product info'!Q76</f>
        <v>0</v>
      </c>
      <c r="I691" s="50">
        <f>'Product info'!N76</f>
        <v>0</v>
      </c>
      <c r="J691" s="51">
        <f>'Product info'!M76</f>
        <v>0</v>
      </c>
      <c r="K691" s="52">
        <f t="shared" si="146"/>
        <v>0</v>
      </c>
      <c r="L691" s="50">
        <f t="shared" si="147"/>
        <v>0</v>
      </c>
      <c r="M691" s="50">
        <f t="shared" si="148"/>
        <v>0</v>
      </c>
      <c r="N691" s="50">
        <f t="shared" si="149"/>
        <v>0</v>
      </c>
      <c r="O691" s="50">
        <f t="shared" si="150"/>
        <v>0</v>
      </c>
      <c r="P691" s="53" t="str">
        <f t="shared" si="151"/>
        <v>0*0*0</v>
      </c>
      <c r="Q691" s="54">
        <f>'Product info'!S76</f>
        <v>0</v>
      </c>
      <c r="R691" s="54">
        <f>'Product info'!T76</f>
        <v>0</v>
      </c>
      <c r="S691" s="54">
        <f>'Product info'!U76</f>
        <v>0</v>
      </c>
      <c r="T691" s="50">
        <f>'Product info'!R76</f>
        <v>0</v>
      </c>
      <c r="U691" s="52">
        <f t="shared" si="152"/>
        <v>0</v>
      </c>
      <c r="V691" s="50">
        <f t="shared" si="153"/>
        <v>0</v>
      </c>
      <c r="W691" s="50">
        <f t="shared" si="154"/>
        <v>0</v>
      </c>
      <c r="X691" s="50">
        <f t="shared" si="155"/>
        <v>0</v>
      </c>
      <c r="Y691" s="50">
        <f t="shared" si="156"/>
        <v>0</v>
      </c>
      <c r="Z691" t="e">
        <f t="shared" si="144"/>
        <v>#DIV/0!</v>
      </c>
    </row>
    <row r="692" spans="1:26" x14ac:dyDescent="0.4">
      <c r="A692">
        <f>'Product info'!A77</f>
        <v>0</v>
      </c>
      <c r="B692">
        <f>'Product info'!F77</f>
        <v>0</v>
      </c>
      <c r="C692" s="6">
        <f>'Product info'!G77</f>
        <v>0</v>
      </c>
      <c r="D692" s="6">
        <f>'Product info'!H77</f>
        <v>0</v>
      </c>
      <c r="E692" t="str">
        <f t="shared" si="145"/>
        <v>0*0*0</v>
      </c>
      <c r="F692" s="50">
        <f>'Product info'!O77</f>
        <v>0</v>
      </c>
      <c r="G692" s="50">
        <f>'Product info'!P77</f>
        <v>0</v>
      </c>
      <c r="H692" s="50">
        <f>'Product info'!Q77</f>
        <v>0</v>
      </c>
      <c r="I692" s="50">
        <f>'Product info'!N77</f>
        <v>0</v>
      </c>
      <c r="J692" s="51">
        <f>'Product info'!M77</f>
        <v>0</v>
      </c>
      <c r="K692" s="52">
        <f t="shared" si="146"/>
        <v>0</v>
      </c>
      <c r="L692" s="50">
        <f t="shared" si="147"/>
        <v>0</v>
      </c>
      <c r="M692" s="50">
        <f t="shared" si="148"/>
        <v>0</v>
      </c>
      <c r="N692" s="50">
        <f t="shared" si="149"/>
        <v>0</v>
      </c>
      <c r="O692" s="50">
        <f t="shared" si="150"/>
        <v>0</v>
      </c>
      <c r="P692" s="53" t="str">
        <f t="shared" si="151"/>
        <v>0*0*0</v>
      </c>
      <c r="Q692" s="54">
        <f>'Product info'!S77</f>
        <v>0</v>
      </c>
      <c r="R692" s="54">
        <f>'Product info'!T77</f>
        <v>0</v>
      </c>
      <c r="S692" s="54">
        <f>'Product info'!U77</f>
        <v>0</v>
      </c>
      <c r="T692" s="50">
        <f>'Product info'!R77</f>
        <v>0</v>
      </c>
      <c r="U692" s="52">
        <f t="shared" si="152"/>
        <v>0</v>
      </c>
      <c r="V692" s="50">
        <f t="shared" si="153"/>
        <v>0</v>
      </c>
      <c r="W692" s="50">
        <f t="shared" si="154"/>
        <v>0</v>
      </c>
      <c r="X692" s="50">
        <f t="shared" si="155"/>
        <v>0</v>
      </c>
      <c r="Y692" s="50">
        <f t="shared" si="156"/>
        <v>0</v>
      </c>
      <c r="Z692" t="e">
        <f t="shared" si="144"/>
        <v>#DIV/0!</v>
      </c>
    </row>
    <row r="693" spans="1:26" x14ac:dyDescent="0.4">
      <c r="A693">
        <f>'Product info'!A78</f>
        <v>0</v>
      </c>
      <c r="B693">
        <f>'Product info'!F78</f>
        <v>0</v>
      </c>
      <c r="C693" s="6">
        <f>'Product info'!G78</f>
        <v>0</v>
      </c>
      <c r="D693" s="6">
        <f>'Product info'!H78</f>
        <v>0</v>
      </c>
      <c r="E693" t="str">
        <f t="shared" si="145"/>
        <v>0*0*0</v>
      </c>
      <c r="F693" s="50">
        <f>'Product info'!O78</f>
        <v>0</v>
      </c>
      <c r="G693" s="50">
        <f>'Product info'!P78</f>
        <v>0</v>
      </c>
      <c r="H693" s="50">
        <f>'Product info'!Q78</f>
        <v>0</v>
      </c>
      <c r="I693" s="50">
        <f>'Product info'!N78</f>
        <v>0</v>
      </c>
      <c r="J693" s="51">
        <f>'Product info'!M78</f>
        <v>0</v>
      </c>
      <c r="K693" s="52">
        <f t="shared" si="146"/>
        <v>0</v>
      </c>
      <c r="L693" s="50">
        <f t="shared" si="147"/>
        <v>0</v>
      </c>
      <c r="M693" s="50">
        <f t="shared" si="148"/>
        <v>0</v>
      </c>
      <c r="N693" s="50">
        <f t="shared" si="149"/>
        <v>0</v>
      </c>
      <c r="O693" s="50">
        <f t="shared" si="150"/>
        <v>0</v>
      </c>
      <c r="P693" s="53" t="str">
        <f t="shared" si="151"/>
        <v>0*0*0</v>
      </c>
      <c r="Q693" s="54">
        <f>'Product info'!S78</f>
        <v>0</v>
      </c>
      <c r="R693" s="54">
        <f>'Product info'!T78</f>
        <v>0</v>
      </c>
      <c r="S693" s="54">
        <f>'Product info'!U78</f>
        <v>0</v>
      </c>
      <c r="T693" s="50">
        <f>'Product info'!R78</f>
        <v>0</v>
      </c>
      <c r="U693" s="52">
        <f t="shared" si="152"/>
        <v>0</v>
      </c>
      <c r="V693" s="50">
        <f t="shared" si="153"/>
        <v>0</v>
      </c>
      <c r="W693" s="50">
        <f t="shared" si="154"/>
        <v>0</v>
      </c>
      <c r="X693" s="50">
        <f t="shared" si="155"/>
        <v>0</v>
      </c>
      <c r="Y693" s="50">
        <f t="shared" si="156"/>
        <v>0</v>
      </c>
      <c r="Z693" t="e">
        <f t="shared" si="144"/>
        <v>#DIV/0!</v>
      </c>
    </row>
    <row r="694" spans="1:26" x14ac:dyDescent="0.4">
      <c r="A694">
        <f>'Product info'!A79</f>
        <v>0</v>
      </c>
      <c r="B694">
        <f>'Product info'!F79</f>
        <v>0</v>
      </c>
      <c r="C694" s="6">
        <f>'Product info'!G79</f>
        <v>0</v>
      </c>
      <c r="D694" s="6">
        <f>'Product info'!H79</f>
        <v>0</v>
      </c>
      <c r="E694" t="str">
        <f t="shared" si="145"/>
        <v>0*0*0</v>
      </c>
      <c r="F694" s="50">
        <f>'Product info'!O79</f>
        <v>0</v>
      </c>
      <c r="G694" s="50">
        <f>'Product info'!P79</f>
        <v>0</v>
      </c>
      <c r="H694" s="50">
        <f>'Product info'!Q79</f>
        <v>0</v>
      </c>
      <c r="I694" s="50">
        <f>'Product info'!N79</f>
        <v>0</v>
      </c>
      <c r="J694" s="51">
        <f>'Product info'!M79</f>
        <v>0</v>
      </c>
      <c r="K694" s="52">
        <f t="shared" si="146"/>
        <v>0</v>
      </c>
      <c r="L694" s="50">
        <f t="shared" si="147"/>
        <v>0</v>
      </c>
      <c r="M694" s="50">
        <f t="shared" si="148"/>
        <v>0</v>
      </c>
      <c r="N694" s="50">
        <f t="shared" si="149"/>
        <v>0</v>
      </c>
      <c r="O694" s="50">
        <f t="shared" si="150"/>
        <v>0</v>
      </c>
      <c r="P694" s="53" t="str">
        <f t="shared" si="151"/>
        <v>0*0*0</v>
      </c>
      <c r="Q694" s="54">
        <f>'Product info'!S79</f>
        <v>0</v>
      </c>
      <c r="R694" s="54">
        <f>'Product info'!T79</f>
        <v>0</v>
      </c>
      <c r="S694" s="54">
        <f>'Product info'!U79</f>
        <v>0</v>
      </c>
      <c r="T694" s="50">
        <f>'Product info'!R79</f>
        <v>0</v>
      </c>
      <c r="U694" s="52">
        <f t="shared" si="152"/>
        <v>0</v>
      </c>
      <c r="V694" s="50">
        <f t="shared" si="153"/>
        <v>0</v>
      </c>
      <c r="W694" s="50">
        <f t="shared" si="154"/>
        <v>0</v>
      </c>
      <c r="X694" s="50">
        <f t="shared" si="155"/>
        <v>0</v>
      </c>
      <c r="Y694" s="50">
        <f t="shared" si="156"/>
        <v>0</v>
      </c>
      <c r="Z694" t="e">
        <f t="shared" si="144"/>
        <v>#DIV/0!</v>
      </c>
    </row>
    <row r="695" spans="1:26" x14ac:dyDescent="0.4">
      <c r="A695">
        <f>'Product info'!A80</f>
        <v>0</v>
      </c>
      <c r="B695">
        <f>'Product info'!F80</f>
        <v>0</v>
      </c>
      <c r="C695" s="6">
        <f>'Product info'!G80</f>
        <v>0</v>
      </c>
      <c r="D695" s="6">
        <f>'Product info'!H80</f>
        <v>0</v>
      </c>
      <c r="E695" t="str">
        <f t="shared" si="145"/>
        <v>0*0*0</v>
      </c>
      <c r="F695" s="50">
        <f>'Product info'!O80</f>
        <v>0</v>
      </c>
      <c r="G695" s="50">
        <f>'Product info'!P80</f>
        <v>0</v>
      </c>
      <c r="H695" s="50">
        <f>'Product info'!Q80</f>
        <v>0</v>
      </c>
      <c r="I695" s="50">
        <f>'Product info'!N80</f>
        <v>0</v>
      </c>
      <c r="J695" s="51">
        <f>'Product info'!M80</f>
        <v>0</v>
      </c>
      <c r="K695" s="52">
        <f t="shared" si="146"/>
        <v>0</v>
      </c>
      <c r="L695" s="50">
        <f t="shared" si="147"/>
        <v>0</v>
      </c>
      <c r="M695" s="50">
        <f t="shared" si="148"/>
        <v>0</v>
      </c>
      <c r="N695" s="50">
        <f t="shared" si="149"/>
        <v>0</v>
      </c>
      <c r="O695" s="50">
        <f t="shared" si="150"/>
        <v>0</v>
      </c>
      <c r="P695" s="53" t="str">
        <f t="shared" si="151"/>
        <v>0*0*0</v>
      </c>
      <c r="Q695" s="54">
        <f>'Product info'!S80</f>
        <v>0</v>
      </c>
      <c r="R695" s="54">
        <f>'Product info'!T80</f>
        <v>0</v>
      </c>
      <c r="S695" s="54">
        <f>'Product info'!U80</f>
        <v>0</v>
      </c>
      <c r="T695" s="50">
        <f>'Product info'!R80</f>
        <v>0</v>
      </c>
      <c r="U695" s="52">
        <f t="shared" si="152"/>
        <v>0</v>
      </c>
      <c r="V695" s="50">
        <f t="shared" si="153"/>
        <v>0</v>
      </c>
      <c r="W695" s="50">
        <f t="shared" si="154"/>
        <v>0</v>
      </c>
      <c r="X695" s="50">
        <f t="shared" si="155"/>
        <v>0</v>
      </c>
      <c r="Y695" s="50">
        <f t="shared" si="156"/>
        <v>0</v>
      </c>
      <c r="Z695" t="e">
        <f t="shared" si="144"/>
        <v>#DIV/0!</v>
      </c>
    </row>
    <row r="696" spans="1:26" x14ac:dyDescent="0.4">
      <c r="A696">
        <f>'Product info'!A81</f>
        <v>0</v>
      </c>
      <c r="B696">
        <f>'Product info'!F81</f>
        <v>0</v>
      </c>
      <c r="C696" s="6">
        <f>'Product info'!G81</f>
        <v>0</v>
      </c>
      <c r="D696" s="6">
        <f>'Product info'!H81</f>
        <v>0</v>
      </c>
      <c r="E696" t="str">
        <f t="shared" si="145"/>
        <v>0*0*0</v>
      </c>
      <c r="F696" s="50">
        <f>'Product info'!O81</f>
        <v>0</v>
      </c>
      <c r="G696" s="50">
        <f>'Product info'!P81</f>
        <v>0</v>
      </c>
      <c r="H696" s="50">
        <f>'Product info'!Q81</f>
        <v>0</v>
      </c>
      <c r="I696" s="50">
        <f>'Product info'!N81</f>
        <v>0</v>
      </c>
      <c r="J696" s="51">
        <f>'Product info'!M81</f>
        <v>0</v>
      </c>
      <c r="K696" s="52">
        <f t="shared" si="146"/>
        <v>0</v>
      </c>
      <c r="L696" s="50">
        <f t="shared" si="147"/>
        <v>0</v>
      </c>
      <c r="M696" s="50">
        <f t="shared" si="148"/>
        <v>0</v>
      </c>
      <c r="N696" s="50">
        <f t="shared" si="149"/>
        <v>0</v>
      </c>
      <c r="O696" s="50">
        <f t="shared" si="150"/>
        <v>0</v>
      </c>
      <c r="P696" s="53" t="str">
        <f t="shared" si="151"/>
        <v>0*0*0</v>
      </c>
      <c r="Q696" s="54">
        <f>'Product info'!S81</f>
        <v>0</v>
      </c>
      <c r="R696" s="54">
        <f>'Product info'!T81</f>
        <v>0</v>
      </c>
      <c r="S696" s="54">
        <f>'Product info'!U81</f>
        <v>0</v>
      </c>
      <c r="T696" s="50">
        <f>'Product info'!R81</f>
        <v>0</v>
      </c>
      <c r="U696" s="52">
        <f t="shared" si="152"/>
        <v>0</v>
      </c>
      <c r="V696" s="50">
        <f t="shared" si="153"/>
        <v>0</v>
      </c>
      <c r="W696" s="50">
        <f t="shared" si="154"/>
        <v>0</v>
      </c>
      <c r="X696" s="50">
        <f t="shared" si="155"/>
        <v>0</v>
      </c>
      <c r="Y696" s="50">
        <f t="shared" si="156"/>
        <v>0</v>
      </c>
      <c r="Z696" t="e">
        <f t="shared" si="144"/>
        <v>#DIV/0!</v>
      </c>
    </row>
    <row r="697" spans="1:26" x14ac:dyDescent="0.4">
      <c r="A697">
        <f>'Product info'!A82</f>
        <v>0</v>
      </c>
      <c r="B697">
        <f>'Product info'!F82</f>
        <v>0</v>
      </c>
      <c r="C697" s="6">
        <f>'Product info'!G82</f>
        <v>0</v>
      </c>
      <c r="D697" s="6">
        <f>'Product info'!H82</f>
        <v>0</v>
      </c>
      <c r="E697" t="str">
        <f t="shared" si="145"/>
        <v>0*0*0</v>
      </c>
      <c r="F697" s="50">
        <f>'Product info'!O82</f>
        <v>0</v>
      </c>
      <c r="G697" s="50">
        <f>'Product info'!P82</f>
        <v>0</v>
      </c>
      <c r="H697" s="50">
        <f>'Product info'!Q82</f>
        <v>0</v>
      </c>
      <c r="I697" s="50">
        <f>'Product info'!N82</f>
        <v>0</v>
      </c>
      <c r="J697" s="51">
        <f>'Product info'!M82</f>
        <v>0</v>
      </c>
      <c r="K697" s="52">
        <f t="shared" si="146"/>
        <v>0</v>
      </c>
      <c r="L697" s="50">
        <f t="shared" si="147"/>
        <v>0</v>
      </c>
      <c r="M697" s="50">
        <f t="shared" si="148"/>
        <v>0</v>
      </c>
      <c r="N697" s="50">
        <f t="shared" si="149"/>
        <v>0</v>
      </c>
      <c r="O697" s="50">
        <f t="shared" si="150"/>
        <v>0</v>
      </c>
      <c r="P697" s="53" t="str">
        <f t="shared" si="151"/>
        <v>0*0*0</v>
      </c>
      <c r="Q697" s="54">
        <f>'Product info'!S82</f>
        <v>0</v>
      </c>
      <c r="R697" s="54">
        <f>'Product info'!T82</f>
        <v>0</v>
      </c>
      <c r="S697" s="54">
        <f>'Product info'!U82</f>
        <v>0</v>
      </c>
      <c r="T697" s="50">
        <f>'Product info'!R82</f>
        <v>0</v>
      </c>
      <c r="U697" s="52">
        <f t="shared" si="152"/>
        <v>0</v>
      </c>
      <c r="V697" s="50">
        <f t="shared" si="153"/>
        <v>0</v>
      </c>
      <c r="W697" s="50">
        <f t="shared" si="154"/>
        <v>0</v>
      </c>
      <c r="X697" s="50">
        <f t="shared" si="155"/>
        <v>0</v>
      </c>
      <c r="Y697" s="50">
        <f t="shared" si="156"/>
        <v>0</v>
      </c>
      <c r="Z697" t="e">
        <f t="shared" si="144"/>
        <v>#DIV/0!</v>
      </c>
    </row>
    <row r="698" spans="1:26" x14ac:dyDescent="0.4">
      <c r="A698">
        <f>'Product info'!A83</f>
        <v>0</v>
      </c>
      <c r="B698">
        <f>'Product info'!F83</f>
        <v>0</v>
      </c>
      <c r="C698" s="6">
        <f>'Product info'!G83</f>
        <v>0</v>
      </c>
      <c r="D698" s="6">
        <f>'Product info'!H83</f>
        <v>0</v>
      </c>
      <c r="E698" t="str">
        <f t="shared" si="145"/>
        <v>0*0*0</v>
      </c>
      <c r="F698" s="50">
        <f>'Product info'!O83</f>
        <v>0</v>
      </c>
      <c r="G698" s="50">
        <f>'Product info'!P83</f>
        <v>0</v>
      </c>
      <c r="H698" s="50">
        <f>'Product info'!Q83</f>
        <v>0</v>
      </c>
      <c r="I698" s="50">
        <f>'Product info'!N83</f>
        <v>0</v>
      </c>
      <c r="J698" s="51">
        <f>'Product info'!M83</f>
        <v>0</v>
      </c>
      <c r="K698" s="52">
        <f t="shared" si="146"/>
        <v>0</v>
      </c>
      <c r="L698" s="50">
        <f t="shared" si="147"/>
        <v>0</v>
      </c>
      <c r="M698" s="50">
        <f t="shared" si="148"/>
        <v>0</v>
      </c>
      <c r="N698" s="50">
        <f t="shared" si="149"/>
        <v>0</v>
      </c>
      <c r="O698" s="50">
        <f t="shared" si="150"/>
        <v>0</v>
      </c>
      <c r="P698" s="53" t="str">
        <f t="shared" si="151"/>
        <v>0*0*0</v>
      </c>
      <c r="Q698" s="54">
        <f>'Product info'!S83</f>
        <v>0</v>
      </c>
      <c r="R698" s="54">
        <f>'Product info'!T83</f>
        <v>0</v>
      </c>
      <c r="S698" s="54">
        <f>'Product info'!U83</f>
        <v>0</v>
      </c>
      <c r="T698" s="50">
        <f>'Product info'!R83</f>
        <v>0</v>
      </c>
      <c r="U698" s="52">
        <f t="shared" si="152"/>
        <v>0</v>
      </c>
      <c r="V698" s="50">
        <f t="shared" si="153"/>
        <v>0</v>
      </c>
      <c r="W698" s="50">
        <f t="shared" si="154"/>
        <v>0</v>
      </c>
      <c r="X698" s="50">
        <f t="shared" si="155"/>
        <v>0</v>
      </c>
      <c r="Y698" s="50">
        <f t="shared" si="156"/>
        <v>0</v>
      </c>
      <c r="Z698" t="e">
        <f t="shared" si="144"/>
        <v>#DIV/0!</v>
      </c>
    </row>
    <row r="699" spans="1:26" x14ac:dyDescent="0.4">
      <c r="A699">
        <f>'Product info'!A84</f>
        <v>0</v>
      </c>
      <c r="B699">
        <f>'Product info'!F84</f>
        <v>0</v>
      </c>
      <c r="C699" s="6">
        <f>'Product info'!G84</f>
        <v>0</v>
      </c>
      <c r="D699" s="6">
        <f>'Product info'!H84</f>
        <v>0</v>
      </c>
      <c r="E699" t="str">
        <f t="shared" si="145"/>
        <v>0*0*0</v>
      </c>
      <c r="F699" s="50">
        <f>'Product info'!O84</f>
        <v>0</v>
      </c>
      <c r="G699" s="50">
        <f>'Product info'!P84</f>
        <v>0</v>
      </c>
      <c r="H699" s="50">
        <f>'Product info'!Q84</f>
        <v>0</v>
      </c>
      <c r="I699" s="50">
        <f>'Product info'!N84</f>
        <v>0</v>
      </c>
      <c r="J699" s="51">
        <f>'Product info'!M84</f>
        <v>0</v>
      </c>
      <c r="K699" s="52">
        <f t="shared" si="146"/>
        <v>0</v>
      </c>
      <c r="L699" s="50">
        <f t="shared" si="147"/>
        <v>0</v>
      </c>
      <c r="M699" s="50">
        <f t="shared" si="148"/>
        <v>0</v>
      </c>
      <c r="N699" s="50">
        <f t="shared" si="149"/>
        <v>0</v>
      </c>
      <c r="O699" s="50">
        <f t="shared" si="150"/>
        <v>0</v>
      </c>
      <c r="P699" s="53" t="str">
        <f t="shared" si="151"/>
        <v>0*0*0</v>
      </c>
      <c r="Q699" s="54">
        <f>'Product info'!S84</f>
        <v>0</v>
      </c>
      <c r="R699" s="54">
        <f>'Product info'!T84</f>
        <v>0</v>
      </c>
      <c r="S699" s="54">
        <f>'Product info'!U84</f>
        <v>0</v>
      </c>
      <c r="T699" s="50">
        <f>'Product info'!R84</f>
        <v>0</v>
      </c>
      <c r="U699" s="52">
        <f t="shared" si="152"/>
        <v>0</v>
      </c>
      <c r="V699" s="50">
        <f t="shared" si="153"/>
        <v>0</v>
      </c>
      <c r="W699" s="50">
        <f t="shared" si="154"/>
        <v>0</v>
      </c>
      <c r="X699" s="50">
        <f t="shared" si="155"/>
        <v>0</v>
      </c>
      <c r="Y699" s="50">
        <f t="shared" si="156"/>
        <v>0</v>
      </c>
      <c r="Z699" t="e">
        <f t="shared" si="144"/>
        <v>#DIV/0!</v>
      </c>
    </row>
    <row r="700" spans="1:26" x14ac:dyDescent="0.4">
      <c r="A700">
        <f>'Product info'!A85</f>
        <v>0</v>
      </c>
      <c r="B700">
        <f>'Product info'!F85</f>
        <v>0</v>
      </c>
      <c r="C700" s="6">
        <f>'Product info'!G85</f>
        <v>0</v>
      </c>
      <c r="D700" s="6">
        <f>'Product info'!H85</f>
        <v>0</v>
      </c>
      <c r="E700" t="str">
        <f t="shared" si="145"/>
        <v>0*0*0</v>
      </c>
      <c r="F700" s="50">
        <f>'Product info'!O85</f>
        <v>0</v>
      </c>
      <c r="G700" s="50">
        <f>'Product info'!P85</f>
        <v>0</v>
      </c>
      <c r="H700" s="50">
        <f>'Product info'!Q85</f>
        <v>0</v>
      </c>
      <c r="I700" s="50">
        <f>'Product info'!N85</f>
        <v>0</v>
      </c>
      <c r="J700" s="51">
        <f>'Product info'!M85</f>
        <v>0</v>
      </c>
      <c r="K700" s="52">
        <f t="shared" si="146"/>
        <v>0</v>
      </c>
      <c r="L700" s="50">
        <f t="shared" si="147"/>
        <v>0</v>
      </c>
      <c r="M700" s="50">
        <f t="shared" si="148"/>
        <v>0</v>
      </c>
      <c r="N700" s="50">
        <f t="shared" si="149"/>
        <v>0</v>
      </c>
      <c r="O700" s="50">
        <f t="shared" si="150"/>
        <v>0</v>
      </c>
      <c r="P700" s="53" t="str">
        <f t="shared" si="151"/>
        <v>0*0*0</v>
      </c>
      <c r="Q700" s="54">
        <f>'Product info'!S85</f>
        <v>0</v>
      </c>
      <c r="R700" s="54">
        <f>'Product info'!T85</f>
        <v>0</v>
      </c>
      <c r="S700" s="54">
        <f>'Product info'!U85</f>
        <v>0</v>
      </c>
      <c r="T700" s="50">
        <f>'Product info'!R85</f>
        <v>0</v>
      </c>
      <c r="U700" s="52">
        <f t="shared" si="152"/>
        <v>0</v>
      </c>
      <c r="V700" s="50">
        <f t="shared" si="153"/>
        <v>0</v>
      </c>
      <c r="W700" s="50">
        <f t="shared" si="154"/>
        <v>0</v>
      </c>
      <c r="X700" s="50">
        <f t="shared" si="155"/>
        <v>0</v>
      </c>
      <c r="Y700" s="50">
        <f t="shared" si="156"/>
        <v>0</v>
      </c>
      <c r="Z700" t="e">
        <f t="shared" si="144"/>
        <v>#DIV/0!</v>
      </c>
    </row>
    <row r="701" spans="1:26" x14ac:dyDescent="0.4">
      <c r="A701">
        <f>'Product info'!A86</f>
        <v>0</v>
      </c>
      <c r="B701">
        <f>'Product info'!F86</f>
        <v>0</v>
      </c>
      <c r="C701" s="6">
        <f>'Product info'!G86</f>
        <v>0</v>
      </c>
      <c r="D701" s="6">
        <f>'Product info'!H86</f>
        <v>0</v>
      </c>
      <c r="E701" t="str">
        <f t="shared" si="145"/>
        <v>0*0*0</v>
      </c>
      <c r="F701" s="50">
        <f>'Product info'!O86</f>
        <v>0</v>
      </c>
      <c r="G701" s="50">
        <f>'Product info'!P86</f>
        <v>0</v>
      </c>
      <c r="H701" s="50">
        <f>'Product info'!Q86</f>
        <v>0</v>
      </c>
      <c r="I701" s="50">
        <f>'Product info'!N86</f>
        <v>0</v>
      </c>
      <c r="J701" s="51">
        <f>'Product info'!M86</f>
        <v>0</v>
      </c>
      <c r="K701" s="52">
        <f t="shared" si="146"/>
        <v>0</v>
      </c>
      <c r="L701" s="50">
        <f t="shared" si="147"/>
        <v>0</v>
      </c>
      <c r="M701" s="50">
        <f t="shared" si="148"/>
        <v>0</v>
      </c>
      <c r="N701" s="50">
        <f t="shared" si="149"/>
        <v>0</v>
      </c>
      <c r="O701" s="50">
        <f t="shared" si="150"/>
        <v>0</v>
      </c>
      <c r="P701" s="53" t="str">
        <f t="shared" si="151"/>
        <v>0*0*0</v>
      </c>
      <c r="Q701" s="54">
        <f>'Product info'!S86</f>
        <v>0</v>
      </c>
      <c r="R701" s="54">
        <f>'Product info'!T86</f>
        <v>0</v>
      </c>
      <c r="S701" s="54">
        <f>'Product info'!U86</f>
        <v>0</v>
      </c>
      <c r="T701" s="50">
        <f>'Product info'!R86</f>
        <v>0</v>
      </c>
      <c r="U701" s="52">
        <f t="shared" si="152"/>
        <v>0</v>
      </c>
      <c r="V701" s="50">
        <f t="shared" si="153"/>
        <v>0</v>
      </c>
      <c r="W701" s="50">
        <f t="shared" si="154"/>
        <v>0</v>
      </c>
      <c r="X701" s="50">
        <f t="shared" si="155"/>
        <v>0</v>
      </c>
      <c r="Y701" s="50">
        <f t="shared" si="156"/>
        <v>0</v>
      </c>
      <c r="Z701" t="e">
        <f t="shared" si="144"/>
        <v>#DIV/0!</v>
      </c>
    </row>
    <row r="702" spans="1:26" x14ac:dyDescent="0.4">
      <c r="A702">
        <f>'Product info'!A87</f>
        <v>0</v>
      </c>
      <c r="B702">
        <f>'Product info'!F87</f>
        <v>0</v>
      </c>
      <c r="C702" s="6">
        <f>'Product info'!G87</f>
        <v>0</v>
      </c>
      <c r="D702" s="6">
        <f>'Product info'!H87</f>
        <v>0</v>
      </c>
      <c r="E702" t="str">
        <f t="shared" si="145"/>
        <v>0*0*0</v>
      </c>
      <c r="F702" s="50">
        <f>'Product info'!O87</f>
        <v>0</v>
      </c>
      <c r="G702" s="50">
        <f>'Product info'!P87</f>
        <v>0</v>
      </c>
      <c r="H702" s="50">
        <f>'Product info'!Q87</f>
        <v>0</v>
      </c>
      <c r="I702" s="50">
        <f>'Product info'!N87</f>
        <v>0</v>
      </c>
      <c r="J702" s="51">
        <f>'Product info'!M87</f>
        <v>0</v>
      </c>
      <c r="K702" s="52">
        <f t="shared" si="146"/>
        <v>0</v>
      </c>
      <c r="L702" s="50">
        <f t="shared" si="147"/>
        <v>0</v>
      </c>
      <c r="M702" s="50">
        <f t="shared" si="148"/>
        <v>0</v>
      </c>
      <c r="N702" s="50">
        <f t="shared" si="149"/>
        <v>0</v>
      </c>
      <c r="O702" s="50">
        <f t="shared" si="150"/>
        <v>0</v>
      </c>
      <c r="P702" s="53" t="str">
        <f t="shared" si="151"/>
        <v>0*0*0</v>
      </c>
      <c r="Q702" s="54">
        <f>'Product info'!S87</f>
        <v>0</v>
      </c>
      <c r="R702" s="54">
        <f>'Product info'!T87</f>
        <v>0</v>
      </c>
      <c r="S702" s="54">
        <f>'Product info'!U87</f>
        <v>0</v>
      </c>
      <c r="T702" s="50">
        <f>'Product info'!R87</f>
        <v>0</v>
      </c>
      <c r="U702" s="52">
        <f t="shared" si="152"/>
        <v>0</v>
      </c>
      <c r="V702" s="50">
        <f t="shared" si="153"/>
        <v>0</v>
      </c>
      <c r="W702" s="50">
        <f t="shared" si="154"/>
        <v>0</v>
      </c>
      <c r="X702" s="50">
        <f t="shared" si="155"/>
        <v>0</v>
      </c>
      <c r="Y702" s="50">
        <f t="shared" si="156"/>
        <v>0</v>
      </c>
      <c r="Z702" t="e">
        <f t="shared" si="144"/>
        <v>#DIV/0!</v>
      </c>
    </row>
    <row r="703" spans="1:26" x14ac:dyDescent="0.4">
      <c r="A703">
        <f>'Product info'!A88</f>
        <v>0</v>
      </c>
      <c r="B703">
        <f>'Product info'!F88</f>
        <v>0</v>
      </c>
      <c r="C703" s="6">
        <f>'Product info'!G88</f>
        <v>0</v>
      </c>
      <c r="D703" s="6">
        <f>'Product info'!H88</f>
        <v>0</v>
      </c>
      <c r="E703" t="str">
        <f t="shared" si="145"/>
        <v>0*0*0</v>
      </c>
      <c r="F703" s="50">
        <f>'Product info'!O88</f>
        <v>0</v>
      </c>
      <c r="G703" s="50">
        <f>'Product info'!P88</f>
        <v>0</v>
      </c>
      <c r="H703" s="50">
        <f>'Product info'!Q88</f>
        <v>0</v>
      </c>
      <c r="I703" s="50">
        <f>'Product info'!N88</f>
        <v>0</v>
      </c>
      <c r="J703" s="51">
        <f>'Product info'!M88</f>
        <v>0</v>
      </c>
      <c r="K703" s="52">
        <f t="shared" si="146"/>
        <v>0</v>
      </c>
      <c r="L703" s="50">
        <f t="shared" si="147"/>
        <v>0</v>
      </c>
      <c r="M703" s="50">
        <f t="shared" si="148"/>
        <v>0</v>
      </c>
      <c r="N703" s="50">
        <f t="shared" si="149"/>
        <v>0</v>
      </c>
      <c r="O703" s="50">
        <f t="shared" si="150"/>
        <v>0</v>
      </c>
      <c r="P703" s="53" t="str">
        <f t="shared" si="151"/>
        <v>0*0*0</v>
      </c>
      <c r="Q703" s="54">
        <f>'Product info'!S88</f>
        <v>0</v>
      </c>
      <c r="R703" s="54">
        <f>'Product info'!T88</f>
        <v>0</v>
      </c>
      <c r="S703" s="54">
        <f>'Product info'!U88</f>
        <v>0</v>
      </c>
      <c r="T703" s="50">
        <f>'Product info'!R88</f>
        <v>0</v>
      </c>
      <c r="U703" s="52">
        <f t="shared" si="152"/>
        <v>0</v>
      </c>
      <c r="V703" s="50">
        <f t="shared" si="153"/>
        <v>0</v>
      </c>
      <c r="W703" s="50">
        <f t="shared" si="154"/>
        <v>0</v>
      </c>
      <c r="X703" s="50">
        <f t="shared" si="155"/>
        <v>0</v>
      </c>
      <c r="Y703" s="50">
        <f t="shared" si="156"/>
        <v>0</v>
      </c>
      <c r="Z703" t="e">
        <f t="shared" si="144"/>
        <v>#DIV/0!</v>
      </c>
    </row>
    <row r="704" spans="1:26" x14ac:dyDescent="0.4">
      <c r="A704">
        <f>'Product info'!A89</f>
        <v>0</v>
      </c>
      <c r="B704">
        <f>'Product info'!F89</f>
        <v>0</v>
      </c>
      <c r="C704" s="6">
        <f>'Product info'!G89</f>
        <v>0</v>
      </c>
      <c r="D704" s="6">
        <f>'Product info'!H89</f>
        <v>0</v>
      </c>
      <c r="E704" t="str">
        <f t="shared" si="145"/>
        <v>0*0*0</v>
      </c>
      <c r="F704" s="50">
        <f>'Product info'!O89</f>
        <v>0</v>
      </c>
      <c r="G704" s="50">
        <f>'Product info'!P89</f>
        <v>0</v>
      </c>
      <c r="H704" s="50">
        <f>'Product info'!Q89</f>
        <v>0</v>
      </c>
      <c r="I704" s="50">
        <f>'Product info'!N89</f>
        <v>0</v>
      </c>
      <c r="J704" s="51">
        <f>'Product info'!M89</f>
        <v>0</v>
      </c>
      <c r="K704" s="52">
        <f t="shared" si="146"/>
        <v>0</v>
      </c>
      <c r="L704" s="50">
        <f t="shared" si="147"/>
        <v>0</v>
      </c>
      <c r="M704" s="50">
        <f t="shared" si="148"/>
        <v>0</v>
      </c>
      <c r="N704" s="50">
        <f t="shared" si="149"/>
        <v>0</v>
      </c>
      <c r="O704" s="50">
        <f t="shared" si="150"/>
        <v>0</v>
      </c>
      <c r="P704" s="53" t="str">
        <f t="shared" si="151"/>
        <v>0*0*0</v>
      </c>
      <c r="Q704" s="54">
        <f>'Product info'!S89</f>
        <v>0</v>
      </c>
      <c r="R704" s="54">
        <f>'Product info'!T89</f>
        <v>0</v>
      </c>
      <c r="S704" s="54">
        <f>'Product info'!U89</f>
        <v>0</v>
      </c>
      <c r="T704" s="50">
        <f>'Product info'!R89</f>
        <v>0</v>
      </c>
      <c r="U704" s="52">
        <f t="shared" si="152"/>
        <v>0</v>
      </c>
      <c r="V704" s="50">
        <f t="shared" si="153"/>
        <v>0</v>
      </c>
      <c r="W704" s="50">
        <f t="shared" si="154"/>
        <v>0</v>
      </c>
      <c r="X704" s="50">
        <f t="shared" si="155"/>
        <v>0</v>
      </c>
      <c r="Y704" s="50">
        <f t="shared" si="156"/>
        <v>0</v>
      </c>
      <c r="Z704" t="e">
        <f t="shared" si="144"/>
        <v>#DIV/0!</v>
      </c>
    </row>
    <row r="705" spans="1:26" x14ac:dyDescent="0.4">
      <c r="A705">
        <f>'Product info'!A90</f>
        <v>0</v>
      </c>
      <c r="B705">
        <f>'Product info'!F90</f>
        <v>0</v>
      </c>
      <c r="C705" s="6">
        <f>'Product info'!G90</f>
        <v>0</v>
      </c>
      <c r="D705" s="6">
        <f>'Product info'!H90</f>
        <v>0</v>
      </c>
      <c r="E705" t="str">
        <f t="shared" si="145"/>
        <v>0*0*0</v>
      </c>
      <c r="F705" s="50">
        <f>'Product info'!O90</f>
        <v>0</v>
      </c>
      <c r="G705" s="50">
        <f>'Product info'!P90</f>
        <v>0</v>
      </c>
      <c r="H705" s="50">
        <f>'Product info'!Q90</f>
        <v>0</v>
      </c>
      <c r="I705" s="50">
        <f>'Product info'!N90</f>
        <v>0</v>
      </c>
      <c r="J705" s="51">
        <f>'Product info'!M90</f>
        <v>0</v>
      </c>
      <c r="K705" s="52">
        <f t="shared" si="146"/>
        <v>0</v>
      </c>
      <c r="L705" s="50">
        <f t="shared" si="147"/>
        <v>0</v>
      </c>
      <c r="M705" s="50">
        <f t="shared" si="148"/>
        <v>0</v>
      </c>
      <c r="N705" s="50">
        <f t="shared" si="149"/>
        <v>0</v>
      </c>
      <c r="O705" s="50">
        <f t="shared" si="150"/>
        <v>0</v>
      </c>
      <c r="P705" s="53" t="str">
        <f t="shared" si="151"/>
        <v>0*0*0</v>
      </c>
      <c r="Q705" s="54">
        <f>'Product info'!S90</f>
        <v>0</v>
      </c>
      <c r="R705" s="54">
        <f>'Product info'!T90</f>
        <v>0</v>
      </c>
      <c r="S705" s="54">
        <f>'Product info'!U90</f>
        <v>0</v>
      </c>
      <c r="T705" s="50">
        <f>'Product info'!R90</f>
        <v>0</v>
      </c>
      <c r="U705" s="52">
        <f t="shared" si="152"/>
        <v>0</v>
      </c>
      <c r="V705" s="50">
        <f t="shared" si="153"/>
        <v>0</v>
      </c>
      <c r="W705" s="50">
        <f t="shared" si="154"/>
        <v>0</v>
      </c>
      <c r="X705" s="50">
        <f t="shared" si="155"/>
        <v>0</v>
      </c>
      <c r="Y705" s="50">
        <f t="shared" si="156"/>
        <v>0</v>
      </c>
      <c r="Z705" t="e">
        <f t="shared" si="144"/>
        <v>#DIV/0!</v>
      </c>
    </row>
    <row r="706" spans="1:26" x14ac:dyDescent="0.4">
      <c r="A706">
        <f>'Product info'!A91</f>
        <v>0</v>
      </c>
      <c r="B706">
        <f>'Product info'!F91</f>
        <v>0</v>
      </c>
      <c r="C706" s="6">
        <f>'Product info'!G91</f>
        <v>0</v>
      </c>
      <c r="D706" s="6">
        <f>'Product info'!H91</f>
        <v>0</v>
      </c>
      <c r="E706" t="str">
        <f t="shared" si="145"/>
        <v>0*0*0</v>
      </c>
      <c r="F706" s="50">
        <f>'Product info'!O91</f>
        <v>0</v>
      </c>
      <c r="G706" s="50">
        <f>'Product info'!P91</f>
        <v>0</v>
      </c>
      <c r="H706" s="50">
        <f>'Product info'!Q91</f>
        <v>0</v>
      </c>
      <c r="I706" s="50">
        <f>'Product info'!N91</f>
        <v>0</v>
      </c>
      <c r="J706" s="51">
        <f>'Product info'!M91</f>
        <v>0</v>
      </c>
      <c r="K706" s="52">
        <f t="shared" si="146"/>
        <v>0</v>
      </c>
      <c r="L706" s="50">
        <f t="shared" si="147"/>
        <v>0</v>
      </c>
      <c r="M706" s="50">
        <f t="shared" si="148"/>
        <v>0</v>
      </c>
      <c r="N706" s="50">
        <f t="shared" si="149"/>
        <v>0</v>
      </c>
      <c r="O706" s="50">
        <f t="shared" si="150"/>
        <v>0</v>
      </c>
      <c r="P706" s="53" t="str">
        <f t="shared" si="151"/>
        <v>0*0*0</v>
      </c>
      <c r="Q706" s="54">
        <f>'Product info'!S91</f>
        <v>0</v>
      </c>
      <c r="R706" s="54">
        <f>'Product info'!T91</f>
        <v>0</v>
      </c>
      <c r="S706" s="54">
        <f>'Product info'!U91</f>
        <v>0</v>
      </c>
      <c r="T706" s="50">
        <f>'Product info'!R91</f>
        <v>0</v>
      </c>
      <c r="U706" s="52">
        <f t="shared" si="152"/>
        <v>0</v>
      </c>
      <c r="V706" s="50">
        <f t="shared" si="153"/>
        <v>0</v>
      </c>
      <c r="W706" s="50">
        <f t="shared" si="154"/>
        <v>0</v>
      </c>
      <c r="X706" s="50">
        <f t="shared" si="155"/>
        <v>0</v>
      </c>
      <c r="Y706" s="50">
        <f t="shared" si="156"/>
        <v>0</v>
      </c>
      <c r="Z706" t="e">
        <f t="shared" si="144"/>
        <v>#DIV/0!</v>
      </c>
    </row>
    <row r="707" spans="1:26" x14ac:dyDescent="0.4">
      <c r="A707">
        <f>'Product info'!A92</f>
        <v>0</v>
      </c>
      <c r="B707">
        <f>'Product info'!F92</f>
        <v>0</v>
      </c>
      <c r="C707" s="6">
        <f>'Product info'!G92</f>
        <v>0</v>
      </c>
      <c r="D707" s="6">
        <f>'Product info'!H92</f>
        <v>0</v>
      </c>
      <c r="E707" t="str">
        <f t="shared" si="145"/>
        <v>0*0*0</v>
      </c>
      <c r="F707" s="50">
        <f>'Product info'!O92</f>
        <v>0</v>
      </c>
      <c r="G707" s="50">
        <f>'Product info'!P92</f>
        <v>0</v>
      </c>
      <c r="H707" s="50">
        <f>'Product info'!Q92</f>
        <v>0</v>
      </c>
      <c r="I707" s="50">
        <f>'Product info'!N92</f>
        <v>0</v>
      </c>
      <c r="J707" s="51">
        <f>'Product info'!M92</f>
        <v>0</v>
      </c>
      <c r="K707" s="52">
        <f t="shared" si="146"/>
        <v>0</v>
      </c>
      <c r="L707" s="50">
        <f t="shared" si="147"/>
        <v>0</v>
      </c>
      <c r="M707" s="50">
        <f t="shared" si="148"/>
        <v>0</v>
      </c>
      <c r="N707" s="50">
        <f t="shared" si="149"/>
        <v>0</v>
      </c>
      <c r="O707" s="50">
        <f t="shared" si="150"/>
        <v>0</v>
      </c>
      <c r="P707" s="53" t="str">
        <f t="shared" si="151"/>
        <v>0*0*0</v>
      </c>
      <c r="Q707" s="54">
        <f>'Product info'!S92</f>
        <v>0</v>
      </c>
      <c r="R707" s="54">
        <f>'Product info'!T92</f>
        <v>0</v>
      </c>
      <c r="S707" s="54">
        <f>'Product info'!U92</f>
        <v>0</v>
      </c>
      <c r="T707" s="50">
        <f>'Product info'!R92</f>
        <v>0</v>
      </c>
      <c r="U707" s="52">
        <f t="shared" si="152"/>
        <v>0</v>
      </c>
      <c r="V707" s="50">
        <f t="shared" si="153"/>
        <v>0</v>
      </c>
      <c r="W707" s="50">
        <f t="shared" si="154"/>
        <v>0</v>
      </c>
      <c r="X707" s="50">
        <f t="shared" si="155"/>
        <v>0</v>
      </c>
      <c r="Y707" s="50">
        <f t="shared" si="156"/>
        <v>0</v>
      </c>
      <c r="Z707" t="e">
        <f t="shared" si="144"/>
        <v>#DIV/0!</v>
      </c>
    </row>
    <row r="708" spans="1:26" x14ac:dyDescent="0.4">
      <c r="A708">
        <f>'Product info'!A93</f>
        <v>0</v>
      </c>
      <c r="B708">
        <f>'Product info'!F93</f>
        <v>0</v>
      </c>
      <c r="C708" s="6">
        <f>'Product info'!G93</f>
        <v>0</v>
      </c>
      <c r="D708" s="6">
        <f>'Product info'!H93</f>
        <v>0</v>
      </c>
      <c r="E708" t="str">
        <f t="shared" si="145"/>
        <v>0*0*0</v>
      </c>
      <c r="F708" s="50">
        <f>'Product info'!O93</f>
        <v>0</v>
      </c>
      <c r="G708" s="50">
        <f>'Product info'!P93</f>
        <v>0</v>
      </c>
      <c r="H708" s="50">
        <f>'Product info'!Q93</f>
        <v>0</v>
      </c>
      <c r="I708" s="50">
        <f>'Product info'!N93</f>
        <v>0</v>
      </c>
      <c r="J708" s="51">
        <f>'Product info'!M93</f>
        <v>0</v>
      </c>
      <c r="K708" s="52">
        <f t="shared" si="146"/>
        <v>0</v>
      </c>
      <c r="L708" s="50">
        <f t="shared" si="147"/>
        <v>0</v>
      </c>
      <c r="M708" s="50">
        <f t="shared" si="148"/>
        <v>0</v>
      </c>
      <c r="N708" s="50">
        <f t="shared" si="149"/>
        <v>0</v>
      </c>
      <c r="O708" s="50">
        <f t="shared" si="150"/>
        <v>0</v>
      </c>
      <c r="P708" s="53" t="str">
        <f t="shared" si="151"/>
        <v>0*0*0</v>
      </c>
      <c r="Q708" s="54">
        <f>'Product info'!S93</f>
        <v>0</v>
      </c>
      <c r="R708" s="54">
        <f>'Product info'!T93</f>
        <v>0</v>
      </c>
      <c r="S708" s="54">
        <f>'Product info'!U93</f>
        <v>0</v>
      </c>
      <c r="T708" s="50">
        <f>'Product info'!R93</f>
        <v>0</v>
      </c>
      <c r="U708" s="52">
        <f t="shared" si="152"/>
        <v>0</v>
      </c>
      <c r="V708" s="50">
        <f t="shared" si="153"/>
        <v>0</v>
      </c>
      <c r="W708" s="50">
        <f t="shared" si="154"/>
        <v>0</v>
      </c>
      <c r="X708" s="50">
        <f t="shared" si="155"/>
        <v>0</v>
      </c>
      <c r="Y708" s="50">
        <f t="shared" si="156"/>
        <v>0</v>
      </c>
      <c r="Z708" t="e">
        <f t="shared" ref="Z708:Z771" si="157">K708/J708</f>
        <v>#DIV/0!</v>
      </c>
    </row>
    <row r="709" spans="1:26" x14ac:dyDescent="0.4">
      <c r="A709">
        <f>'Product info'!A94</f>
        <v>0</v>
      </c>
      <c r="B709">
        <f>'Product info'!F94</f>
        <v>0</v>
      </c>
      <c r="C709" s="6">
        <f>'Product info'!G94</f>
        <v>0</v>
      </c>
      <c r="D709" s="6">
        <f>'Product info'!H94</f>
        <v>0</v>
      </c>
      <c r="E709" t="str">
        <f t="shared" si="145"/>
        <v>0*0*0</v>
      </c>
      <c r="F709" s="50">
        <f>'Product info'!O94</f>
        <v>0</v>
      </c>
      <c r="G709" s="50">
        <f>'Product info'!P94</f>
        <v>0</v>
      </c>
      <c r="H709" s="50">
        <f>'Product info'!Q94</f>
        <v>0</v>
      </c>
      <c r="I709" s="50">
        <f>'Product info'!N94</f>
        <v>0</v>
      </c>
      <c r="J709" s="51">
        <f>'Product info'!M94</f>
        <v>0</v>
      </c>
      <c r="K709" s="52">
        <f t="shared" si="146"/>
        <v>0</v>
      </c>
      <c r="L709" s="50">
        <f t="shared" si="147"/>
        <v>0</v>
      </c>
      <c r="M709" s="50">
        <f t="shared" si="148"/>
        <v>0</v>
      </c>
      <c r="N709" s="50">
        <f t="shared" si="149"/>
        <v>0</v>
      </c>
      <c r="O709" s="50">
        <f t="shared" si="150"/>
        <v>0</v>
      </c>
      <c r="P709" s="53" t="str">
        <f t="shared" si="151"/>
        <v>0*0*0</v>
      </c>
      <c r="Q709" s="54">
        <f>'Product info'!S94</f>
        <v>0</v>
      </c>
      <c r="R709" s="54">
        <f>'Product info'!T94</f>
        <v>0</v>
      </c>
      <c r="S709" s="54">
        <f>'Product info'!U94</f>
        <v>0</v>
      </c>
      <c r="T709" s="50">
        <f>'Product info'!R94</f>
        <v>0</v>
      </c>
      <c r="U709" s="52">
        <f t="shared" si="152"/>
        <v>0</v>
      </c>
      <c r="V709" s="50">
        <f t="shared" si="153"/>
        <v>0</v>
      </c>
      <c r="W709" s="50">
        <f t="shared" si="154"/>
        <v>0</v>
      </c>
      <c r="X709" s="50">
        <f t="shared" si="155"/>
        <v>0</v>
      </c>
      <c r="Y709" s="50">
        <f t="shared" si="156"/>
        <v>0</v>
      </c>
      <c r="Z709" t="e">
        <f t="shared" si="157"/>
        <v>#DIV/0!</v>
      </c>
    </row>
    <row r="710" spans="1:26" x14ac:dyDescent="0.4">
      <c r="A710">
        <f>'Product info'!A95</f>
        <v>0</v>
      </c>
      <c r="B710">
        <f>'Product info'!F95</f>
        <v>0</v>
      </c>
      <c r="C710" s="6">
        <f>'Product info'!G95</f>
        <v>0</v>
      </c>
      <c r="D710" s="6">
        <f>'Product info'!H95</f>
        <v>0</v>
      </c>
      <c r="E710" t="str">
        <f t="shared" si="145"/>
        <v>0*0*0</v>
      </c>
      <c r="F710" s="50">
        <f>'Product info'!O95</f>
        <v>0</v>
      </c>
      <c r="G710" s="50">
        <f>'Product info'!P95</f>
        <v>0</v>
      </c>
      <c r="H710" s="50">
        <f>'Product info'!Q95</f>
        <v>0</v>
      </c>
      <c r="I710" s="50">
        <f>'Product info'!N95</f>
        <v>0</v>
      </c>
      <c r="J710" s="51">
        <f>'Product info'!M95</f>
        <v>0</v>
      </c>
      <c r="K710" s="52">
        <f t="shared" si="146"/>
        <v>0</v>
      </c>
      <c r="L710" s="50">
        <f t="shared" si="147"/>
        <v>0</v>
      </c>
      <c r="M710" s="50">
        <f t="shared" si="148"/>
        <v>0</v>
      </c>
      <c r="N710" s="50">
        <f t="shared" si="149"/>
        <v>0</v>
      </c>
      <c r="O710" s="50">
        <f t="shared" si="150"/>
        <v>0</v>
      </c>
      <c r="P710" s="53" t="str">
        <f t="shared" si="151"/>
        <v>0*0*0</v>
      </c>
      <c r="Q710" s="54">
        <f>'Product info'!S95</f>
        <v>0</v>
      </c>
      <c r="R710" s="54">
        <f>'Product info'!T95</f>
        <v>0</v>
      </c>
      <c r="S710" s="54">
        <f>'Product info'!U95</f>
        <v>0</v>
      </c>
      <c r="T710" s="50">
        <f>'Product info'!R95</f>
        <v>0</v>
      </c>
      <c r="U710" s="52">
        <f t="shared" si="152"/>
        <v>0</v>
      </c>
      <c r="V710" s="50">
        <f t="shared" si="153"/>
        <v>0</v>
      </c>
      <c r="W710" s="50">
        <f t="shared" si="154"/>
        <v>0</v>
      </c>
      <c r="X710" s="50">
        <f t="shared" si="155"/>
        <v>0</v>
      </c>
      <c r="Y710" s="50">
        <f t="shared" si="156"/>
        <v>0</v>
      </c>
      <c r="Z710" t="e">
        <f t="shared" si="157"/>
        <v>#DIV/0!</v>
      </c>
    </row>
    <row r="711" spans="1:26" x14ac:dyDescent="0.4">
      <c r="A711">
        <f>'Product info'!A96</f>
        <v>0</v>
      </c>
      <c r="B711">
        <f>'Product info'!F96</f>
        <v>0</v>
      </c>
      <c r="C711" s="6">
        <f>'Product info'!G96</f>
        <v>0</v>
      </c>
      <c r="D711" s="6">
        <f>'Product info'!H96</f>
        <v>0</v>
      </c>
      <c r="E711" t="str">
        <f t="shared" si="145"/>
        <v>0*0*0</v>
      </c>
      <c r="F711" s="50">
        <f>'Product info'!O96</f>
        <v>0</v>
      </c>
      <c r="G711" s="50">
        <f>'Product info'!P96</f>
        <v>0</v>
      </c>
      <c r="H711" s="50">
        <f>'Product info'!Q96</f>
        <v>0</v>
      </c>
      <c r="I711" s="50">
        <f>'Product info'!N96</f>
        <v>0</v>
      </c>
      <c r="J711" s="51">
        <f>'Product info'!M96</f>
        <v>0</v>
      </c>
      <c r="K711" s="52">
        <f t="shared" si="146"/>
        <v>0</v>
      </c>
      <c r="L711" s="50">
        <f t="shared" si="147"/>
        <v>0</v>
      </c>
      <c r="M711" s="50">
        <f t="shared" si="148"/>
        <v>0</v>
      </c>
      <c r="N711" s="50">
        <f t="shared" si="149"/>
        <v>0</v>
      </c>
      <c r="O711" s="50">
        <f t="shared" si="150"/>
        <v>0</v>
      </c>
      <c r="P711" s="53" t="str">
        <f t="shared" si="151"/>
        <v>0*0*0</v>
      </c>
      <c r="Q711" s="54">
        <f>'Product info'!S96</f>
        <v>0</v>
      </c>
      <c r="R711" s="54">
        <f>'Product info'!T96</f>
        <v>0</v>
      </c>
      <c r="S711" s="54">
        <f>'Product info'!U96</f>
        <v>0</v>
      </c>
      <c r="T711" s="50">
        <f>'Product info'!R96</f>
        <v>0</v>
      </c>
      <c r="U711" s="52">
        <f t="shared" si="152"/>
        <v>0</v>
      </c>
      <c r="V711" s="50">
        <f t="shared" si="153"/>
        <v>0</v>
      </c>
      <c r="W711" s="50">
        <f t="shared" si="154"/>
        <v>0</v>
      </c>
      <c r="X711" s="50">
        <f t="shared" si="155"/>
        <v>0</v>
      </c>
      <c r="Y711" s="50">
        <f t="shared" si="156"/>
        <v>0</v>
      </c>
      <c r="Z711" t="e">
        <f t="shared" si="157"/>
        <v>#DIV/0!</v>
      </c>
    </row>
    <row r="712" spans="1:26" x14ac:dyDescent="0.4">
      <c r="A712">
        <f>'Product info'!A97</f>
        <v>0</v>
      </c>
      <c r="B712">
        <f>'Product info'!F97</f>
        <v>0</v>
      </c>
      <c r="C712" s="6">
        <f>'Product info'!G97</f>
        <v>0</v>
      </c>
      <c r="D712" s="6">
        <f>'Product info'!H97</f>
        <v>0</v>
      </c>
      <c r="E712" t="str">
        <f t="shared" si="145"/>
        <v>0*0*0</v>
      </c>
      <c r="F712" s="50">
        <f>'Product info'!O97</f>
        <v>0</v>
      </c>
      <c r="G712" s="50">
        <f>'Product info'!P97</f>
        <v>0</v>
      </c>
      <c r="H712" s="50">
        <f>'Product info'!Q97</f>
        <v>0</v>
      </c>
      <c r="I712" s="50">
        <f>'Product info'!N97</f>
        <v>0</v>
      </c>
      <c r="J712" s="51">
        <f>'Product info'!M97</f>
        <v>0</v>
      </c>
      <c r="K712" s="52">
        <f t="shared" si="146"/>
        <v>0</v>
      </c>
      <c r="L712" s="50">
        <f t="shared" si="147"/>
        <v>0</v>
      </c>
      <c r="M712" s="50">
        <f t="shared" si="148"/>
        <v>0</v>
      </c>
      <c r="N712" s="50">
        <f t="shared" si="149"/>
        <v>0</v>
      </c>
      <c r="O712" s="50">
        <f t="shared" si="150"/>
        <v>0</v>
      </c>
      <c r="P712" s="53" t="str">
        <f t="shared" si="151"/>
        <v>0*0*0</v>
      </c>
      <c r="Q712" s="54">
        <f>'Product info'!S97</f>
        <v>0</v>
      </c>
      <c r="R712" s="54">
        <f>'Product info'!T97</f>
        <v>0</v>
      </c>
      <c r="S712" s="54">
        <f>'Product info'!U97</f>
        <v>0</v>
      </c>
      <c r="T712" s="50">
        <f>'Product info'!R97</f>
        <v>0</v>
      </c>
      <c r="U712" s="52">
        <f t="shared" si="152"/>
        <v>0</v>
      </c>
      <c r="V712" s="50">
        <f t="shared" si="153"/>
        <v>0</v>
      </c>
      <c r="W712" s="50">
        <f t="shared" si="154"/>
        <v>0</v>
      </c>
      <c r="X712" s="50">
        <f t="shared" si="155"/>
        <v>0</v>
      </c>
      <c r="Y712" s="50">
        <f t="shared" si="156"/>
        <v>0</v>
      </c>
      <c r="Z712" t="e">
        <f t="shared" si="157"/>
        <v>#DIV/0!</v>
      </c>
    </row>
    <row r="713" spans="1:26" x14ac:dyDescent="0.4">
      <c r="A713">
        <f>'Product info'!A98</f>
        <v>0</v>
      </c>
      <c r="B713">
        <f>'Product info'!F98</f>
        <v>0</v>
      </c>
      <c r="C713" s="6">
        <f>'Product info'!G98</f>
        <v>0</v>
      </c>
      <c r="D713" s="6">
        <f>'Product info'!H98</f>
        <v>0</v>
      </c>
      <c r="E713" t="str">
        <f t="shared" si="145"/>
        <v>0*0*0</v>
      </c>
      <c r="F713" s="50">
        <f>'Product info'!O98</f>
        <v>0</v>
      </c>
      <c r="G713" s="50">
        <f>'Product info'!P98</f>
        <v>0</v>
      </c>
      <c r="H713" s="50">
        <f>'Product info'!Q98</f>
        <v>0</v>
      </c>
      <c r="I713" s="50">
        <f>'Product info'!N98</f>
        <v>0</v>
      </c>
      <c r="J713" s="51">
        <f>'Product info'!M98</f>
        <v>0</v>
      </c>
      <c r="K713" s="52">
        <f t="shared" si="146"/>
        <v>0</v>
      </c>
      <c r="L713" s="50">
        <f t="shared" si="147"/>
        <v>0</v>
      </c>
      <c r="M713" s="50">
        <f t="shared" si="148"/>
        <v>0</v>
      </c>
      <c r="N713" s="50">
        <f t="shared" si="149"/>
        <v>0</v>
      </c>
      <c r="O713" s="50">
        <f t="shared" si="150"/>
        <v>0</v>
      </c>
      <c r="P713" s="53" t="str">
        <f t="shared" si="151"/>
        <v>0*0*0</v>
      </c>
      <c r="Q713" s="54">
        <f>'Product info'!S98</f>
        <v>0</v>
      </c>
      <c r="R713" s="54">
        <f>'Product info'!T98</f>
        <v>0</v>
      </c>
      <c r="S713" s="54">
        <f>'Product info'!U98</f>
        <v>0</v>
      </c>
      <c r="T713" s="50">
        <f>'Product info'!R98</f>
        <v>0</v>
      </c>
      <c r="U713" s="52">
        <f t="shared" si="152"/>
        <v>0</v>
      </c>
      <c r="V713" s="50">
        <f t="shared" si="153"/>
        <v>0</v>
      </c>
      <c r="W713" s="50">
        <f t="shared" si="154"/>
        <v>0</v>
      </c>
      <c r="X713" s="50">
        <f t="shared" si="155"/>
        <v>0</v>
      </c>
      <c r="Y713" s="50">
        <f t="shared" si="156"/>
        <v>0</v>
      </c>
      <c r="Z713" t="e">
        <f t="shared" si="157"/>
        <v>#DIV/0!</v>
      </c>
    </row>
    <row r="714" spans="1:26" x14ac:dyDescent="0.4">
      <c r="A714">
        <f>'Product info'!A99</f>
        <v>0</v>
      </c>
      <c r="B714">
        <f>'Product info'!F99</f>
        <v>0</v>
      </c>
      <c r="C714" s="6">
        <f>'Product info'!G99</f>
        <v>0</v>
      </c>
      <c r="D714" s="6">
        <f>'Product info'!H99</f>
        <v>0</v>
      </c>
      <c r="E714" t="str">
        <f t="shared" si="145"/>
        <v>0*0*0</v>
      </c>
      <c r="F714" s="50">
        <f>'Product info'!O99</f>
        <v>0</v>
      </c>
      <c r="G714" s="50">
        <f>'Product info'!P99</f>
        <v>0</v>
      </c>
      <c r="H714" s="50">
        <f>'Product info'!Q99</f>
        <v>0</v>
      </c>
      <c r="I714" s="50">
        <f>'Product info'!N99</f>
        <v>0</v>
      </c>
      <c r="J714" s="51">
        <f>'Product info'!M99</f>
        <v>0</v>
      </c>
      <c r="K714" s="52">
        <f t="shared" si="146"/>
        <v>0</v>
      </c>
      <c r="L714" s="50">
        <f t="shared" si="147"/>
        <v>0</v>
      </c>
      <c r="M714" s="50">
        <f t="shared" si="148"/>
        <v>0</v>
      </c>
      <c r="N714" s="50">
        <f t="shared" si="149"/>
        <v>0</v>
      </c>
      <c r="O714" s="50">
        <f t="shared" si="150"/>
        <v>0</v>
      </c>
      <c r="P714" s="53" t="str">
        <f t="shared" si="151"/>
        <v>0*0*0</v>
      </c>
      <c r="Q714" s="54">
        <f>'Product info'!S99</f>
        <v>0</v>
      </c>
      <c r="R714" s="54">
        <f>'Product info'!T99</f>
        <v>0</v>
      </c>
      <c r="S714" s="54">
        <f>'Product info'!U99</f>
        <v>0</v>
      </c>
      <c r="T714" s="50">
        <f>'Product info'!R99</f>
        <v>0</v>
      </c>
      <c r="U714" s="52">
        <f t="shared" si="152"/>
        <v>0</v>
      </c>
      <c r="V714" s="50">
        <f t="shared" si="153"/>
        <v>0</v>
      </c>
      <c r="W714" s="50">
        <f t="shared" si="154"/>
        <v>0</v>
      </c>
      <c r="X714" s="50">
        <f t="shared" si="155"/>
        <v>0</v>
      </c>
      <c r="Y714" s="50">
        <f t="shared" si="156"/>
        <v>0</v>
      </c>
      <c r="Z714" t="e">
        <f t="shared" si="157"/>
        <v>#DIV/0!</v>
      </c>
    </row>
    <row r="715" spans="1:26" x14ac:dyDescent="0.4">
      <c r="A715">
        <f>'Product info'!A100</f>
        <v>0</v>
      </c>
      <c r="B715">
        <f>'Product info'!F100</f>
        <v>0</v>
      </c>
      <c r="C715" s="6">
        <f>'Product info'!G100</f>
        <v>0</v>
      </c>
      <c r="D715" s="6">
        <f>'Product info'!H100</f>
        <v>0</v>
      </c>
      <c r="E715" t="str">
        <f t="shared" si="145"/>
        <v>0*0*0</v>
      </c>
      <c r="F715" s="50">
        <f>'Product info'!O100</f>
        <v>0</v>
      </c>
      <c r="G715" s="50">
        <f>'Product info'!P100</f>
        <v>0</v>
      </c>
      <c r="H715" s="50">
        <f>'Product info'!Q100</f>
        <v>0</v>
      </c>
      <c r="I715" s="50">
        <f>'Product info'!N100</f>
        <v>0</v>
      </c>
      <c r="J715" s="51">
        <f>'Product info'!M100</f>
        <v>0</v>
      </c>
      <c r="K715" s="52">
        <f t="shared" si="146"/>
        <v>0</v>
      </c>
      <c r="L715" s="50">
        <f t="shared" si="147"/>
        <v>0</v>
      </c>
      <c r="M715" s="50">
        <f t="shared" si="148"/>
        <v>0</v>
      </c>
      <c r="N715" s="50">
        <f t="shared" si="149"/>
        <v>0</v>
      </c>
      <c r="O715" s="50">
        <f t="shared" si="150"/>
        <v>0</v>
      </c>
      <c r="P715" s="53" t="str">
        <f t="shared" si="151"/>
        <v>0*0*0</v>
      </c>
      <c r="Q715" s="54">
        <f>'Product info'!S100</f>
        <v>0</v>
      </c>
      <c r="R715" s="54">
        <f>'Product info'!T100</f>
        <v>0</v>
      </c>
      <c r="S715" s="54">
        <f>'Product info'!U100</f>
        <v>0</v>
      </c>
      <c r="T715" s="50">
        <f>'Product info'!R100</f>
        <v>0</v>
      </c>
      <c r="U715" s="52">
        <f t="shared" si="152"/>
        <v>0</v>
      </c>
      <c r="V715" s="50">
        <f t="shared" si="153"/>
        <v>0</v>
      </c>
      <c r="W715" s="50">
        <f t="shared" si="154"/>
        <v>0</v>
      </c>
      <c r="X715" s="50">
        <f t="shared" si="155"/>
        <v>0</v>
      </c>
      <c r="Y715" s="50">
        <f t="shared" si="156"/>
        <v>0</v>
      </c>
      <c r="Z715" t="e">
        <f t="shared" si="157"/>
        <v>#DIV/0!</v>
      </c>
    </row>
    <row r="716" spans="1:26" x14ac:dyDescent="0.4">
      <c r="A716">
        <f>'Product info'!A101</f>
        <v>0</v>
      </c>
      <c r="B716">
        <f>'Product info'!F101</f>
        <v>0</v>
      </c>
      <c r="C716" s="6">
        <f>'Product info'!G101</f>
        <v>0</v>
      </c>
      <c r="D716" s="6">
        <f>'Product info'!H101</f>
        <v>0</v>
      </c>
      <c r="E716" t="str">
        <f t="shared" si="145"/>
        <v>0*0*0</v>
      </c>
      <c r="F716" s="50">
        <f>'Product info'!O101</f>
        <v>0</v>
      </c>
      <c r="G716" s="50">
        <f>'Product info'!P101</f>
        <v>0</v>
      </c>
      <c r="H716" s="50">
        <f>'Product info'!Q101</f>
        <v>0</v>
      </c>
      <c r="I716" s="50">
        <f>'Product info'!N101</f>
        <v>0</v>
      </c>
      <c r="J716" s="51">
        <f>'Product info'!M101</f>
        <v>0</v>
      </c>
      <c r="K716" s="52">
        <f t="shared" si="146"/>
        <v>0</v>
      </c>
      <c r="L716" s="50">
        <f t="shared" si="147"/>
        <v>0</v>
      </c>
      <c r="M716" s="50">
        <f t="shared" si="148"/>
        <v>0</v>
      </c>
      <c r="N716" s="50">
        <f t="shared" si="149"/>
        <v>0</v>
      </c>
      <c r="O716" s="50">
        <f t="shared" si="150"/>
        <v>0</v>
      </c>
      <c r="P716" s="53" t="str">
        <f t="shared" si="151"/>
        <v>0*0*0</v>
      </c>
      <c r="Q716" s="54">
        <f>'Product info'!S101</f>
        <v>0</v>
      </c>
      <c r="R716" s="54">
        <f>'Product info'!T101</f>
        <v>0</v>
      </c>
      <c r="S716" s="54">
        <f>'Product info'!U101</f>
        <v>0</v>
      </c>
      <c r="T716" s="50">
        <f>'Product info'!R101</f>
        <v>0</v>
      </c>
      <c r="U716" s="52">
        <f t="shared" si="152"/>
        <v>0</v>
      </c>
      <c r="V716" s="50">
        <f t="shared" si="153"/>
        <v>0</v>
      </c>
      <c r="W716" s="50">
        <f t="shared" si="154"/>
        <v>0</v>
      </c>
      <c r="X716" s="50">
        <f t="shared" si="155"/>
        <v>0</v>
      </c>
      <c r="Y716" s="50">
        <f t="shared" si="156"/>
        <v>0</v>
      </c>
      <c r="Z716" t="e">
        <f t="shared" si="157"/>
        <v>#DIV/0!</v>
      </c>
    </row>
    <row r="717" spans="1:26" x14ac:dyDescent="0.4">
      <c r="A717">
        <f>'Product info'!A102</f>
        <v>0</v>
      </c>
      <c r="B717">
        <f>'Product info'!F102</f>
        <v>0</v>
      </c>
      <c r="C717" s="6">
        <f>'Product info'!G102</f>
        <v>0</v>
      </c>
      <c r="D717" s="6">
        <f>'Product info'!H102</f>
        <v>0</v>
      </c>
      <c r="E717" t="str">
        <f t="shared" si="145"/>
        <v>0*0*0</v>
      </c>
      <c r="F717" s="50">
        <f>'Product info'!O102</f>
        <v>0</v>
      </c>
      <c r="G717" s="50">
        <f>'Product info'!P102</f>
        <v>0</v>
      </c>
      <c r="H717" s="50">
        <f>'Product info'!Q102</f>
        <v>0</v>
      </c>
      <c r="I717" s="50">
        <f>'Product info'!N102</f>
        <v>0</v>
      </c>
      <c r="J717" s="51">
        <f>'Product info'!M102</f>
        <v>0</v>
      </c>
      <c r="K717" s="52">
        <f t="shared" si="146"/>
        <v>0</v>
      </c>
      <c r="L717" s="50">
        <f t="shared" si="147"/>
        <v>0</v>
      </c>
      <c r="M717" s="50">
        <f t="shared" si="148"/>
        <v>0</v>
      </c>
      <c r="N717" s="50">
        <f t="shared" si="149"/>
        <v>0</v>
      </c>
      <c r="O717" s="50">
        <f t="shared" si="150"/>
        <v>0</v>
      </c>
      <c r="P717" s="53" t="str">
        <f t="shared" si="151"/>
        <v>0*0*0</v>
      </c>
      <c r="Q717" s="54">
        <f>'Product info'!S102</f>
        <v>0</v>
      </c>
      <c r="R717" s="54">
        <f>'Product info'!T102</f>
        <v>0</v>
      </c>
      <c r="S717" s="54">
        <f>'Product info'!U102</f>
        <v>0</v>
      </c>
      <c r="T717" s="50">
        <f>'Product info'!R102</f>
        <v>0</v>
      </c>
      <c r="U717" s="52">
        <f t="shared" si="152"/>
        <v>0</v>
      </c>
      <c r="V717" s="50">
        <f t="shared" si="153"/>
        <v>0</v>
      </c>
      <c r="W717" s="50">
        <f t="shared" si="154"/>
        <v>0</v>
      </c>
      <c r="X717" s="50">
        <f t="shared" si="155"/>
        <v>0</v>
      </c>
      <c r="Y717" s="50">
        <f t="shared" si="156"/>
        <v>0</v>
      </c>
      <c r="Z717" t="e">
        <f t="shared" si="157"/>
        <v>#DIV/0!</v>
      </c>
    </row>
    <row r="718" spans="1:26" x14ac:dyDescent="0.4">
      <c r="A718">
        <f>'Product info'!A103</f>
        <v>0</v>
      </c>
      <c r="B718">
        <f>'Product info'!F103</f>
        <v>0</v>
      </c>
      <c r="C718" s="6">
        <f>'Product info'!G103</f>
        <v>0</v>
      </c>
      <c r="D718" s="6">
        <f>'Product info'!H103</f>
        <v>0</v>
      </c>
      <c r="E718" t="str">
        <f t="shared" si="145"/>
        <v>0*0*0</v>
      </c>
      <c r="F718" s="50">
        <f>'Product info'!O103</f>
        <v>0</v>
      </c>
      <c r="G718" s="50">
        <f>'Product info'!P103</f>
        <v>0</v>
      </c>
      <c r="H718" s="50">
        <f>'Product info'!Q103</f>
        <v>0</v>
      </c>
      <c r="I718" s="50">
        <f>'Product info'!N103</f>
        <v>0</v>
      </c>
      <c r="J718" s="51">
        <f>'Product info'!M103</f>
        <v>0</v>
      </c>
      <c r="K718" s="52">
        <f t="shared" si="146"/>
        <v>0</v>
      </c>
      <c r="L718" s="50">
        <f t="shared" si="147"/>
        <v>0</v>
      </c>
      <c r="M718" s="50">
        <f t="shared" si="148"/>
        <v>0</v>
      </c>
      <c r="N718" s="50">
        <f t="shared" si="149"/>
        <v>0</v>
      </c>
      <c r="O718" s="50">
        <f t="shared" si="150"/>
        <v>0</v>
      </c>
      <c r="P718" s="53" t="str">
        <f t="shared" si="151"/>
        <v>0*0*0</v>
      </c>
      <c r="Q718" s="54">
        <f>'Product info'!S103</f>
        <v>0</v>
      </c>
      <c r="R718" s="54">
        <f>'Product info'!T103</f>
        <v>0</v>
      </c>
      <c r="S718" s="54">
        <f>'Product info'!U103</f>
        <v>0</v>
      </c>
      <c r="T718" s="50">
        <f>'Product info'!R103</f>
        <v>0</v>
      </c>
      <c r="U718" s="52">
        <f t="shared" si="152"/>
        <v>0</v>
      </c>
      <c r="V718" s="50">
        <f t="shared" si="153"/>
        <v>0</v>
      </c>
      <c r="W718" s="50">
        <f t="shared" si="154"/>
        <v>0</v>
      </c>
      <c r="X718" s="50">
        <f t="shared" si="155"/>
        <v>0</v>
      </c>
      <c r="Y718" s="50">
        <f t="shared" si="156"/>
        <v>0</v>
      </c>
      <c r="Z718" t="e">
        <f t="shared" si="157"/>
        <v>#DIV/0!</v>
      </c>
    </row>
    <row r="719" spans="1:26" x14ac:dyDescent="0.4">
      <c r="A719">
        <f>'Product info'!A104</f>
        <v>0</v>
      </c>
      <c r="B719">
        <f>'Product info'!F104</f>
        <v>0</v>
      </c>
      <c r="C719" s="6">
        <f>'Product info'!G104</f>
        <v>0</v>
      </c>
      <c r="D719" s="6">
        <f>'Product info'!H104</f>
        <v>0</v>
      </c>
      <c r="E719" t="str">
        <f t="shared" si="145"/>
        <v>0*0*0</v>
      </c>
      <c r="F719" s="50">
        <f>'Product info'!O104</f>
        <v>0</v>
      </c>
      <c r="G719" s="50">
        <f>'Product info'!P104</f>
        <v>0</v>
      </c>
      <c r="H719" s="50">
        <f>'Product info'!Q104</f>
        <v>0</v>
      </c>
      <c r="I719" s="50">
        <f>'Product info'!N104</f>
        <v>0</v>
      </c>
      <c r="J719" s="51">
        <f>'Product info'!M104</f>
        <v>0</v>
      </c>
      <c r="K719" s="52">
        <f t="shared" si="146"/>
        <v>0</v>
      </c>
      <c r="L719" s="50">
        <f t="shared" si="147"/>
        <v>0</v>
      </c>
      <c r="M719" s="50">
        <f t="shared" si="148"/>
        <v>0</v>
      </c>
      <c r="N719" s="50">
        <f t="shared" si="149"/>
        <v>0</v>
      </c>
      <c r="O719" s="50">
        <f t="shared" si="150"/>
        <v>0</v>
      </c>
      <c r="P719" s="53" t="str">
        <f t="shared" si="151"/>
        <v>0*0*0</v>
      </c>
      <c r="Q719" s="54">
        <f>'Product info'!S104</f>
        <v>0</v>
      </c>
      <c r="R719" s="54">
        <f>'Product info'!T104</f>
        <v>0</v>
      </c>
      <c r="S719" s="54">
        <f>'Product info'!U104</f>
        <v>0</v>
      </c>
      <c r="T719" s="50">
        <f>'Product info'!R104</f>
        <v>0</v>
      </c>
      <c r="U719" s="52">
        <f t="shared" si="152"/>
        <v>0</v>
      </c>
      <c r="V719" s="50">
        <f t="shared" si="153"/>
        <v>0</v>
      </c>
      <c r="W719" s="50">
        <f t="shared" si="154"/>
        <v>0</v>
      </c>
      <c r="X719" s="50">
        <f t="shared" si="155"/>
        <v>0</v>
      </c>
      <c r="Y719" s="50">
        <f t="shared" si="156"/>
        <v>0</v>
      </c>
      <c r="Z719" t="e">
        <f t="shared" si="157"/>
        <v>#DIV/0!</v>
      </c>
    </row>
    <row r="720" spans="1:26" x14ac:dyDescent="0.4">
      <c r="A720">
        <f>'Product info'!A105</f>
        <v>0</v>
      </c>
      <c r="B720">
        <f>'Product info'!F105</f>
        <v>0</v>
      </c>
      <c r="C720" s="6">
        <f>'Product info'!G105</f>
        <v>0</v>
      </c>
      <c r="D720" s="6">
        <f>'Product info'!H105</f>
        <v>0</v>
      </c>
      <c r="E720" t="str">
        <f t="shared" si="145"/>
        <v>0*0*0</v>
      </c>
      <c r="F720" s="50">
        <f>'Product info'!O105</f>
        <v>0</v>
      </c>
      <c r="G720" s="50">
        <f>'Product info'!P105</f>
        <v>0</v>
      </c>
      <c r="H720" s="50">
        <f>'Product info'!Q105</f>
        <v>0</v>
      </c>
      <c r="I720" s="50">
        <f>'Product info'!N105</f>
        <v>0</v>
      </c>
      <c r="J720" s="51">
        <f>'Product info'!M105</f>
        <v>0</v>
      </c>
      <c r="K720" s="52">
        <f t="shared" si="146"/>
        <v>0</v>
      </c>
      <c r="L720" s="50">
        <f t="shared" si="147"/>
        <v>0</v>
      </c>
      <c r="M720" s="50">
        <f t="shared" si="148"/>
        <v>0</v>
      </c>
      <c r="N720" s="50">
        <f t="shared" si="149"/>
        <v>0</v>
      </c>
      <c r="O720" s="50">
        <f t="shared" si="150"/>
        <v>0</v>
      </c>
      <c r="P720" s="53" t="str">
        <f t="shared" si="151"/>
        <v>0*0*0</v>
      </c>
      <c r="Q720" s="54">
        <f>'Product info'!S105</f>
        <v>0</v>
      </c>
      <c r="R720" s="54">
        <f>'Product info'!T105</f>
        <v>0</v>
      </c>
      <c r="S720" s="54">
        <f>'Product info'!U105</f>
        <v>0</v>
      </c>
      <c r="T720" s="50">
        <f>'Product info'!R105</f>
        <v>0</v>
      </c>
      <c r="U720" s="52">
        <f t="shared" si="152"/>
        <v>0</v>
      </c>
      <c r="V720" s="50">
        <f t="shared" si="153"/>
        <v>0</v>
      </c>
      <c r="W720" s="50">
        <f t="shared" si="154"/>
        <v>0</v>
      </c>
      <c r="X720" s="50">
        <f t="shared" si="155"/>
        <v>0</v>
      </c>
      <c r="Y720" s="50">
        <f t="shared" si="156"/>
        <v>0</v>
      </c>
      <c r="Z720" t="e">
        <f t="shared" si="157"/>
        <v>#DIV/0!</v>
      </c>
    </row>
    <row r="721" spans="1:26" x14ac:dyDescent="0.4">
      <c r="A721">
        <f>'Product info'!A106</f>
        <v>0</v>
      </c>
      <c r="B721">
        <f>'Product info'!F106</f>
        <v>0</v>
      </c>
      <c r="C721" s="6">
        <f>'Product info'!G106</f>
        <v>0</v>
      </c>
      <c r="D721" s="6">
        <f>'Product info'!H106</f>
        <v>0</v>
      </c>
      <c r="E721" t="str">
        <f t="shared" si="145"/>
        <v>0*0*0</v>
      </c>
      <c r="F721" s="50">
        <f>'Product info'!O106</f>
        <v>0</v>
      </c>
      <c r="G721" s="50">
        <f>'Product info'!P106</f>
        <v>0</v>
      </c>
      <c r="H721" s="50">
        <f>'Product info'!Q106</f>
        <v>0</v>
      </c>
      <c r="I721" s="50">
        <f>'Product info'!N106</f>
        <v>0</v>
      </c>
      <c r="J721" s="51">
        <f>'Product info'!M106</f>
        <v>0</v>
      </c>
      <c r="K721" s="52">
        <f t="shared" si="146"/>
        <v>0</v>
      </c>
      <c r="L721" s="50">
        <f t="shared" si="147"/>
        <v>0</v>
      </c>
      <c r="M721" s="50">
        <f t="shared" si="148"/>
        <v>0</v>
      </c>
      <c r="N721" s="50">
        <f t="shared" si="149"/>
        <v>0</v>
      </c>
      <c r="O721" s="50">
        <f t="shared" si="150"/>
        <v>0</v>
      </c>
      <c r="P721" s="53" t="str">
        <f t="shared" si="151"/>
        <v>0*0*0</v>
      </c>
      <c r="Q721" s="54">
        <f>'Product info'!S106</f>
        <v>0</v>
      </c>
      <c r="R721" s="54">
        <f>'Product info'!T106</f>
        <v>0</v>
      </c>
      <c r="S721" s="54">
        <f>'Product info'!U106</f>
        <v>0</v>
      </c>
      <c r="T721" s="50">
        <f>'Product info'!R106</f>
        <v>0</v>
      </c>
      <c r="U721" s="52">
        <f t="shared" si="152"/>
        <v>0</v>
      </c>
      <c r="V721" s="50">
        <f t="shared" si="153"/>
        <v>0</v>
      </c>
      <c r="W721" s="50">
        <f t="shared" si="154"/>
        <v>0</v>
      </c>
      <c r="X721" s="50">
        <f t="shared" si="155"/>
        <v>0</v>
      </c>
      <c r="Y721" s="50">
        <f t="shared" si="156"/>
        <v>0</v>
      </c>
      <c r="Z721" t="e">
        <f t="shared" si="157"/>
        <v>#DIV/0!</v>
      </c>
    </row>
    <row r="722" spans="1:26" x14ac:dyDescent="0.4">
      <c r="A722">
        <f>'Product info'!A107</f>
        <v>0</v>
      </c>
      <c r="B722">
        <f>'Product info'!F107</f>
        <v>0</v>
      </c>
      <c r="C722" s="6">
        <f>'Product info'!G107</f>
        <v>0</v>
      </c>
      <c r="D722" s="6">
        <f>'Product info'!H107</f>
        <v>0</v>
      </c>
      <c r="E722" t="str">
        <f t="shared" si="145"/>
        <v>0*0*0</v>
      </c>
      <c r="F722" s="50">
        <f>'Product info'!O107</f>
        <v>0</v>
      </c>
      <c r="G722" s="50">
        <f>'Product info'!P107</f>
        <v>0</v>
      </c>
      <c r="H722" s="50">
        <f>'Product info'!Q107</f>
        <v>0</v>
      </c>
      <c r="I722" s="50">
        <f>'Product info'!N107</f>
        <v>0</v>
      </c>
      <c r="J722" s="51">
        <f>'Product info'!M107</f>
        <v>0</v>
      </c>
      <c r="K722" s="52">
        <f t="shared" si="146"/>
        <v>0</v>
      </c>
      <c r="L722" s="50">
        <f t="shared" si="147"/>
        <v>0</v>
      </c>
      <c r="M722" s="50">
        <f t="shared" si="148"/>
        <v>0</v>
      </c>
      <c r="N722" s="50">
        <f t="shared" si="149"/>
        <v>0</v>
      </c>
      <c r="O722" s="50">
        <f t="shared" si="150"/>
        <v>0</v>
      </c>
      <c r="P722" s="53" t="str">
        <f t="shared" si="151"/>
        <v>0*0*0</v>
      </c>
      <c r="Q722" s="54">
        <f>'Product info'!S107</f>
        <v>0</v>
      </c>
      <c r="R722" s="54">
        <f>'Product info'!T107</f>
        <v>0</v>
      </c>
      <c r="S722" s="54">
        <f>'Product info'!U107</f>
        <v>0</v>
      </c>
      <c r="T722" s="50">
        <f>'Product info'!R107</f>
        <v>0</v>
      </c>
      <c r="U722" s="52">
        <f t="shared" si="152"/>
        <v>0</v>
      </c>
      <c r="V722" s="50">
        <f t="shared" si="153"/>
        <v>0</v>
      </c>
      <c r="W722" s="50">
        <f t="shared" si="154"/>
        <v>0</v>
      </c>
      <c r="X722" s="50">
        <f t="shared" si="155"/>
        <v>0</v>
      </c>
      <c r="Y722" s="50">
        <f t="shared" si="156"/>
        <v>0</v>
      </c>
      <c r="Z722" t="e">
        <f t="shared" si="157"/>
        <v>#DIV/0!</v>
      </c>
    </row>
    <row r="723" spans="1:26" x14ac:dyDescent="0.4">
      <c r="A723">
        <f>'Product info'!A108</f>
        <v>0</v>
      </c>
      <c r="B723">
        <f>'Product info'!F108</f>
        <v>0</v>
      </c>
      <c r="C723" s="6">
        <f>'Product info'!G108</f>
        <v>0</v>
      </c>
      <c r="D723" s="6">
        <f>'Product info'!H108</f>
        <v>0</v>
      </c>
      <c r="E723" t="str">
        <f t="shared" si="145"/>
        <v>0*0*0</v>
      </c>
      <c r="F723" s="50">
        <f>'Product info'!O108</f>
        <v>0</v>
      </c>
      <c r="G723" s="50">
        <f>'Product info'!P108</f>
        <v>0</v>
      </c>
      <c r="H723" s="50">
        <f>'Product info'!Q108</f>
        <v>0</v>
      </c>
      <c r="I723" s="50">
        <f>'Product info'!N108</f>
        <v>0</v>
      </c>
      <c r="J723" s="51">
        <f>'Product info'!M108</f>
        <v>0</v>
      </c>
      <c r="K723" s="52">
        <f t="shared" si="146"/>
        <v>0</v>
      </c>
      <c r="L723" s="50">
        <f t="shared" si="147"/>
        <v>0</v>
      </c>
      <c r="M723" s="50">
        <f t="shared" si="148"/>
        <v>0</v>
      </c>
      <c r="N723" s="50">
        <f t="shared" si="149"/>
        <v>0</v>
      </c>
      <c r="O723" s="50">
        <f t="shared" si="150"/>
        <v>0</v>
      </c>
      <c r="P723" s="53" t="str">
        <f t="shared" si="151"/>
        <v>0*0*0</v>
      </c>
      <c r="Q723" s="54">
        <f>'Product info'!S108</f>
        <v>0</v>
      </c>
      <c r="R723" s="54">
        <f>'Product info'!T108</f>
        <v>0</v>
      </c>
      <c r="S723" s="54">
        <f>'Product info'!U108</f>
        <v>0</v>
      </c>
      <c r="T723" s="50">
        <f>'Product info'!R108</f>
        <v>0</v>
      </c>
      <c r="U723" s="52">
        <f t="shared" si="152"/>
        <v>0</v>
      </c>
      <c r="V723" s="50">
        <f t="shared" si="153"/>
        <v>0</v>
      </c>
      <c r="W723" s="50">
        <f t="shared" si="154"/>
        <v>0</v>
      </c>
      <c r="X723" s="50">
        <f t="shared" si="155"/>
        <v>0</v>
      </c>
      <c r="Y723" s="50">
        <f t="shared" si="156"/>
        <v>0</v>
      </c>
      <c r="Z723" t="e">
        <f t="shared" si="157"/>
        <v>#DIV/0!</v>
      </c>
    </row>
    <row r="724" spans="1:26" x14ac:dyDescent="0.4">
      <c r="A724">
        <f>'Product info'!A109</f>
        <v>0</v>
      </c>
      <c r="B724">
        <f>'Product info'!F109</f>
        <v>0</v>
      </c>
      <c r="C724" s="6">
        <f>'Product info'!G109</f>
        <v>0</v>
      </c>
      <c r="D724" s="6">
        <f>'Product info'!H109</f>
        <v>0</v>
      </c>
      <c r="E724" t="str">
        <f t="shared" si="145"/>
        <v>0*0*0</v>
      </c>
      <c r="F724" s="50">
        <f>'Product info'!O109</f>
        <v>0</v>
      </c>
      <c r="G724" s="50">
        <f>'Product info'!P109</f>
        <v>0</v>
      </c>
      <c r="H724" s="50">
        <f>'Product info'!Q109</f>
        <v>0</v>
      </c>
      <c r="I724" s="50">
        <f>'Product info'!N109</f>
        <v>0</v>
      </c>
      <c r="J724" s="51">
        <f>'Product info'!M109</f>
        <v>0</v>
      </c>
      <c r="K724" s="52">
        <f t="shared" si="146"/>
        <v>0</v>
      </c>
      <c r="L724" s="50">
        <f t="shared" si="147"/>
        <v>0</v>
      </c>
      <c r="M724" s="50">
        <f t="shared" si="148"/>
        <v>0</v>
      </c>
      <c r="N724" s="50">
        <f t="shared" si="149"/>
        <v>0</v>
      </c>
      <c r="O724" s="50">
        <f t="shared" si="150"/>
        <v>0</v>
      </c>
      <c r="P724" s="53" t="str">
        <f t="shared" si="151"/>
        <v>0*0*0</v>
      </c>
      <c r="Q724" s="54">
        <f>'Product info'!S109</f>
        <v>0</v>
      </c>
      <c r="R724" s="54">
        <f>'Product info'!T109</f>
        <v>0</v>
      </c>
      <c r="S724" s="54">
        <f>'Product info'!U109</f>
        <v>0</v>
      </c>
      <c r="T724" s="50">
        <f>'Product info'!R109</f>
        <v>0</v>
      </c>
      <c r="U724" s="52">
        <f t="shared" si="152"/>
        <v>0</v>
      </c>
      <c r="V724" s="50">
        <f t="shared" si="153"/>
        <v>0</v>
      </c>
      <c r="W724" s="50">
        <f t="shared" si="154"/>
        <v>0</v>
      </c>
      <c r="X724" s="50">
        <f t="shared" si="155"/>
        <v>0</v>
      </c>
      <c r="Y724" s="50">
        <f t="shared" si="156"/>
        <v>0</v>
      </c>
      <c r="Z724" t="e">
        <f t="shared" si="157"/>
        <v>#DIV/0!</v>
      </c>
    </row>
    <row r="725" spans="1:26" x14ac:dyDescent="0.4">
      <c r="A725">
        <f>'Product info'!A110</f>
        <v>0</v>
      </c>
      <c r="B725">
        <f>'Product info'!F110</f>
        <v>0</v>
      </c>
      <c r="C725" s="6">
        <f>'Product info'!G110</f>
        <v>0</v>
      </c>
      <c r="D725" s="6">
        <f>'Product info'!H110</f>
        <v>0</v>
      </c>
      <c r="E725" t="str">
        <f t="shared" si="145"/>
        <v>0*0*0</v>
      </c>
      <c r="F725" s="50">
        <f>'Product info'!O110</f>
        <v>0</v>
      </c>
      <c r="G725" s="50">
        <f>'Product info'!P110</f>
        <v>0</v>
      </c>
      <c r="H725" s="50">
        <f>'Product info'!Q110</f>
        <v>0</v>
      </c>
      <c r="I725" s="50">
        <f>'Product info'!N110</f>
        <v>0</v>
      </c>
      <c r="J725" s="51">
        <f>'Product info'!M110</f>
        <v>0</v>
      </c>
      <c r="K725" s="52">
        <f t="shared" si="146"/>
        <v>0</v>
      </c>
      <c r="L725" s="50">
        <f t="shared" si="147"/>
        <v>0</v>
      </c>
      <c r="M725" s="50">
        <f t="shared" si="148"/>
        <v>0</v>
      </c>
      <c r="N725" s="50">
        <f t="shared" si="149"/>
        <v>0</v>
      </c>
      <c r="O725" s="50">
        <f t="shared" si="150"/>
        <v>0</v>
      </c>
      <c r="P725" s="53" t="str">
        <f t="shared" si="151"/>
        <v>0*0*0</v>
      </c>
      <c r="Q725" s="54">
        <f>'Product info'!S110</f>
        <v>0</v>
      </c>
      <c r="R725" s="54">
        <f>'Product info'!T110</f>
        <v>0</v>
      </c>
      <c r="S725" s="54">
        <f>'Product info'!U110</f>
        <v>0</v>
      </c>
      <c r="T725" s="50">
        <f>'Product info'!R110</f>
        <v>0</v>
      </c>
      <c r="U725" s="52">
        <f t="shared" si="152"/>
        <v>0</v>
      </c>
      <c r="V725" s="50">
        <f t="shared" si="153"/>
        <v>0</v>
      </c>
      <c r="W725" s="50">
        <f t="shared" si="154"/>
        <v>0</v>
      </c>
      <c r="X725" s="50">
        <f t="shared" si="155"/>
        <v>0</v>
      </c>
      <c r="Y725" s="50">
        <f t="shared" si="156"/>
        <v>0</v>
      </c>
      <c r="Z725" t="e">
        <f t="shared" si="157"/>
        <v>#DIV/0!</v>
      </c>
    </row>
    <row r="726" spans="1:26" x14ac:dyDescent="0.4">
      <c r="A726">
        <f>'Product info'!A111</f>
        <v>0</v>
      </c>
      <c r="B726">
        <f>'Product info'!F111</f>
        <v>0</v>
      </c>
      <c r="C726" s="6">
        <f>'Product info'!G111</f>
        <v>0</v>
      </c>
      <c r="D726" s="6">
        <f>'Product info'!H111</f>
        <v>0</v>
      </c>
      <c r="E726" t="str">
        <f t="shared" si="145"/>
        <v>0*0*0</v>
      </c>
      <c r="F726" s="50">
        <f>'Product info'!O111</f>
        <v>0</v>
      </c>
      <c r="G726" s="50">
        <f>'Product info'!P111</f>
        <v>0</v>
      </c>
      <c r="H726" s="50">
        <f>'Product info'!Q111</f>
        <v>0</v>
      </c>
      <c r="I726" s="50">
        <f>'Product info'!N111</f>
        <v>0</v>
      </c>
      <c r="J726" s="51">
        <f>'Product info'!M111</f>
        <v>0</v>
      </c>
      <c r="K726" s="52">
        <f t="shared" si="146"/>
        <v>0</v>
      </c>
      <c r="L726" s="50">
        <f t="shared" si="147"/>
        <v>0</v>
      </c>
      <c r="M726" s="50">
        <f t="shared" si="148"/>
        <v>0</v>
      </c>
      <c r="N726" s="50">
        <f t="shared" si="149"/>
        <v>0</v>
      </c>
      <c r="O726" s="50">
        <f t="shared" si="150"/>
        <v>0</v>
      </c>
      <c r="P726" s="53" t="str">
        <f t="shared" si="151"/>
        <v>0*0*0</v>
      </c>
      <c r="Q726" s="54">
        <f>'Product info'!S111</f>
        <v>0</v>
      </c>
      <c r="R726" s="54">
        <f>'Product info'!T111</f>
        <v>0</v>
      </c>
      <c r="S726" s="54">
        <f>'Product info'!U111</f>
        <v>0</v>
      </c>
      <c r="T726" s="50">
        <f>'Product info'!R111</f>
        <v>0</v>
      </c>
      <c r="U726" s="52">
        <f t="shared" si="152"/>
        <v>0</v>
      </c>
      <c r="V726" s="50">
        <f t="shared" si="153"/>
        <v>0</v>
      </c>
      <c r="W726" s="50">
        <f t="shared" si="154"/>
        <v>0</v>
      </c>
      <c r="X726" s="50">
        <f t="shared" si="155"/>
        <v>0</v>
      </c>
      <c r="Y726" s="50">
        <f t="shared" si="156"/>
        <v>0</v>
      </c>
      <c r="Z726" t="e">
        <f t="shared" si="157"/>
        <v>#DIV/0!</v>
      </c>
    </row>
    <row r="727" spans="1:26" x14ac:dyDescent="0.4">
      <c r="A727">
        <f>'Product info'!A112</f>
        <v>0</v>
      </c>
      <c r="B727">
        <f>'Product info'!F112</f>
        <v>0</v>
      </c>
      <c r="C727" s="6">
        <f>'Product info'!G112</f>
        <v>0</v>
      </c>
      <c r="D727" s="6">
        <f>'Product info'!H112</f>
        <v>0</v>
      </c>
      <c r="E727" t="str">
        <f t="shared" si="145"/>
        <v>0*0*0</v>
      </c>
      <c r="F727" s="50">
        <f>'Product info'!O112</f>
        <v>0</v>
      </c>
      <c r="G727" s="50">
        <f>'Product info'!P112</f>
        <v>0</v>
      </c>
      <c r="H727" s="50">
        <f>'Product info'!Q112</f>
        <v>0</v>
      </c>
      <c r="I727" s="50">
        <f>'Product info'!N112</f>
        <v>0</v>
      </c>
      <c r="J727" s="51">
        <f>'Product info'!M112</f>
        <v>0</v>
      </c>
      <c r="K727" s="52">
        <f t="shared" si="146"/>
        <v>0</v>
      </c>
      <c r="L727" s="50">
        <f t="shared" si="147"/>
        <v>0</v>
      </c>
      <c r="M727" s="50">
        <f t="shared" si="148"/>
        <v>0</v>
      </c>
      <c r="N727" s="50">
        <f t="shared" si="149"/>
        <v>0</v>
      </c>
      <c r="O727" s="50">
        <f t="shared" si="150"/>
        <v>0</v>
      </c>
      <c r="P727" s="53" t="str">
        <f t="shared" si="151"/>
        <v>0*0*0</v>
      </c>
      <c r="Q727" s="54">
        <f>'Product info'!S112</f>
        <v>0</v>
      </c>
      <c r="R727" s="54">
        <f>'Product info'!T112</f>
        <v>0</v>
      </c>
      <c r="S727" s="54">
        <f>'Product info'!U112</f>
        <v>0</v>
      </c>
      <c r="T727" s="50">
        <f>'Product info'!R112</f>
        <v>0</v>
      </c>
      <c r="U727" s="52">
        <f t="shared" si="152"/>
        <v>0</v>
      </c>
      <c r="V727" s="50">
        <f t="shared" si="153"/>
        <v>0</v>
      </c>
      <c r="W727" s="50">
        <f t="shared" si="154"/>
        <v>0</v>
      </c>
      <c r="X727" s="50">
        <f t="shared" si="155"/>
        <v>0</v>
      </c>
      <c r="Y727" s="50">
        <f t="shared" si="156"/>
        <v>0</v>
      </c>
      <c r="Z727" t="e">
        <f t="shared" si="157"/>
        <v>#DIV/0!</v>
      </c>
    </row>
    <row r="728" spans="1:26" x14ac:dyDescent="0.4">
      <c r="A728">
        <f>'Product info'!A113</f>
        <v>0</v>
      </c>
      <c r="B728">
        <f>'Product info'!F113</f>
        <v>0</v>
      </c>
      <c r="C728" s="6">
        <f>'Product info'!G113</f>
        <v>0</v>
      </c>
      <c r="D728" s="6">
        <f>'Product info'!H113</f>
        <v>0</v>
      </c>
      <c r="E728" t="str">
        <f t="shared" si="145"/>
        <v>0*0*0</v>
      </c>
      <c r="F728" s="50">
        <f>'Product info'!O113</f>
        <v>0</v>
      </c>
      <c r="G728" s="50">
        <f>'Product info'!P113</f>
        <v>0</v>
      </c>
      <c r="H728" s="50">
        <f>'Product info'!Q113</f>
        <v>0</v>
      </c>
      <c r="I728" s="50">
        <f>'Product info'!N113</f>
        <v>0</v>
      </c>
      <c r="J728" s="51">
        <f>'Product info'!M113</f>
        <v>0</v>
      </c>
      <c r="K728" s="52">
        <f t="shared" si="146"/>
        <v>0</v>
      </c>
      <c r="L728" s="50">
        <f t="shared" si="147"/>
        <v>0</v>
      </c>
      <c r="M728" s="50">
        <f t="shared" si="148"/>
        <v>0</v>
      </c>
      <c r="N728" s="50">
        <f t="shared" si="149"/>
        <v>0</v>
      </c>
      <c r="O728" s="50">
        <f t="shared" si="150"/>
        <v>0</v>
      </c>
      <c r="P728" s="53" t="str">
        <f t="shared" si="151"/>
        <v>0*0*0</v>
      </c>
      <c r="Q728" s="54">
        <f>'Product info'!S113</f>
        <v>0</v>
      </c>
      <c r="R728" s="54">
        <f>'Product info'!T113</f>
        <v>0</v>
      </c>
      <c r="S728" s="54">
        <f>'Product info'!U113</f>
        <v>0</v>
      </c>
      <c r="T728" s="50">
        <f>'Product info'!R113</f>
        <v>0</v>
      </c>
      <c r="U728" s="52">
        <f t="shared" si="152"/>
        <v>0</v>
      </c>
      <c r="V728" s="50">
        <f t="shared" si="153"/>
        <v>0</v>
      </c>
      <c r="W728" s="50">
        <f t="shared" si="154"/>
        <v>0</v>
      </c>
      <c r="X728" s="50">
        <f t="shared" si="155"/>
        <v>0</v>
      </c>
      <c r="Y728" s="50">
        <f t="shared" si="156"/>
        <v>0</v>
      </c>
      <c r="Z728" t="e">
        <f t="shared" si="157"/>
        <v>#DIV/0!</v>
      </c>
    </row>
    <row r="729" spans="1:26" x14ac:dyDescent="0.4">
      <c r="A729">
        <f>'Product info'!A114</f>
        <v>0</v>
      </c>
      <c r="B729">
        <f>'Product info'!F114</f>
        <v>0</v>
      </c>
      <c r="C729" s="6">
        <f>'Product info'!G114</f>
        <v>0</v>
      </c>
      <c r="D729" s="6">
        <f>'Product info'!H114</f>
        <v>0</v>
      </c>
      <c r="E729" t="str">
        <f t="shared" ref="E729:E772" si="158">F729&amp;"*"&amp;G729&amp;"*"&amp;H729</f>
        <v>0*0*0</v>
      </c>
      <c r="F729" s="50">
        <f>'Product info'!O114</f>
        <v>0</v>
      </c>
      <c r="G729" s="50">
        <f>'Product info'!P114</f>
        <v>0</v>
      </c>
      <c r="H729" s="50">
        <f>'Product info'!Q114</f>
        <v>0</v>
      </c>
      <c r="I729" s="50">
        <f>'Product info'!N114</f>
        <v>0</v>
      </c>
      <c r="J729" s="51">
        <f>'Product info'!M114</f>
        <v>0</v>
      </c>
      <c r="K729" s="52">
        <f t="shared" ref="K729:K772" si="159">F729*G729*H729/(100*100*100)</f>
        <v>0</v>
      </c>
      <c r="L729" s="50">
        <f t="shared" ref="L729:L772" si="160">F729*0.393701</f>
        <v>0</v>
      </c>
      <c r="M729" s="50">
        <f t="shared" ref="M729:M772" si="161">G729*0.393701</f>
        <v>0</v>
      </c>
      <c r="N729" s="50">
        <f t="shared" ref="N729:N772" si="162">H729*0.393701</f>
        <v>0</v>
      </c>
      <c r="O729" s="50">
        <f t="shared" ref="O729:O772" si="163">I729*2.20462</f>
        <v>0</v>
      </c>
      <c r="P729" s="53" t="str">
        <f t="shared" ref="P729:P772" si="164">Q729&amp;"*"&amp;R729&amp;"*"&amp;S729</f>
        <v>0*0*0</v>
      </c>
      <c r="Q729" s="54">
        <f>'Product info'!S114</f>
        <v>0</v>
      </c>
      <c r="R729" s="54">
        <f>'Product info'!T114</f>
        <v>0</v>
      </c>
      <c r="S729" s="54">
        <f>'Product info'!U114</f>
        <v>0</v>
      </c>
      <c r="T729" s="50">
        <f>'Product info'!R114</f>
        <v>0</v>
      </c>
      <c r="U729" s="52">
        <f t="shared" ref="U729:U772" si="165">Q729*R729*S729/(100*100*100)</f>
        <v>0</v>
      </c>
      <c r="V729" s="50">
        <f t="shared" ref="V729:V772" si="166">Q729*0.393701</f>
        <v>0</v>
      </c>
      <c r="W729" s="50">
        <f t="shared" ref="W729:W772" si="167">R729*0.393701</f>
        <v>0</v>
      </c>
      <c r="X729" s="50">
        <f t="shared" ref="X729:X772" si="168">S729*0.393701</f>
        <v>0</v>
      </c>
      <c r="Y729" s="50">
        <f t="shared" ref="Y729:Y772" si="169">T729*2.20462</f>
        <v>0</v>
      </c>
      <c r="Z729" t="e">
        <f t="shared" si="157"/>
        <v>#DIV/0!</v>
      </c>
    </row>
    <row r="730" spans="1:26" x14ac:dyDescent="0.4">
      <c r="A730">
        <f>'Product info'!A115</f>
        <v>0</v>
      </c>
      <c r="B730">
        <f>'Product info'!F115</f>
        <v>0</v>
      </c>
      <c r="C730" s="6">
        <f>'Product info'!G115</f>
        <v>0</v>
      </c>
      <c r="D730" s="6">
        <f>'Product info'!H115</f>
        <v>0</v>
      </c>
      <c r="E730" t="str">
        <f t="shared" si="158"/>
        <v>0*0*0</v>
      </c>
      <c r="F730" s="50">
        <f>'Product info'!O115</f>
        <v>0</v>
      </c>
      <c r="G730" s="50">
        <f>'Product info'!P115</f>
        <v>0</v>
      </c>
      <c r="H730" s="50">
        <f>'Product info'!Q115</f>
        <v>0</v>
      </c>
      <c r="I730" s="50">
        <f>'Product info'!N115</f>
        <v>0</v>
      </c>
      <c r="J730" s="51">
        <f>'Product info'!M115</f>
        <v>0</v>
      </c>
      <c r="K730" s="52">
        <f t="shared" si="159"/>
        <v>0</v>
      </c>
      <c r="L730" s="50">
        <f t="shared" si="160"/>
        <v>0</v>
      </c>
      <c r="M730" s="50">
        <f t="shared" si="161"/>
        <v>0</v>
      </c>
      <c r="N730" s="50">
        <f t="shared" si="162"/>
        <v>0</v>
      </c>
      <c r="O730" s="50">
        <f t="shared" si="163"/>
        <v>0</v>
      </c>
      <c r="P730" s="53" t="str">
        <f t="shared" si="164"/>
        <v>0*0*0</v>
      </c>
      <c r="Q730" s="54">
        <f>'Product info'!S115</f>
        <v>0</v>
      </c>
      <c r="R730" s="54">
        <f>'Product info'!T115</f>
        <v>0</v>
      </c>
      <c r="S730" s="54">
        <f>'Product info'!U115</f>
        <v>0</v>
      </c>
      <c r="T730" s="50">
        <f>'Product info'!R115</f>
        <v>0</v>
      </c>
      <c r="U730" s="52">
        <f t="shared" si="165"/>
        <v>0</v>
      </c>
      <c r="V730" s="50">
        <f t="shared" si="166"/>
        <v>0</v>
      </c>
      <c r="W730" s="50">
        <f t="shared" si="167"/>
        <v>0</v>
      </c>
      <c r="X730" s="50">
        <f t="shared" si="168"/>
        <v>0</v>
      </c>
      <c r="Y730" s="50">
        <f t="shared" si="169"/>
        <v>0</v>
      </c>
      <c r="Z730" t="e">
        <f t="shared" si="157"/>
        <v>#DIV/0!</v>
      </c>
    </row>
    <row r="731" spans="1:26" x14ac:dyDescent="0.4">
      <c r="A731">
        <f>'Product info'!A116</f>
        <v>0</v>
      </c>
      <c r="B731">
        <f>'Product info'!F116</f>
        <v>0</v>
      </c>
      <c r="C731" s="6">
        <f>'Product info'!G116</f>
        <v>0</v>
      </c>
      <c r="D731" s="6">
        <f>'Product info'!H116</f>
        <v>0</v>
      </c>
      <c r="E731" t="str">
        <f t="shared" si="158"/>
        <v>0*0*0</v>
      </c>
      <c r="F731" s="50">
        <f>'Product info'!O116</f>
        <v>0</v>
      </c>
      <c r="G731" s="50">
        <f>'Product info'!P116</f>
        <v>0</v>
      </c>
      <c r="H731" s="50">
        <f>'Product info'!Q116</f>
        <v>0</v>
      </c>
      <c r="I731" s="50">
        <f>'Product info'!N116</f>
        <v>0</v>
      </c>
      <c r="J731" s="51">
        <f>'Product info'!M116</f>
        <v>0</v>
      </c>
      <c r="K731" s="52">
        <f t="shared" si="159"/>
        <v>0</v>
      </c>
      <c r="L731" s="50">
        <f t="shared" si="160"/>
        <v>0</v>
      </c>
      <c r="M731" s="50">
        <f t="shared" si="161"/>
        <v>0</v>
      </c>
      <c r="N731" s="50">
        <f t="shared" si="162"/>
        <v>0</v>
      </c>
      <c r="O731" s="50">
        <f t="shared" si="163"/>
        <v>0</v>
      </c>
      <c r="P731" s="53" t="str">
        <f t="shared" si="164"/>
        <v>0*0*0</v>
      </c>
      <c r="Q731" s="54">
        <f>'Product info'!S116</f>
        <v>0</v>
      </c>
      <c r="R731" s="54">
        <f>'Product info'!T116</f>
        <v>0</v>
      </c>
      <c r="S731" s="54">
        <f>'Product info'!U116</f>
        <v>0</v>
      </c>
      <c r="T731" s="50">
        <f>'Product info'!R116</f>
        <v>0</v>
      </c>
      <c r="U731" s="52">
        <f t="shared" si="165"/>
        <v>0</v>
      </c>
      <c r="V731" s="50">
        <f t="shared" si="166"/>
        <v>0</v>
      </c>
      <c r="W731" s="50">
        <f t="shared" si="167"/>
        <v>0</v>
      </c>
      <c r="X731" s="50">
        <f t="shared" si="168"/>
        <v>0</v>
      </c>
      <c r="Y731" s="50">
        <f t="shared" si="169"/>
        <v>0</v>
      </c>
      <c r="Z731" t="e">
        <f t="shared" si="157"/>
        <v>#DIV/0!</v>
      </c>
    </row>
    <row r="732" spans="1:26" x14ac:dyDescent="0.4">
      <c r="A732">
        <f>'Product info'!A117</f>
        <v>0</v>
      </c>
      <c r="B732">
        <f>'Product info'!F117</f>
        <v>0</v>
      </c>
      <c r="C732" s="6">
        <f>'Product info'!G117</f>
        <v>0</v>
      </c>
      <c r="D732" s="6">
        <f>'Product info'!H117</f>
        <v>0</v>
      </c>
      <c r="E732" t="str">
        <f t="shared" si="158"/>
        <v>0*0*0</v>
      </c>
      <c r="F732" s="50">
        <f>'Product info'!O117</f>
        <v>0</v>
      </c>
      <c r="G732" s="50">
        <f>'Product info'!P117</f>
        <v>0</v>
      </c>
      <c r="H732" s="50">
        <f>'Product info'!Q117</f>
        <v>0</v>
      </c>
      <c r="I732" s="50">
        <f>'Product info'!N117</f>
        <v>0</v>
      </c>
      <c r="J732" s="51">
        <f>'Product info'!M117</f>
        <v>0</v>
      </c>
      <c r="K732" s="52">
        <f t="shared" si="159"/>
        <v>0</v>
      </c>
      <c r="L732" s="50">
        <f t="shared" si="160"/>
        <v>0</v>
      </c>
      <c r="M732" s="50">
        <f t="shared" si="161"/>
        <v>0</v>
      </c>
      <c r="N732" s="50">
        <f t="shared" si="162"/>
        <v>0</v>
      </c>
      <c r="O732" s="50">
        <f t="shared" si="163"/>
        <v>0</v>
      </c>
      <c r="P732" s="53" t="str">
        <f t="shared" si="164"/>
        <v>0*0*0</v>
      </c>
      <c r="Q732" s="54">
        <f>'Product info'!S117</f>
        <v>0</v>
      </c>
      <c r="R732" s="54">
        <f>'Product info'!T117</f>
        <v>0</v>
      </c>
      <c r="S732" s="54">
        <f>'Product info'!U117</f>
        <v>0</v>
      </c>
      <c r="T732" s="50">
        <f>'Product info'!R117</f>
        <v>0</v>
      </c>
      <c r="U732" s="52">
        <f t="shared" si="165"/>
        <v>0</v>
      </c>
      <c r="V732" s="50">
        <f t="shared" si="166"/>
        <v>0</v>
      </c>
      <c r="W732" s="50">
        <f t="shared" si="167"/>
        <v>0</v>
      </c>
      <c r="X732" s="50">
        <f t="shared" si="168"/>
        <v>0</v>
      </c>
      <c r="Y732" s="50">
        <f t="shared" si="169"/>
        <v>0</v>
      </c>
      <c r="Z732" t="e">
        <f t="shared" si="157"/>
        <v>#DIV/0!</v>
      </c>
    </row>
    <row r="733" spans="1:26" x14ac:dyDescent="0.4">
      <c r="A733">
        <f>'Product info'!A118</f>
        <v>0</v>
      </c>
      <c r="B733">
        <f>'Product info'!F118</f>
        <v>0</v>
      </c>
      <c r="C733" s="6">
        <f>'Product info'!G118</f>
        <v>0</v>
      </c>
      <c r="D733" s="6">
        <f>'Product info'!H118</f>
        <v>0</v>
      </c>
      <c r="E733" t="str">
        <f t="shared" si="158"/>
        <v>0*0*0</v>
      </c>
      <c r="F733" s="50">
        <f>'Product info'!O118</f>
        <v>0</v>
      </c>
      <c r="G733" s="50">
        <f>'Product info'!P118</f>
        <v>0</v>
      </c>
      <c r="H733" s="50">
        <f>'Product info'!Q118</f>
        <v>0</v>
      </c>
      <c r="I733" s="50">
        <f>'Product info'!N118</f>
        <v>0</v>
      </c>
      <c r="J733" s="51">
        <f>'Product info'!M118</f>
        <v>0</v>
      </c>
      <c r="K733" s="52">
        <f t="shared" si="159"/>
        <v>0</v>
      </c>
      <c r="L733" s="50">
        <f t="shared" si="160"/>
        <v>0</v>
      </c>
      <c r="M733" s="50">
        <f t="shared" si="161"/>
        <v>0</v>
      </c>
      <c r="N733" s="50">
        <f t="shared" si="162"/>
        <v>0</v>
      </c>
      <c r="O733" s="50">
        <f t="shared" si="163"/>
        <v>0</v>
      </c>
      <c r="P733" s="53" t="str">
        <f t="shared" si="164"/>
        <v>0*0*0</v>
      </c>
      <c r="Q733" s="54">
        <f>'Product info'!S118</f>
        <v>0</v>
      </c>
      <c r="R733" s="54">
        <f>'Product info'!T118</f>
        <v>0</v>
      </c>
      <c r="S733" s="54">
        <f>'Product info'!U118</f>
        <v>0</v>
      </c>
      <c r="T733" s="50">
        <f>'Product info'!R118</f>
        <v>0</v>
      </c>
      <c r="U733" s="52">
        <f t="shared" si="165"/>
        <v>0</v>
      </c>
      <c r="V733" s="50">
        <f t="shared" si="166"/>
        <v>0</v>
      </c>
      <c r="W733" s="50">
        <f t="shared" si="167"/>
        <v>0</v>
      </c>
      <c r="X733" s="50">
        <f t="shared" si="168"/>
        <v>0</v>
      </c>
      <c r="Y733" s="50">
        <f t="shared" si="169"/>
        <v>0</v>
      </c>
      <c r="Z733" t="e">
        <f t="shared" si="157"/>
        <v>#DIV/0!</v>
      </c>
    </row>
    <row r="734" spans="1:26" x14ac:dyDescent="0.4">
      <c r="A734">
        <f>'Product info'!A119</f>
        <v>0</v>
      </c>
      <c r="B734">
        <f>'Product info'!F119</f>
        <v>0</v>
      </c>
      <c r="C734" s="6">
        <f>'Product info'!G119</f>
        <v>0</v>
      </c>
      <c r="D734" s="6">
        <f>'Product info'!H119</f>
        <v>0</v>
      </c>
      <c r="E734" t="str">
        <f t="shared" si="158"/>
        <v>0*0*0</v>
      </c>
      <c r="F734" s="50">
        <f>'Product info'!O119</f>
        <v>0</v>
      </c>
      <c r="G734" s="50">
        <f>'Product info'!P119</f>
        <v>0</v>
      </c>
      <c r="H734" s="50">
        <f>'Product info'!Q119</f>
        <v>0</v>
      </c>
      <c r="I734" s="50">
        <f>'Product info'!N119</f>
        <v>0</v>
      </c>
      <c r="J734" s="51">
        <f>'Product info'!M119</f>
        <v>0</v>
      </c>
      <c r="K734" s="52">
        <f t="shared" si="159"/>
        <v>0</v>
      </c>
      <c r="L734" s="50">
        <f t="shared" si="160"/>
        <v>0</v>
      </c>
      <c r="M734" s="50">
        <f t="shared" si="161"/>
        <v>0</v>
      </c>
      <c r="N734" s="50">
        <f t="shared" si="162"/>
        <v>0</v>
      </c>
      <c r="O734" s="50">
        <f t="shared" si="163"/>
        <v>0</v>
      </c>
      <c r="P734" s="53" t="str">
        <f t="shared" si="164"/>
        <v>0*0*0</v>
      </c>
      <c r="Q734" s="54">
        <f>'Product info'!S119</f>
        <v>0</v>
      </c>
      <c r="R734" s="54">
        <f>'Product info'!T119</f>
        <v>0</v>
      </c>
      <c r="S734" s="54">
        <f>'Product info'!U119</f>
        <v>0</v>
      </c>
      <c r="T734" s="50">
        <f>'Product info'!R119</f>
        <v>0</v>
      </c>
      <c r="U734" s="52">
        <f t="shared" si="165"/>
        <v>0</v>
      </c>
      <c r="V734" s="50">
        <f t="shared" si="166"/>
        <v>0</v>
      </c>
      <c r="W734" s="50">
        <f t="shared" si="167"/>
        <v>0</v>
      </c>
      <c r="X734" s="50">
        <f t="shared" si="168"/>
        <v>0</v>
      </c>
      <c r="Y734" s="50">
        <f t="shared" si="169"/>
        <v>0</v>
      </c>
      <c r="Z734" t="e">
        <f t="shared" si="157"/>
        <v>#DIV/0!</v>
      </c>
    </row>
    <row r="735" spans="1:26" x14ac:dyDescent="0.4">
      <c r="A735">
        <f>'Product info'!A120</f>
        <v>0</v>
      </c>
      <c r="B735">
        <f>'Product info'!F120</f>
        <v>0</v>
      </c>
      <c r="C735" s="6">
        <f>'Product info'!G120</f>
        <v>0</v>
      </c>
      <c r="D735" s="6">
        <f>'Product info'!H120</f>
        <v>0</v>
      </c>
      <c r="E735" t="str">
        <f t="shared" si="158"/>
        <v>0*0*0</v>
      </c>
      <c r="F735" s="50">
        <f>'Product info'!O120</f>
        <v>0</v>
      </c>
      <c r="G735" s="50">
        <f>'Product info'!P120</f>
        <v>0</v>
      </c>
      <c r="H735" s="50">
        <f>'Product info'!Q120</f>
        <v>0</v>
      </c>
      <c r="I735" s="50">
        <f>'Product info'!N120</f>
        <v>0</v>
      </c>
      <c r="J735" s="51">
        <f>'Product info'!M120</f>
        <v>0</v>
      </c>
      <c r="K735" s="52">
        <f t="shared" si="159"/>
        <v>0</v>
      </c>
      <c r="L735" s="50">
        <f t="shared" si="160"/>
        <v>0</v>
      </c>
      <c r="M735" s="50">
        <f t="shared" si="161"/>
        <v>0</v>
      </c>
      <c r="N735" s="50">
        <f t="shared" si="162"/>
        <v>0</v>
      </c>
      <c r="O735" s="50">
        <f t="shared" si="163"/>
        <v>0</v>
      </c>
      <c r="P735" s="53" t="str">
        <f t="shared" si="164"/>
        <v>0*0*0</v>
      </c>
      <c r="Q735" s="54">
        <f>'Product info'!S120</f>
        <v>0</v>
      </c>
      <c r="R735" s="54">
        <f>'Product info'!T120</f>
        <v>0</v>
      </c>
      <c r="S735" s="54">
        <f>'Product info'!U120</f>
        <v>0</v>
      </c>
      <c r="T735" s="50">
        <f>'Product info'!R120</f>
        <v>0</v>
      </c>
      <c r="U735" s="52">
        <f t="shared" si="165"/>
        <v>0</v>
      </c>
      <c r="V735" s="50">
        <f t="shared" si="166"/>
        <v>0</v>
      </c>
      <c r="W735" s="50">
        <f t="shared" si="167"/>
        <v>0</v>
      </c>
      <c r="X735" s="50">
        <f t="shared" si="168"/>
        <v>0</v>
      </c>
      <c r="Y735" s="50">
        <f t="shared" si="169"/>
        <v>0</v>
      </c>
      <c r="Z735" t="e">
        <f t="shared" si="157"/>
        <v>#DIV/0!</v>
      </c>
    </row>
    <row r="736" spans="1:26" x14ac:dyDescent="0.4">
      <c r="A736">
        <f>'Product info'!A121</f>
        <v>0</v>
      </c>
      <c r="B736">
        <f>'Product info'!F121</f>
        <v>0</v>
      </c>
      <c r="C736" s="6">
        <f>'Product info'!G121</f>
        <v>0</v>
      </c>
      <c r="D736" s="6">
        <f>'Product info'!H121</f>
        <v>0</v>
      </c>
      <c r="E736" t="str">
        <f t="shared" si="158"/>
        <v>0*0*0</v>
      </c>
      <c r="F736" s="50">
        <f>'Product info'!O121</f>
        <v>0</v>
      </c>
      <c r="G736" s="50">
        <f>'Product info'!P121</f>
        <v>0</v>
      </c>
      <c r="H736" s="50">
        <f>'Product info'!Q121</f>
        <v>0</v>
      </c>
      <c r="I736" s="50">
        <f>'Product info'!N121</f>
        <v>0</v>
      </c>
      <c r="J736" s="51">
        <f>'Product info'!M121</f>
        <v>0</v>
      </c>
      <c r="K736" s="52">
        <f t="shared" si="159"/>
        <v>0</v>
      </c>
      <c r="L736" s="50">
        <f t="shared" si="160"/>
        <v>0</v>
      </c>
      <c r="M736" s="50">
        <f t="shared" si="161"/>
        <v>0</v>
      </c>
      <c r="N736" s="50">
        <f t="shared" si="162"/>
        <v>0</v>
      </c>
      <c r="O736" s="50">
        <f t="shared" si="163"/>
        <v>0</v>
      </c>
      <c r="P736" s="53" t="str">
        <f t="shared" si="164"/>
        <v>0*0*0</v>
      </c>
      <c r="Q736" s="54">
        <f>'Product info'!S121</f>
        <v>0</v>
      </c>
      <c r="R736" s="54">
        <f>'Product info'!T121</f>
        <v>0</v>
      </c>
      <c r="S736" s="54">
        <f>'Product info'!U121</f>
        <v>0</v>
      </c>
      <c r="T736" s="50">
        <f>'Product info'!R121</f>
        <v>0</v>
      </c>
      <c r="U736" s="52">
        <f t="shared" si="165"/>
        <v>0</v>
      </c>
      <c r="V736" s="50">
        <f t="shared" si="166"/>
        <v>0</v>
      </c>
      <c r="W736" s="50">
        <f t="shared" si="167"/>
        <v>0</v>
      </c>
      <c r="X736" s="50">
        <f t="shared" si="168"/>
        <v>0</v>
      </c>
      <c r="Y736" s="50">
        <f t="shared" si="169"/>
        <v>0</v>
      </c>
      <c r="Z736" t="e">
        <f t="shared" si="157"/>
        <v>#DIV/0!</v>
      </c>
    </row>
    <row r="737" spans="1:26" x14ac:dyDescent="0.4">
      <c r="A737">
        <f>'Product info'!A122</f>
        <v>0</v>
      </c>
      <c r="B737">
        <f>'Product info'!F122</f>
        <v>0</v>
      </c>
      <c r="C737" s="6">
        <f>'Product info'!G122</f>
        <v>0</v>
      </c>
      <c r="D737" s="6">
        <f>'Product info'!H122</f>
        <v>0</v>
      </c>
      <c r="E737" t="str">
        <f t="shared" si="158"/>
        <v>0*0*0</v>
      </c>
      <c r="F737" s="50">
        <f>'Product info'!O122</f>
        <v>0</v>
      </c>
      <c r="G737" s="50">
        <f>'Product info'!P122</f>
        <v>0</v>
      </c>
      <c r="H737" s="50">
        <f>'Product info'!Q122</f>
        <v>0</v>
      </c>
      <c r="I737" s="50">
        <f>'Product info'!N122</f>
        <v>0</v>
      </c>
      <c r="J737" s="51">
        <f>'Product info'!M122</f>
        <v>0</v>
      </c>
      <c r="K737" s="52">
        <f t="shared" si="159"/>
        <v>0</v>
      </c>
      <c r="L737" s="50">
        <f t="shared" si="160"/>
        <v>0</v>
      </c>
      <c r="M737" s="50">
        <f t="shared" si="161"/>
        <v>0</v>
      </c>
      <c r="N737" s="50">
        <f t="shared" si="162"/>
        <v>0</v>
      </c>
      <c r="O737" s="50">
        <f t="shared" si="163"/>
        <v>0</v>
      </c>
      <c r="P737" s="53" t="str">
        <f t="shared" si="164"/>
        <v>0*0*0</v>
      </c>
      <c r="Q737" s="54">
        <f>'Product info'!S122</f>
        <v>0</v>
      </c>
      <c r="R737" s="54">
        <f>'Product info'!T122</f>
        <v>0</v>
      </c>
      <c r="S737" s="54">
        <f>'Product info'!U122</f>
        <v>0</v>
      </c>
      <c r="T737" s="50">
        <f>'Product info'!R122</f>
        <v>0</v>
      </c>
      <c r="U737" s="52">
        <f t="shared" si="165"/>
        <v>0</v>
      </c>
      <c r="V737" s="50">
        <f t="shared" si="166"/>
        <v>0</v>
      </c>
      <c r="W737" s="50">
        <f t="shared" si="167"/>
        <v>0</v>
      </c>
      <c r="X737" s="50">
        <f t="shared" si="168"/>
        <v>0</v>
      </c>
      <c r="Y737" s="50">
        <f t="shared" si="169"/>
        <v>0</v>
      </c>
      <c r="Z737" t="e">
        <f t="shared" si="157"/>
        <v>#DIV/0!</v>
      </c>
    </row>
    <row r="738" spans="1:26" x14ac:dyDescent="0.4">
      <c r="A738">
        <f>'Product info'!A123</f>
        <v>0</v>
      </c>
      <c r="B738">
        <f>'Product info'!F123</f>
        <v>0</v>
      </c>
      <c r="C738" s="6">
        <f>'Product info'!G123</f>
        <v>0</v>
      </c>
      <c r="D738" s="6">
        <f>'Product info'!H123</f>
        <v>0</v>
      </c>
      <c r="E738" t="str">
        <f t="shared" si="158"/>
        <v>0*0*0</v>
      </c>
      <c r="F738" s="50">
        <f>'Product info'!O123</f>
        <v>0</v>
      </c>
      <c r="G738" s="50">
        <f>'Product info'!P123</f>
        <v>0</v>
      </c>
      <c r="H738" s="50">
        <f>'Product info'!Q123</f>
        <v>0</v>
      </c>
      <c r="I738" s="50">
        <f>'Product info'!N123</f>
        <v>0</v>
      </c>
      <c r="J738" s="51">
        <f>'Product info'!M123</f>
        <v>0</v>
      </c>
      <c r="K738" s="52">
        <f t="shared" si="159"/>
        <v>0</v>
      </c>
      <c r="L738" s="50">
        <f t="shared" si="160"/>
        <v>0</v>
      </c>
      <c r="M738" s="50">
        <f t="shared" si="161"/>
        <v>0</v>
      </c>
      <c r="N738" s="50">
        <f t="shared" si="162"/>
        <v>0</v>
      </c>
      <c r="O738" s="50">
        <f t="shared" si="163"/>
        <v>0</v>
      </c>
      <c r="P738" s="53" t="str">
        <f t="shared" si="164"/>
        <v>0*0*0</v>
      </c>
      <c r="Q738" s="54">
        <f>'Product info'!S123</f>
        <v>0</v>
      </c>
      <c r="R738" s="54">
        <f>'Product info'!T123</f>
        <v>0</v>
      </c>
      <c r="S738" s="54">
        <f>'Product info'!U123</f>
        <v>0</v>
      </c>
      <c r="T738" s="50">
        <f>'Product info'!R123</f>
        <v>0</v>
      </c>
      <c r="U738" s="52">
        <f t="shared" si="165"/>
        <v>0</v>
      </c>
      <c r="V738" s="50">
        <f t="shared" si="166"/>
        <v>0</v>
      </c>
      <c r="W738" s="50">
        <f t="shared" si="167"/>
        <v>0</v>
      </c>
      <c r="X738" s="50">
        <f t="shared" si="168"/>
        <v>0</v>
      </c>
      <c r="Y738" s="50">
        <f t="shared" si="169"/>
        <v>0</v>
      </c>
      <c r="Z738" t="e">
        <f t="shared" si="157"/>
        <v>#DIV/0!</v>
      </c>
    </row>
    <row r="739" spans="1:26" x14ac:dyDescent="0.4">
      <c r="A739">
        <f>'Product info'!A124</f>
        <v>0</v>
      </c>
      <c r="B739">
        <f>'Product info'!F124</f>
        <v>0</v>
      </c>
      <c r="C739" s="6">
        <f>'Product info'!G124</f>
        <v>0</v>
      </c>
      <c r="D739" s="6">
        <f>'Product info'!H124</f>
        <v>0</v>
      </c>
      <c r="E739" t="str">
        <f t="shared" si="158"/>
        <v>0*0*0</v>
      </c>
      <c r="F739" s="50">
        <f>'Product info'!O124</f>
        <v>0</v>
      </c>
      <c r="G739" s="50">
        <f>'Product info'!P124</f>
        <v>0</v>
      </c>
      <c r="H739" s="50">
        <f>'Product info'!Q124</f>
        <v>0</v>
      </c>
      <c r="I739" s="50">
        <f>'Product info'!N124</f>
        <v>0</v>
      </c>
      <c r="J739" s="51">
        <f>'Product info'!M124</f>
        <v>0</v>
      </c>
      <c r="K739" s="52">
        <f t="shared" si="159"/>
        <v>0</v>
      </c>
      <c r="L739" s="50">
        <f t="shared" si="160"/>
        <v>0</v>
      </c>
      <c r="M739" s="50">
        <f t="shared" si="161"/>
        <v>0</v>
      </c>
      <c r="N739" s="50">
        <f t="shared" si="162"/>
        <v>0</v>
      </c>
      <c r="O739" s="50">
        <f t="shared" si="163"/>
        <v>0</v>
      </c>
      <c r="P739" s="53" t="str">
        <f t="shared" si="164"/>
        <v>0*0*0</v>
      </c>
      <c r="Q739" s="54">
        <f>'Product info'!S124</f>
        <v>0</v>
      </c>
      <c r="R739" s="54">
        <f>'Product info'!T124</f>
        <v>0</v>
      </c>
      <c r="S739" s="54">
        <f>'Product info'!U124</f>
        <v>0</v>
      </c>
      <c r="T739" s="50">
        <f>'Product info'!R124</f>
        <v>0</v>
      </c>
      <c r="U739" s="52">
        <f t="shared" si="165"/>
        <v>0</v>
      </c>
      <c r="V739" s="50">
        <f t="shared" si="166"/>
        <v>0</v>
      </c>
      <c r="W739" s="50">
        <f t="shared" si="167"/>
        <v>0</v>
      </c>
      <c r="X739" s="50">
        <f t="shared" si="168"/>
        <v>0</v>
      </c>
      <c r="Y739" s="50">
        <f t="shared" si="169"/>
        <v>0</v>
      </c>
      <c r="Z739" t="e">
        <f t="shared" si="157"/>
        <v>#DIV/0!</v>
      </c>
    </row>
    <row r="740" spans="1:26" x14ac:dyDescent="0.4">
      <c r="A740">
        <f>'Product info'!A125</f>
        <v>0</v>
      </c>
      <c r="B740">
        <f>'Product info'!F125</f>
        <v>0</v>
      </c>
      <c r="C740" s="6">
        <f>'Product info'!G125</f>
        <v>0</v>
      </c>
      <c r="D740" s="6">
        <f>'Product info'!H125</f>
        <v>0</v>
      </c>
      <c r="E740" t="str">
        <f t="shared" si="158"/>
        <v>0*0*0</v>
      </c>
      <c r="F740" s="50">
        <f>'Product info'!O125</f>
        <v>0</v>
      </c>
      <c r="G740" s="50">
        <f>'Product info'!P125</f>
        <v>0</v>
      </c>
      <c r="H740" s="50">
        <f>'Product info'!Q125</f>
        <v>0</v>
      </c>
      <c r="I740" s="50">
        <f>'Product info'!N125</f>
        <v>0</v>
      </c>
      <c r="J740" s="51">
        <f>'Product info'!M125</f>
        <v>0</v>
      </c>
      <c r="K740" s="52">
        <f t="shared" si="159"/>
        <v>0</v>
      </c>
      <c r="L740" s="50">
        <f t="shared" si="160"/>
        <v>0</v>
      </c>
      <c r="M740" s="50">
        <f t="shared" si="161"/>
        <v>0</v>
      </c>
      <c r="N740" s="50">
        <f t="shared" si="162"/>
        <v>0</v>
      </c>
      <c r="O740" s="50">
        <f t="shared" si="163"/>
        <v>0</v>
      </c>
      <c r="P740" s="53" t="str">
        <f t="shared" si="164"/>
        <v>0*0*0</v>
      </c>
      <c r="Q740" s="54">
        <f>'Product info'!S125</f>
        <v>0</v>
      </c>
      <c r="R740" s="54">
        <f>'Product info'!T125</f>
        <v>0</v>
      </c>
      <c r="S740" s="54">
        <f>'Product info'!U125</f>
        <v>0</v>
      </c>
      <c r="T740" s="50">
        <f>'Product info'!R125</f>
        <v>0</v>
      </c>
      <c r="U740" s="52">
        <f t="shared" si="165"/>
        <v>0</v>
      </c>
      <c r="V740" s="50">
        <f t="shared" si="166"/>
        <v>0</v>
      </c>
      <c r="W740" s="50">
        <f t="shared" si="167"/>
        <v>0</v>
      </c>
      <c r="X740" s="50">
        <f t="shared" si="168"/>
        <v>0</v>
      </c>
      <c r="Y740" s="50">
        <f t="shared" si="169"/>
        <v>0</v>
      </c>
      <c r="Z740" t="e">
        <f t="shared" si="157"/>
        <v>#DIV/0!</v>
      </c>
    </row>
    <row r="741" spans="1:26" x14ac:dyDescent="0.4">
      <c r="A741">
        <f>'Product info'!A126</f>
        <v>0</v>
      </c>
      <c r="B741">
        <f>'Product info'!F126</f>
        <v>0</v>
      </c>
      <c r="C741" s="6">
        <f>'Product info'!G126</f>
        <v>0</v>
      </c>
      <c r="D741" s="6">
        <f>'Product info'!H126</f>
        <v>0</v>
      </c>
      <c r="E741" t="str">
        <f t="shared" si="158"/>
        <v>0*0*0</v>
      </c>
      <c r="F741" s="50">
        <f>'Product info'!O126</f>
        <v>0</v>
      </c>
      <c r="G741" s="50">
        <f>'Product info'!P126</f>
        <v>0</v>
      </c>
      <c r="H741" s="50">
        <f>'Product info'!Q126</f>
        <v>0</v>
      </c>
      <c r="I741" s="50">
        <f>'Product info'!N126</f>
        <v>0</v>
      </c>
      <c r="J741" s="51">
        <f>'Product info'!M126</f>
        <v>0</v>
      </c>
      <c r="K741" s="52">
        <f t="shared" si="159"/>
        <v>0</v>
      </c>
      <c r="L741" s="50">
        <f t="shared" si="160"/>
        <v>0</v>
      </c>
      <c r="M741" s="50">
        <f t="shared" si="161"/>
        <v>0</v>
      </c>
      <c r="N741" s="50">
        <f t="shared" si="162"/>
        <v>0</v>
      </c>
      <c r="O741" s="50">
        <f t="shared" si="163"/>
        <v>0</v>
      </c>
      <c r="P741" s="53" t="str">
        <f t="shared" si="164"/>
        <v>0*0*0</v>
      </c>
      <c r="Q741" s="54">
        <f>'Product info'!S126</f>
        <v>0</v>
      </c>
      <c r="R741" s="54">
        <f>'Product info'!T126</f>
        <v>0</v>
      </c>
      <c r="S741" s="54">
        <f>'Product info'!U126</f>
        <v>0</v>
      </c>
      <c r="T741" s="50">
        <f>'Product info'!R126</f>
        <v>0</v>
      </c>
      <c r="U741" s="52">
        <f t="shared" si="165"/>
        <v>0</v>
      </c>
      <c r="V741" s="50">
        <f t="shared" si="166"/>
        <v>0</v>
      </c>
      <c r="W741" s="50">
        <f t="shared" si="167"/>
        <v>0</v>
      </c>
      <c r="X741" s="50">
        <f t="shared" si="168"/>
        <v>0</v>
      </c>
      <c r="Y741" s="50">
        <f t="shared" si="169"/>
        <v>0</v>
      </c>
      <c r="Z741" t="e">
        <f t="shared" si="157"/>
        <v>#DIV/0!</v>
      </c>
    </row>
    <row r="742" spans="1:26" x14ac:dyDescent="0.4">
      <c r="A742">
        <f>'Product info'!A127</f>
        <v>0</v>
      </c>
      <c r="B742">
        <f>'Product info'!F127</f>
        <v>0</v>
      </c>
      <c r="C742" s="6">
        <f>'Product info'!G127</f>
        <v>0</v>
      </c>
      <c r="D742" s="6">
        <f>'Product info'!H127</f>
        <v>0</v>
      </c>
      <c r="E742" t="str">
        <f t="shared" si="158"/>
        <v>0*0*0</v>
      </c>
      <c r="F742" s="50">
        <f>'Product info'!O127</f>
        <v>0</v>
      </c>
      <c r="G742" s="50">
        <f>'Product info'!P127</f>
        <v>0</v>
      </c>
      <c r="H742" s="50">
        <f>'Product info'!Q127</f>
        <v>0</v>
      </c>
      <c r="I742" s="50">
        <f>'Product info'!N127</f>
        <v>0</v>
      </c>
      <c r="J742" s="51">
        <f>'Product info'!M127</f>
        <v>0</v>
      </c>
      <c r="K742" s="52">
        <f t="shared" si="159"/>
        <v>0</v>
      </c>
      <c r="L742" s="50">
        <f t="shared" si="160"/>
        <v>0</v>
      </c>
      <c r="M742" s="50">
        <f t="shared" si="161"/>
        <v>0</v>
      </c>
      <c r="N742" s="50">
        <f t="shared" si="162"/>
        <v>0</v>
      </c>
      <c r="O742" s="50">
        <f t="shared" si="163"/>
        <v>0</v>
      </c>
      <c r="P742" s="53" t="str">
        <f t="shared" si="164"/>
        <v>0*0*0</v>
      </c>
      <c r="Q742" s="54">
        <f>'Product info'!S127</f>
        <v>0</v>
      </c>
      <c r="R742" s="54">
        <f>'Product info'!T127</f>
        <v>0</v>
      </c>
      <c r="S742" s="54">
        <f>'Product info'!U127</f>
        <v>0</v>
      </c>
      <c r="T742" s="50">
        <f>'Product info'!R127</f>
        <v>0</v>
      </c>
      <c r="U742" s="52">
        <f t="shared" si="165"/>
        <v>0</v>
      </c>
      <c r="V742" s="50">
        <f t="shared" si="166"/>
        <v>0</v>
      </c>
      <c r="W742" s="50">
        <f t="shared" si="167"/>
        <v>0</v>
      </c>
      <c r="X742" s="50">
        <f t="shared" si="168"/>
        <v>0</v>
      </c>
      <c r="Y742" s="50">
        <f t="shared" si="169"/>
        <v>0</v>
      </c>
      <c r="Z742" t="e">
        <f t="shared" si="157"/>
        <v>#DIV/0!</v>
      </c>
    </row>
    <row r="743" spans="1:26" x14ac:dyDescent="0.4">
      <c r="A743">
        <f>'Product info'!A128</f>
        <v>0</v>
      </c>
      <c r="B743">
        <f>'Product info'!F128</f>
        <v>0</v>
      </c>
      <c r="C743" s="6">
        <f>'Product info'!G128</f>
        <v>0</v>
      </c>
      <c r="D743" s="6">
        <f>'Product info'!H128</f>
        <v>0</v>
      </c>
      <c r="E743" t="str">
        <f t="shared" si="158"/>
        <v>0*0*0</v>
      </c>
      <c r="F743" s="50">
        <f>'Product info'!O128</f>
        <v>0</v>
      </c>
      <c r="G743" s="50">
        <f>'Product info'!P128</f>
        <v>0</v>
      </c>
      <c r="H743" s="50">
        <f>'Product info'!Q128</f>
        <v>0</v>
      </c>
      <c r="I743" s="50">
        <f>'Product info'!N128</f>
        <v>0</v>
      </c>
      <c r="J743" s="51">
        <f>'Product info'!M128</f>
        <v>0</v>
      </c>
      <c r="K743" s="52">
        <f t="shared" si="159"/>
        <v>0</v>
      </c>
      <c r="L743" s="50">
        <f t="shared" si="160"/>
        <v>0</v>
      </c>
      <c r="M743" s="50">
        <f t="shared" si="161"/>
        <v>0</v>
      </c>
      <c r="N743" s="50">
        <f t="shared" si="162"/>
        <v>0</v>
      </c>
      <c r="O743" s="50">
        <f t="shared" si="163"/>
        <v>0</v>
      </c>
      <c r="P743" s="53" t="str">
        <f t="shared" si="164"/>
        <v>0*0*0</v>
      </c>
      <c r="Q743" s="54">
        <f>'Product info'!S128</f>
        <v>0</v>
      </c>
      <c r="R743" s="54">
        <f>'Product info'!T128</f>
        <v>0</v>
      </c>
      <c r="S743" s="54">
        <f>'Product info'!U128</f>
        <v>0</v>
      </c>
      <c r="T743" s="50">
        <f>'Product info'!R128</f>
        <v>0</v>
      </c>
      <c r="U743" s="52">
        <f t="shared" si="165"/>
        <v>0</v>
      </c>
      <c r="V743" s="50">
        <f t="shared" si="166"/>
        <v>0</v>
      </c>
      <c r="W743" s="50">
        <f t="shared" si="167"/>
        <v>0</v>
      </c>
      <c r="X743" s="50">
        <f t="shared" si="168"/>
        <v>0</v>
      </c>
      <c r="Y743" s="50">
        <f t="shared" si="169"/>
        <v>0</v>
      </c>
      <c r="Z743" t="e">
        <f t="shared" si="157"/>
        <v>#DIV/0!</v>
      </c>
    </row>
    <row r="744" spans="1:26" x14ac:dyDescent="0.4">
      <c r="A744">
        <f>'Product info'!A129</f>
        <v>0</v>
      </c>
      <c r="B744">
        <f>'Product info'!F129</f>
        <v>0</v>
      </c>
      <c r="C744" s="6">
        <f>'Product info'!G129</f>
        <v>0</v>
      </c>
      <c r="D744" s="6">
        <f>'Product info'!H129</f>
        <v>0</v>
      </c>
      <c r="E744" t="str">
        <f t="shared" si="158"/>
        <v>0*0*0</v>
      </c>
      <c r="F744" s="50">
        <f>'Product info'!O129</f>
        <v>0</v>
      </c>
      <c r="G744" s="50">
        <f>'Product info'!P129</f>
        <v>0</v>
      </c>
      <c r="H744" s="50">
        <f>'Product info'!Q129</f>
        <v>0</v>
      </c>
      <c r="I744" s="50">
        <f>'Product info'!N129</f>
        <v>0</v>
      </c>
      <c r="J744" s="51">
        <f>'Product info'!M129</f>
        <v>0</v>
      </c>
      <c r="K744" s="52">
        <f t="shared" si="159"/>
        <v>0</v>
      </c>
      <c r="L744" s="50">
        <f t="shared" si="160"/>
        <v>0</v>
      </c>
      <c r="M744" s="50">
        <f t="shared" si="161"/>
        <v>0</v>
      </c>
      <c r="N744" s="50">
        <f t="shared" si="162"/>
        <v>0</v>
      </c>
      <c r="O744" s="50">
        <f t="shared" si="163"/>
        <v>0</v>
      </c>
      <c r="P744" s="53" t="str">
        <f t="shared" si="164"/>
        <v>0*0*0</v>
      </c>
      <c r="Q744" s="54">
        <f>'Product info'!S129</f>
        <v>0</v>
      </c>
      <c r="R744" s="54">
        <f>'Product info'!T129</f>
        <v>0</v>
      </c>
      <c r="S744" s="54">
        <f>'Product info'!U129</f>
        <v>0</v>
      </c>
      <c r="T744" s="50">
        <f>'Product info'!R129</f>
        <v>0</v>
      </c>
      <c r="U744" s="52">
        <f t="shared" si="165"/>
        <v>0</v>
      </c>
      <c r="V744" s="50">
        <f t="shared" si="166"/>
        <v>0</v>
      </c>
      <c r="W744" s="50">
        <f t="shared" si="167"/>
        <v>0</v>
      </c>
      <c r="X744" s="50">
        <f t="shared" si="168"/>
        <v>0</v>
      </c>
      <c r="Y744" s="50">
        <f t="shared" si="169"/>
        <v>0</v>
      </c>
      <c r="Z744" t="e">
        <f t="shared" si="157"/>
        <v>#DIV/0!</v>
      </c>
    </row>
    <row r="745" spans="1:26" x14ac:dyDescent="0.4">
      <c r="A745">
        <f>'Product info'!A130</f>
        <v>0</v>
      </c>
      <c r="B745">
        <f>'Product info'!F130</f>
        <v>0</v>
      </c>
      <c r="C745" s="6">
        <f>'Product info'!G130</f>
        <v>0</v>
      </c>
      <c r="D745" s="6">
        <f>'Product info'!H130</f>
        <v>0</v>
      </c>
      <c r="E745" t="str">
        <f t="shared" si="158"/>
        <v>0*0*0</v>
      </c>
      <c r="F745" s="50">
        <f>'Product info'!O130</f>
        <v>0</v>
      </c>
      <c r="G745" s="50">
        <f>'Product info'!P130</f>
        <v>0</v>
      </c>
      <c r="H745" s="50">
        <f>'Product info'!Q130</f>
        <v>0</v>
      </c>
      <c r="I745" s="50">
        <f>'Product info'!N130</f>
        <v>0</v>
      </c>
      <c r="J745" s="51">
        <f>'Product info'!M130</f>
        <v>0</v>
      </c>
      <c r="K745" s="52">
        <f t="shared" si="159"/>
        <v>0</v>
      </c>
      <c r="L745" s="50">
        <f t="shared" si="160"/>
        <v>0</v>
      </c>
      <c r="M745" s="50">
        <f t="shared" si="161"/>
        <v>0</v>
      </c>
      <c r="N745" s="50">
        <f t="shared" si="162"/>
        <v>0</v>
      </c>
      <c r="O745" s="50">
        <f t="shared" si="163"/>
        <v>0</v>
      </c>
      <c r="P745" s="53" t="str">
        <f t="shared" si="164"/>
        <v>0*0*0</v>
      </c>
      <c r="Q745" s="54">
        <f>'Product info'!S130</f>
        <v>0</v>
      </c>
      <c r="R745" s="54">
        <f>'Product info'!T130</f>
        <v>0</v>
      </c>
      <c r="S745" s="54">
        <f>'Product info'!U130</f>
        <v>0</v>
      </c>
      <c r="T745" s="50">
        <f>'Product info'!R130</f>
        <v>0</v>
      </c>
      <c r="U745" s="52">
        <f t="shared" si="165"/>
        <v>0</v>
      </c>
      <c r="V745" s="50">
        <f t="shared" si="166"/>
        <v>0</v>
      </c>
      <c r="W745" s="50">
        <f t="shared" si="167"/>
        <v>0</v>
      </c>
      <c r="X745" s="50">
        <f t="shared" si="168"/>
        <v>0</v>
      </c>
      <c r="Y745" s="50">
        <f t="shared" si="169"/>
        <v>0</v>
      </c>
      <c r="Z745" t="e">
        <f t="shared" si="157"/>
        <v>#DIV/0!</v>
      </c>
    </row>
    <row r="746" spans="1:26" x14ac:dyDescent="0.4">
      <c r="A746">
        <f>'Product info'!A131</f>
        <v>0</v>
      </c>
      <c r="B746">
        <f>'Product info'!F131</f>
        <v>0</v>
      </c>
      <c r="C746" s="6">
        <f>'Product info'!G131</f>
        <v>0</v>
      </c>
      <c r="D746" s="6">
        <f>'Product info'!H131</f>
        <v>0</v>
      </c>
      <c r="E746" t="str">
        <f t="shared" si="158"/>
        <v>0*0*0</v>
      </c>
      <c r="F746" s="50">
        <f>'Product info'!O131</f>
        <v>0</v>
      </c>
      <c r="G746" s="50">
        <f>'Product info'!P131</f>
        <v>0</v>
      </c>
      <c r="H746" s="50">
        <f>'Product info'!Q131</f>
        <v>0</v>
      </c>
      <c r="I746" s="50">
        <f>'Product info'!N131</f>
        <v>0</v>
      </c>
      <c r="J746" s="51">
        <f>'Product info'!M131</f>
        <v>0</v>
      </c>
      <c r="K746" s="52">
        <f t="shared" si="159"/>
        <v>0</v>
      </c>
      <c r="L746" s="50">
        <f t="shared" si="160"/>
        <v>0</v>
      </c>
      <c r="M746" s="50">
        <f t="shared" si="161"/>
        <v>0</v>
      </c>
      <c r="N746" s="50">
        <f t="shared" si="162"/>
        <v>0</v>
      </c>
      <c r="O746" s="50">
        <f t="shared" si="163"/>
        <v>0</v>
      </c>
      <c r="P746" s="53" t="str">
        <f t="shared" si="164"/>
        <v>0*0*0</v>
      </c>
      <c r="Q746" s="54">
        <f>'Product info'!S131</f>
        <v>0</v>
      </c>
      <c r="R746" s="54">
        <f>'Product info'!T131</f>
        <v>0</v>
      </c>
      <c r="S746" s="54">
        <f>'Product info'!U131</f>
        <v>0</v>
      </c>
      <c r="T746" s="50">
        <f>'Product info'!R131</f>
        <v>0</v>
      </c>
      <c r="U746" s="52">
        <f t="shared" si="165"/>
        <v>0</v>
      </c>
      <c r="V746" s="50">
        <f t="shared" si="166"/>
        <v>0</v>
      </c>
      <c r="W746" s="50">
        <f t="shared" si="167"/>
        <v>0</v>
      </c>
      <c r="X746" s="50">
        <f t="shared" si="168"/>
        <v>0</v>
      </c>
      <c r="Y746" s="50">
        <f t="shared" si="169"/>
        <v>0</v>
      </c>
      <c r="Z746" t="e">
        <f t="shared" si="157"/>
        <v>#DIV/0!</v>
      </c>
    </row>
    <row r="747" spans="1:26" x14ac:dyDescent="0.4">
      <c r="A747">
        <f>'Product info'!A132</f>
        <v>0</v>
      </c>
      <c r="B747">
        <f>'Product info'!F132</f>
        <v>0</v>
      </c>
      <c r="C747" s="6">
        <f>'Product info'!G132</f>
        <v>0</v>
      </c>
      <c r="D747" s="6">
        <f>'Product info'!H132</f>
        <v>0</v>
      </c>
      <c r="E747" t="str">
        <f t="shared" si="158"/>
        <v>0*0*0</v>
      </c>
      <c r="F747" s="50">
        <f>'Product info'!O132</f>
        <v>0</v>
      </c>
      <c r="G747" s="50">
        <f>'Product info'!P132</f>
        <v>0</v>
      </c>
      <c r="H747" s="50">
        <f>'Product info'!Q132</f>
        <v>0</v>
      </c>
      <c r="I747" s="50">
        <f>'Product info'!N132</f>
        <v>0</v>
      </c>
      <c r="J747" s="51">
        <f>'Product info'!M132</f>
        <v>0</v>
      </c>
      <c r="K747" s="52">
        <f t="shared" si="159"/>
        <v>0</v>
      </c>
      <c r="L747" s="50">
        <f t="shared" si="160"/>
        <v>0</v>
      </c>
      <c r="M747" s="50">
        <f t="shared" si="161"/>
        <v>0</v>
      </c>
      <c r="N747" s="50">
        <f t="shared" si="162"/>
        <v>0</v>
      </c>
      <c r="O747" s="50">
        <f t="shared" si="163"/>
        <v>0</v>
      </c>
      <c r="P747" s="53" t="str">
        <f t="shared" si="164"/>
        <v>0*0*0</v>
      </c>
      <c r="Q747" s="54">
        <f>'Product info'!S132</f>
        <v>0</v>
      </c>
      <c r="R747" s="54">
        <f>'Product info'!T132</f>
        <v>0</v>
      </c>
      <c r="S747" s="54">
        <f>'Product info'!U132</f>
        <v>0</v>
      </c>
      <c r="T747" s="50">
        <f>'Product info'!R132</f>
        <v>0</v>
      </c>
      <c r="U747" s="52">
        <f t="shared" si="165"/>
        <v>0</v>
      </c>
      <c r="V747" s="50">
        <f t="shared" si="166"/>
        <v>0</v>
      </c>
      <c r="W747" s="50">
        <f t="shared" si="167"/>
        <v>0</v>
      </c>
      <c r="X747" s="50">
        <f t="shared" si="168"/>
        <v>0</v>
      </c>
      <c r="Y747" s="50">
        <f t="shared" si="169"/>
        <v>0</v>
      </c>
      <c r="Z747" t="e">
        <f t="shared" si="157"/>
        <v>#DIV/0!</v>
      </c>
    </row>
    <row r="748" spans="1:26" x14ac:dyDescent="0.4">
      <c r="A748">
        <f>'Product info'!A133</f>
        <v>0</v>
      </c>
      <c r="B748">
        <f>'Product info'!F133</f>
        <v>0</v>
      </c>
      <c r="C748" s="6">
        <f>'Product info'!G133</f>
        <v>0</v>
      </c>
      <c r="D748" s="6">
        <f>'Product info'!H133</f>
        <v>0</v>
      </c>
      <c r="E748" t="str">
        <f t="shared" si="158"/>
        <v>0*0*0</v>
      </c>
      <c r="F748" s="50">
        <f>'Product info'!O133</f>
        <v>0</v>
      </c>
      <c r="G748" s="50">
        <f>'Product info'!P133</f>
        <v>0</v>
      </c>
      <c r="H748" s="50">
        <f>'Product info'!Q133</f>
        <v>0</v>
      </c>
      <c r="I748" s="50">
        <f>'Product info'!N133</f>
        <v>0</v>
      </c>
      <c r="J748" s="51">
        <f>'Product info'!M133</f>
        <v>0</v>
      </c>
      <c r="K748" s="52">
        <f t="shared" si="159"/>
        <v>0</v>
      </c>
      <c r="L748" s="50">
        <f t="shared" si="160"/>
        <v>0</v>
      </c>
      <c r="M748" s="50">
        <f t="shared" si="161"/>
        <v>0</v>
      </c>
      <c r="N748" s="50">
        <f t="shared" si="162"/>
        <v>0</v>
      </c>
      <c r="O748" s="50">
        <f t="shared" si="163"/>
        <v>0</v>
      </c>
      <c r="P748" s="53" t="str">
        <f t="shared" si="164"/>
        <v>0*0*0</v>
      </c>
      <c r="Q748" s="54">
        <f>'Product info'!S133</f>
        <v>0</v>
      </c>
      <c r="R748" s="54">
        <f>'Product info'!T133</f>
        <v>0</v>
      </c>
      <c r="S748" s="54">
        <f>'Product info'!U133</f>
        <v>0</v>
      </c>
      <c r="T748" s="50">
        <f>'Product info'!R133</f>
        <v>0</v>
      </c>
      <c r="U748" s="52">
        <f t="shared" si="165"/>
        <v>0</v>
      </c>
      <c r="V748" s="50">
        <f t="shared" si="166"/>
        <v>0</v>
      </c>
      <c r="W748" s="50">
        <f t="shared" si="167"/>
        <v>0</v>
      </c>
      <c r="X748" s="50">
        <f t="shared" si="168"/>
        <v>0</v>
      </c>
      <c r="Y748" s="50">
        <f t="shared" si="169"/>
        <v>0</v>
      </c>
      <c r="Z748" t="e">
        <f t="shared" si="157"/>
        <v>#DIV/0!</v>
      </c>
    </row>
    <row r="749" spans="1:26" x14ac:dyDescent="0.4">
      <c r="A749">
        <f>'Product info'!A134</f>
        <v>0</v>
      </c>
      <c r="B749">
        <f>'Product info'!F134</f>
        <v>0</v>
      </c>
      <c r="C749" s="6">
        <f>'Product info'!G134</f>
        <v>0</v>
      </c>
      <c r="D749" s="6">
        <f>'Product info'!H134</f>
        <v>0</v>
      </c>
      <c r="E749" t="str">
        <f t="shared" si="158"/>
        <v>0*0*0</v>
      </c>
      <c r="F749" s="50">
        <f>'Product info'!O134</f>
        <v>0</v>
      </c>
      <c r="G749" s="50">
        <f>'Product info'!P134</f>
        <v>0</v>
      </c>
      <c r="H749" s="50">
        <f>'Product info'!Q134</f>
        <v>0</v>
      </c>
      <c r="I749" s="50">
        <f>'Product info'!N134</f>
        <v>0</v>
      </c>
      <c r="J749" s="51">
        <f>'Product info'!M134</f>
        <v>0</v>
      </c>
      <c r="K749" s="52">
        <f t="shared" si="159"/>
        <v>0</v>
      </c>
      <c r="L749" s="50">
        <f t="shared" si="160"/>
        <v>0</v>
      </c>
      <c r="M749" s="50">
        <f t="shared" si="161"/>
        <v>0</v>
      </c>
      <c r="N749" s="50">
        <f t="shared" si="162"/>
        <v>0</v>
      </c>
      <c r="O749" s="50">
        <f t="shared" si="163"/>
        <v>0</v>
      </c>
      <c r="P749" s="53" t="str">
        <f t="shared" si="164"/>
        <v>0*0*0</v>
      </c>
      <c r="Q749" s="54">
        <f>'Product info'!S134</f>
        <v>0</v>
      </c>
      <c r="R749" s="54">
        <f>'Product info'!T134</f>
        <v>0</v>
      </c>
      <c r="S749" s="54">
        <f>'Product info'!U134</f>
        <v>0</v>
      </c>
      <c r="T749" s="50">
        <f>'Product info'!R134</f>
        <v>0</v>
      </c>
      <c r="U749" s="52">
        <f t="shared" si="165"/>
        <v>0</v>
      </c>
      <c r="V749" s="50">
        <f t="shared" si="166"/>
        <v>0</v>
      </c>
      <c r="W749" s="50">
        <f t="shared" si="167"/>
        <v>0</v>
      </c>
      <c r="X749" s="50">
        <f t="shared" si="168"/>
        <v>0</v>
      </c>
      <c r="Y749" s="50">
        <f t="shared" si="169"/>
        <v>0</v>
      </c>
      <c r="Z749" t="e">
        <f t="shared" si="157"/>
        <v>#DIV/0!</v>
      </c>
    </row>
    <row r="750" spans="1:26" x14ac:dyDescent="0.4">
      <c r="A750">
        <f>'Product info'!A135</f>
        <v>0</v>
      </c>
      <c r="B750">
        <f>'Product info'!F135</f>
        <v>0</v>
      </c>
      <c r="C750" s="6">
        <f>'Product info'!G135</f>
        <v>0</v>
      </c>
      <c r="D750" s="6">
        <f>'Product info'!H135</f>
        <v>0</v>
      </c>
      <c r="E750" t="str">
        <f t="shared" si="158"/>
        <v>0*0*0</v>
      </c>
      <c r="F750" s="50">
        <f>'Product info'!O135</f>
        <v>0</v>
      </c>
      <c r="G750" s="50">
        <f>'Product info'!P135</f>
        <v>0</v>
      </c>
      <c r="H750" s="50">
        <f>'Product info'!Q135</f>
        <v>0</v>
      </c>
      <c r="I750" s="50">
        <f>'Product info'!N135</f>
        <v>0</v>
      </c>
      <c r="J750" s="51">
        <f>'Product info'!M135</f>
        <v>0</v>
      </c>
      <c r="K750" s="52">
        <f t="shared" si="159"/>
        <v>0</v>
      </c>
      <c r="L750" s="50">
        <f t="shared" si="160"/>
        <v>0</v>
      </c>
      <c r="M750" s="50">
        <f t="shared" si="161"/>
        <v>0</v>
      </c>
      <c r="N750" s="50">
        <f t="shared" si="162"/>
        <v>0</v>
      </c>
      <c r="O750" s="50">
        <f t="shared" si="163"/>
        <v>0</v>
      </c>
      <c r="P750" s="53" t="str">
        <f t="shared" si="164"/>
        <v>0*0*0</v>
      </c>
      <c r="Q750" s="54">
        <f>'Product info'!S135</f>
        <v>0</v>
      </c>
      <c r="R750" s="54">
        <f>'Product info'!T135</f>
        <v>0</v>
      </c>
      <c r="S750" s="54">
        <f>'Product info'!U135</f>
        <v>0</v>
      </c>
      <c r="T750" s="50">
        <f>'Product info'!R135</f>
        <v>0</v>
      </c>
      <c r="U750" s="52">
        <f t="shared" si="165"/>
        <v>0</v>
      </c>
      <c r="V750" s="50">
        <f t="shared" si="166"/>
        <v>0</v>
      </c>
      <c r="W750" s="50">
        <f t="shared" si="167"/>
        <v>0</v>
      </c>
      <c r="X750" s="50">
        <f t="shared" si="168"/>
        <v>0</v>
      </c>
      <c r="Y750" s="50">
        <f t="shared" si="169"/>
        <v>0</v>
      </c>
      <c r="Z750" t="e">
        <f t="shared" si="157"/>
        <v>#DIV/0!</v>
      </c>
    </row>
    <row r="751" spans="1:26" x14ac:dyDescent="0.4">
      <c r="A751">
        <f>'Product info'!A136</f>
        <v>0</v>
      </c>
      <c r="B751">
        <f>'Product info'!F136</f>
        <v>0</v>
      </c>
      <c r="C751" s="6">
        <f>'Product info'!G136</f>
        <v>0</v>
      </c>
      <c r="D751" s="6">
        <f>'Product info'!H136</f>
        <v>0</v>
      </c>
      <c r="E751" t="str">
        <f t="shared" si="158"/>
        <v>0*0*0</v>
      </c>
      <c r="F751" s="50">
        <f>'Product info'!O136</f>
        <v>0</v>
      </c>
      <c r="G751" s="50">
        <f>'Product info'!P136</f>
        <v>0</v>
      </c>
      <c r="H751" s="50">
        <f>'Product info'!Q136</f>
        <v>0</v>
      </c>
      <c r="I751" s="50">
        <f>'Product info'!N136</f>
        <v>0</v>
      </c>
      <c r="J751" s="51">
        <f>'Product info'!M136</f>
        <v>0</v>
      </c>
      <c r="K751" s="52">
        <f t="shared" si="159"/>
        <v>0</v>
      </c>
      <c r="L751" s="50">
        <f t="shared" si="160"/>
        <v>0</v>
      </c>
      <c r="M751" s="50">
        <f t="shared" si="161"/>
        <v>0</v>
      </c>
      <c r="N751" s="50">
        <f t="shared" si="162"/>
        <v>0</v>
      </c>
      <c r="O751" s="50">
        <f t="shared" si="163"/>
        <v>0</v>
      </c>
      <c r="P751" s="53" t="str">
        <f t="shared" si="164"/>
        <v>0*0*0</v>
      </c>
      <c r="Q751" s="54">
        <f>'Product info'!S136</f>
        <v>0</v>
      </c>
      <c r="R751" s="54">
        <f>'Product info'!T136</f>
        <v>0</v>
      </c>
      <c r="S751" s="54">
        <f>'Product info'!U136</f>
        <v>0</v>
      </c>
      <c r="T751" s="50">
        <f>'Product info'!R136</f>
        <v>0</v>
      </c>
      <c r="U751" s="52">
        <f t="shared" si="165"/>
        <v>0</v>
      </c>
      <c r="V751" s="50">
        <f t="shared" si="166"/>
        <v>0</v>
      </c>
      <c r="W751" s="50">
        <f t="shared" si="167"/>
        <v>0</v>
      </c>
      <c r="X751" s="50">
        <f t="shared" si="168"/>
        <v>0</v>
      </c>
      <c r="Y751" s="50">
        <f t="shared" si="169"/>
        <v>0</v>
      </c>
      <c r="Z751" t="e">
        <f t="shared" si="157"/>
        <v>#DIV/0!</v>
      </c>
    </row>
    <row r="752" spans="1:26" x14ac:dyDescent="0.4">
      <c r="A752">
        <f>'Product info'!A137</f>
        <v>0</v>
      </c>
      <c r="B752">
        <f>'Product info'!F137</f>
        <v>0</v>
      </c>
      <c r="C752" s="6">
        <f>'Product info'!G137</f>
        <v>0</v>
      </c>
      <c r="D752" s="6">
        <f>'Product info'!H137</f>
        <v>0</v>
      </c>
      <c r="E752" t="str">
        <f t="shared" si="158"/>
        <v>0*0*0</v>
      </c>
      <c r="F752" s="50">
        <f>'Product info'!O137</f>
        <v>0</v>
      </c>
      <c r="G752" s="50">
        <f>'Product info'!P137</f>
        <v>0</v>
      </c>
      <c r="H752" s="50">
        <f>'Product info'!Q137</f>
        <v>0</v>
      </c>
      <c r="I752" s="50">
        <f>'Product info'!N137</f>
        <v>0</v>
      </c>
      <c r="J752" s="51">
        <f>'Product info'!M137</f>
        <v>0</v>
      </c>
      <c r="K752" s="52">
        <f t="shared" si="159"/>
        <v>0</v>
      </c>
      <c r="L752" s="50">
        <f t="shared" si="160"/>
        <v>0</v>
      </c>
      <c r="M752" s="50">
        <f t="shared" si="161"/>
        <v>0</v>
      </c>
      <c r="N752" s="50">
        <f t="shared" si="162"/>
        <v>0</v>
      </c>
      <c r="O752" s="50">
        <f t="shared" si="163"/>
        <v>0</v>
      </c>
      <c r="P752" s="53" t="str">
        <f t="shared" si="164"/>
        <v>0*0*0</v>
      </c>
      <c r="Q752" s="54">
        <f>'Product info'!S137</f>
        <v>0</v>
      </c>
      <c r="R752" s="54">
        <f>'Product info'!T137</f>
        <v>0</v>
      </c>
      <c r="S752" s="54">
        <f>'Product info'!U137</f>
        <v>0</v>
      </c>
      <c r="T752" s="50">
        <f>'Product info'!R137</f>
        <v>0</v>
      </c>
      <c r="U752" s="52">
        <f t="shared" si="165"/>
        <v>0</v>
      </c>
      <c r="V752" s="50">
        <f t="shared" si="166"/>
        <v>0</v>
      </c>
      <c r="W752" s="50">
        <f t="shared" si="167"/>
        <v>0</v>
      </c>
      <c r="X752" s="50">
        <f t="shared" si="168"/>
        <v>0</v>
      </c>
      <c r="Y752" s="50">
        <f t="shared" si="169"/>
        <v>0</v>
      </c>
      <c r="Z752" t="e">
        <f t="shared" si="157"/>
        <v>#DIV/0!</v>
      </c>
    </row>
    <row r="753" spans="1:26" x14ac:dyDescent="0.4">
      <c r="A753">
        <f>'Product info'!A138</f>
        <v>0</v>
      </c>
      <c r="B753">
        <f>'Product info'!F138</f>
        <v>0</v>
      </c>
      <c r="C753" s="6">
        <f>'Product info'!G138</f>
        <v>0</v>
      </c>
      <c r="D753" s="6">
        <f>'Product info'!H138</f>
        <v>0</v>
      </c>
      <c r="E753" t="str">
        <f t="shared" si="158"/>
        <v>0*0*0</v>
      </c>
      <c r="F753" s="50">
        <f>'Product info'!O138</f>
        <v>0</v>
      </c>
      <c r="G753" s="50">
        <f>'Product info'!P138</f>
        <v>0</v>
      </c>
      <c r="H753" s="50">
        <f>'Product info'!Q138</f>
        <v>0</v>
      </c>
      <c r="I753" s="50">
        <f>'Product info'!N138</f>
        <v>0</v>
      </c>
      <c r="J753" s="51">
        <f>'Product info'!M138</f>
        <v>0</v>
      </c>
      <c r="K753" s="52">
        <f t="shared" si="159"/>
        <v>0</v>
      </c>
      <c r="L753" s="50">
        <f t="shared" si="160"/>
        <v>0</v>
      </c>
      <c r="M753" s="50">
        <f t="shared" si="161"/>
        <v>0</v>
      </c>
      <c r="N753" s="50">
        <f t="shared" si="162"/>
        <v>0</v>
      </c>
      <c r="O753" s="50">
        <f t="shared" si="163"/>
        <v>0</v>
      </c>
      <c r="P753" s="53" t="str">
        <f t="shared" si="164"/>
        <v>0*0*0</v>
      </c>
      <c r="Q753" s="54">
        <f>'Product info'!S138</f>
        <v>0</v>
      </c>
      <c r="R753" s="54">
        <f>'Product info'!T138</f>
        <v>0</v>
      </c>
      <c r="S753" s="54">
        <f>'Product info'!U138</f>
        <v>0</v>
      </c>
      <c r="T753" s="50">
        <f>'Product info'!R138</f>
        <v>0</v>
      </c>
      <c r="U753" s="52">
        <f t="shared" si="165"/>
        <v>0</v>
      </c>
      <c r="V753" s="50">
        <f t="shared" si="166"/>
        <v>0</v>
      </c>
      <c r="W753" s="50">
        <f t="shared" si="167"/>
        <v>0</v>
      </c>
      <c r="X753" s="50">
        <f t="shared" si="168"/>
        <v>0</v>
      </c>
      <c r="Y753" s="50">
        <f t="shared" si="169"/>
        <v>0</v>
      </c>
      <c r="Z753" t="e">
        <f t="shared" si="157"/>
        <v>#DIV/0!</v>
      </c>
    </row>
    <row r="754" spans="1:26" x14ac:dyDescent="0.4">
      <c r="A754">
        <f>'Product info'!A139</f>
        <v>0</v>
      </c>
      <c r="B754">
        <f>'Product info'!F139</f>
        <v>0</v>
      </c>
      <c r="C754" s="6">
        <f>'Product info'!G139</f>
        <v>0</v>
      </c>
      <c r="D754" s="6">
        <f>'Product info'!H139</f>
        <v>0</v>
      </c>
      <c r="E754" t="str">
        <f t="shared" si="158"/>
        <v>0*0*0</v>
      </c>
      <c r="F754" s="50">
        <f>'Product info'!O139</f>
        <v>0</v>
      </c>
      <c r="G754" s="50">
        <f>'Product info'!P139</f>
        <v>0</v>
      </c>
      <c r="H754" s="50">
        <f>'Product info'!Q139</f>
        <v>0</v>
      </c>
      <c r="I754" s="50">
        <f>'Product info'!N139</f>
        <v>0</v>
      </c>
      <c r="J754" s="51">
        <f>'Product info'!M139</f>
        <v>0</v>
      </c>
      <c r="K754" s="52">
        <f t="shared" si="159"/>
        <v>0</v>
      </c>
      <c r="L754" s="50">
        <f t="shared" si="160"/>
        <v>0</v>
      </c>
      <c r="M754" s="50">
        <f t="shared" si="161"/>
        <v>0</v>
      </c>
      <c r="N754" s="50">
        <f t="shared" si="162"/>
        <v>0</v>
      </c>
      <c r="O754" s="50">
        <f t="shared" si="163"/>
        <v>0</v>
      </c>
      <c r="P754" s="53" t="str">
        <f t="shared" si="164"/>
        <v>0*0*0</v>
      </c>
      <c r="Q754" s="54">
        <f>'Product info'!S139</f>
        <v>0</v>
      </c>
      <c r="R754" s="54">
        <f>'Product info'!T139</f>
        <v>0</v>
      </c>
      <c r="S754" s="54">
        <f>'Product info'!U139</f>
        <v>0</v>
      </c>
      <c r="T754" s="50">
        <f>'Product info'!R139</f>
        <v>0</v>
      </c>
      <c r="U754" s="52">
        <f t="shared" si="165"/>
        <v>0</v>
      </c>
      <c r="V754" s="50">
        <f t="shared" si="166"/>
        <v>0</v>
      </c>
      <c r="W754" s="50">
        <f t="shared" si="167"/>
        <v>0</v>
      </c>
      <c r="X754" s="50">
        <f t="shared" si="168"/>
        <v>0</v>
      </c>
      <c r="Y754" s="50">
        <f t="shared" si="169"/>
        <v>0</v>
      </c>
      <c r="Z754" t="e">
        <f t="shared" si="157"/>
        <v>#DIV/0!</v>
      </c>
    </row>
    <row r="755" spans="1:26" x14ac:dyDescent="0.4">
      <c r="A755">
        <f>'Product info'!A140</f>
        <v>0</v>
      </c>
      <c r="B755">
        <f>'Product info'!F140</f>
        <v>0</v>
      </c>
      <c r="C755" s="6">
        <f>'Product info'!G140</f>
        <v>0</v>
      </c>
      <c r="D755" s="6">
        <f>'Product info'!H140</f>
        <v>0</v>
      </c>
      <c r="E755" t="str">
        <f t="shared" si="158"/>
        <v>0*0*0</v>
      </c>
      <c r="F755" s="50">
        <f>'Product info'!O140</f>
        <v>0</v>
      </c>
      <c r="G755" s="50">
        <f>'Product info'!P140</f>
        <v>0</v>
      </c>
      <c r="H755" s="50">
        <f>'Product info'!Q140</f>
        <v>0</v>
      </c>
      <c r="I755" s="50">
        <f>'Product info'!N140</f>
        <v>0</v>
      </c>
      <c r="J755" s="51">
        <f>'Product info'!M140</f>
        <v>0</v>
      </c>
      <c r="K755" s="52">
        <f t="shared" si="159"/>
        <v>0</v>
      </c>
      <c r="L755" s="50">
        <f t="shared" si="160"/>
        <v>0</v>
      </c>
      <c r="M755" s="50">
        <f t="shared" si="161"/>
        <v>0</v>
      </c>
      <c r="N755" s="50">
        <f t="shared" si="162"/>
        <v>0</v>
      </c>
      <c r="O755" s="50">
        <f t="shared" si="163"/>
        <v>0</v>
      </c>
      <c r="P755" s="53" t="str">
        <f t="shared" si="164"/>
        <v>0*0*0</v>
      </c>
      <c r="Q755" s="54">
        <f>'Product info'!S140</f>
        <v>0</v>
      </c>
      <c r="R755" s="54">
        <f>'Product info'!T140</f>
        <v>0</v>
      </c>
      <c r="S755" s="54">
        <f>'Product info'!U140</f>
        <v>0</v>
      </c>
      <c r="T755" s="50">
        <f>'Product info'!R140</f>
        <v>0</v>
      </c>
      <c r="U755" s="52">
        <f t="shared" si="165"/>
        <v>0</v>
      </c>
      <c r="V755" s="50">
        <f t="shared" si="166"/>
        <v>0</v>
      </c>
      <c r="W755" s="50">
        <f t="shared" si="167"/>
        <v>0</v>
      </c>
      <c r="X755" s="50">
        <f t="shared" si="168"/>
        <v>0</v>
      </c>
      <c r="Y755" s="50">
        <f t="shared" si="169"/>
        <v>0</v>
      </c>
      <c r="Z755" t="e">
        <f t="shared" si="157"/>
        <v>#DIV/0!</v>
      </c>
    </row>
    <row r="756" spans="1:26" x14ac:dyDescent="0.4">
      <c r="A756">
        <f>'Product info'!A141</f>
        <v>0</v>
      </c>
      <c r="B756">
        <f>'Product info'!F141</f>
        <v>0</v>
      </c>
      <c r="C756" s="6">
        <f>'Product info'!G141</f>
        <v>0</v>
      </c>
      <c r="D756" s="6">
        <f>'Product info'!H141</f>
        <v>0</v>
      </c>
      <c r="E756" t="str">
        <f t="shared" si="158"/>
        <v>0*0*0</v>
      </c>
      <c r="F756" s="50">
        <f>'Product info'!O141</f>
        <v>0</v>
      </c>
      <c r="G756" s="50">
        <f>'Product info'!P141</f>
        <v>0</v>
      </c>
      <c r="H756" s="50">
        <f>'Product info'!Q141</f>
        <v>0</v>
      </c>
      <c r="I756" s="50">
        <f>'Product info'!N141</f>
        <v>0</v>
      </c>
      <c r="J756" s="51">
        <f>'Product info'!M141</f>
        <v>0</v>
      </c>
      <c r="K756" s="52">
        <f t="shared" si="159"/>
        <v>0</v>
      </c>
      <c r="L756" s="50">
        <f t="shared" si="160"/>
        <v>0</v>
      </c>
      <c r="M756" s="50">
        <f t="shared" si="161"/>
        <v>0</v>
      </c>
      <c r="N756" s="50">
        <f t="shared" si="162"/>
        <v>0</v>
      </c>
      <c r="O756" s="50">
        <f t="shared" si="163"/>
        <v>0</v>
      </c>
      <c r="P756" s="53" t="str">
        <f t="shared" si="164"/>
        <v>0*0*0</v>
      </c>
      <c r="Q756" s="54">
        <f>'Product info'!S141</f>
        <v>0</v>
      </c>
      <c r="R756" s="54">
        <f>'Product info'!T141</f>
        <v>0</v>
      </c>
      <c r="S756" s="54">
        <f>'Product info'!U141</f>
        <v>0</v>
      </c>
      <c r="T756" s="50">
        <f>'Product info'!R141</f>
        <v>0</v>
      </c>
      <c r="U756" s="52">
        <f t="shared" si="165"/>
        <v>0</v>
      </c>
      <c r="V756" s="50">
        <f t="shared" si="166"/>
        <v>0</v>
      </c>
      <c r="W756" s="50">
        <f t="shared" si="167"/>
        <v>0</v>
      </c>
      <c r="X756" s="50">
        <f t="shared" si="168"/>
        <v>0</v>
      </c>
      <c r="Y756" s="50">
        <f t="shared" si="169"/>
        <v>0</v>
      </c>
      <c r="Z756" t="e">
        <f t="shared" si="157"/>
        <v>#DIV/0!</v>
      </c>
    </row>
    <row r="757" spans="1:26" x14ac:dyDescent="0.4">
      <c r="A757">
        <f>'Product info'!A142</f>
        <v>0</v>
      </c>
      <c r="B757">
        <f>'Product info'!F142</f>
        <v>0</v>
      </c>
      <c r="C757" s="6">
        <f>'Product info'!G142</f>
        <v>0</v>
      </c>
      <c r="D757" s="6">
        <f>'Product info'!H142</f>
        <v>0</v>
      </c>
      <c r="E757" t="str">
        <f t="shared" si="158"/>
        <v>0*0*0</v>
      </c>
      <c r="F757" s="50">
        <f>'Product info'!O142</f>
        <v>0</v>
      </c>
      <c r="G757" s="50">
        <f>'Product info'!P142</f>
        <v>0</v>
      </c>
      <c r="H757" s="50">
        <f>'Product info'!Q142</f>
        <v>0</v>
      </c>
      <c r="I757" s="50">
        <f>'Product info'!N142</f>
        <v>0</v>
      </c>
      <c r="J757" s="51">
        <f>'Product info'!M142</f>
        <v>0</v>
      </c>
      <c r="K757" s="52">
        <f t="shared" si="159"/>
        <v>0</v>
      </c>
      <c r="L757" s="50">
        <f t="shared" si="160"/>
        <v>0</v>
      </c>
      <c r="M757" s="50">
        <f t="shared" si="161"/>
        <v>0</v>
      </c>
      <c r="N757" s="50">
        <f t="shared" si="162"/>
        <v>0</v>
      </c>
      <c r="O757" s="50">
        <f t="shared" si="163"/>
        <v>0</v>
      </c>
      <c r="P757" s="53" t="str">
        <f t="shared" si="164"/>
        <v>0*0*0</v>
      </c>
      <c r="Q757" s="54">
        <f>'Product info'!S142</f>
        <v>0</v>
      </c>
      <c r="R757" s="54">
        <f>'Product info'!T142</f>
        <v>0</v>
      </c>
      <c r="S757" s="54">
        <f>'Product info'!U142</f>
        <v>0</v>
      </c>
      <c r="T757" s="50">
        <f>'Product info'!R142</f>
        <v>0</v>
      </c>
      <c r="U757" s="52">
        <f t="shared" si="165"/>
        <v>0</v>
      </c>
      <c r="V757" s="50">
        <f t="shared" si="166"/>
        <v>0</v>
      </c>
      <c r="W757" s="50">
        <f t="shared" si="167"/>
        <v>0</v>
      </c>
      <c r="X757" s="50">
        <f t="shared" si="168"/>
        <v>0</v>
      </c>
      <c r="Y757" s="50">
        <f t="shared" si="169"/>
        <v>0</v>
      </c>
      <c r="Z757" t="e">
        <f t="shared" si="157"/>
        <v>#DIV/0!</v>
      </c>
    </row>
    <row r="758" spans="1:26" x14ac:dyDescent="0.4">
      <c r="A758">
        <f>'Product info'!A143</f>
        <v>0</v>
      </c>
      <c r="B758">
        <f>'Product info'!F143</f>
        <v>0</v>
      </c>
      <c r="C758" s="6">
        <f>'Product info'!G143</f>
        <v>0</v>
      </c>
      <c r="D758" s="6">
        <f>'Product info'!H143</f>
        <v>0</v>
      </c>
      <c r="E758" t="str">
        <f t="shared" si="158"/>
        <v>0*0*0</v>
      </c>
      <c r="F758" s="50">
        <f>'Product info'!O143</f>
        <v>0</v>
      </c>
      <c r="G758" s="50">
        <f>'Product info'!P143</f>
        <v>0</v>
      </c>
      <c r="H758" s="50">
        <f>'Product info'!Q143</f>
        <v>0</v>
      </c>
      <c r="I758" s="50">
        <f>'Product info'!N143</f>
        <v>0</v>
      </c>
      <c r="J758" s="51">
        <f>'Product info'!M143</f>
        <v>0</v>
      </c>
      <c r="K758" s="52">
        <f t="shared" si="159"/>
        <v>0</v>
      </c>
      <c r="L758" s="50">
        <f t="shared" si="160"/>
        <v>0</v>
      </c>
      <c r="M758" s="50">
        <f t="shared" si="161"/>
        <v>0</v>
      </c>
      <c r="N758" s="50">
        <f t="shared" si="162"/>
        <v>0</v>
      </c>
      <c r="O758" s="50">
        <f t="shared" si="163"/>
        <v>0</v>
      </c>
      <c r="P758" s="53" t="str">
        <f t="shared" si="164"/>
        <v>0*0*0</v>
      </c>
      <c r="Q758" s="54">
        <f>'Product info'!S143</f>
        <v>0</v>
      </c>
      <c r="R758" s="54">
        <f>'Product info'!T143</f>
        <v>0</v>
      </c>
      <c r="S758" s="54">
        <f>'Product info'!U143</f>
        <v>0</v>
      </c>
      <c r="T758" s="50">
        <f>'Product info'!R143</f>
        <v>0</v>
      </c>
      <c r="U758" s="52">
        <f t="shared" si="165"/>
        <v>0</v>
      </c>
      <c r="V758" s="50">
        <f t="shared" si="166"/>
        <v>0</v>
      </c>
      <c r="W758" s="50">
        <f t="shared" si="167"/>
        <v>0</v>
      </c>
      <c r="X758" s="50">
        <f t="shared" si="168"/>
        <v>0</v>
      </c>
      <c r="Y758" s="50">
        <f t="shared" si="169"/>
        <v>0</v>
      </c>
      <c r="Z758" t="e">
        <f t="shared" si="157"/>
        <v>#DIV/0!</v>
      </c>
    </row>
    <row r="759" spans="1:26" x14ac:dyDescent="0.4">
      <c r="A759">
        <f>'Product info'!A144</f>
        <v>0</v>
      </c>
      <c r="B759">
        <f>'Product info'!F144</f>
        <v>0</v>
      </c>
      <c r="C759" s="6">
        <f>'Product info'!G144</f>
        <v>0</v>
      </c>
      <c r="D759" s="6">
        <f>'Product info'!H144</f>
        <v>0</v>
      </c>
      <c r="E759" t="str">
        <f t="shared" si="158"/>
        <v>0*0*0</v>
      </c>
      <c r="F759" s="50">
        <f>'Product info'!O144</f>
        <v>0</v>
      </c>
      <c r="G759" s="50">
        <f>'Product info'!P144</f>
        <v>0</v>
      </c>
      <c r="H759" s="50">
        <f>'Product info'!Q144</f>
        <v>0</v>
      </c>
      <c r="I759" s="50">
        <f>'Product info'!N144</f>
        <v>0</v>
      </c>
      <c r="J759" s="51">
        <f>'Product info'!M144</f>
        <v>0</v>
      </c>
      <c r="K759" s="52">
        <f t="shared" si="159"/>
        <v>0</v>
      </c>
      <c r="L759" s="50">
        <f t="shared" si="160"/>
        <v>0</v>
      </c>
      <c r="M759" s="50">
        <f t="shared" si="161"/>
        <v>0</v>
      </c>
      <c r="N759" s="50">
        <f t="shared" si="162"/>
        <v>0</v>
      </c>
      <c r="O759" s="50">
        <f t="shared" si="163"/>
        <v>0</v>
      </c>
      <c r="P759" s="53" t="str">
        <f t="shared" si="164"/>
        <v>0*0*0</v>
      </c>
      <c r="Q759" s="54">
        <f>'Product info'!S144</f>
        <v>0</v>
      </c>
      <c r="R759" s="54">
        <f>'Product info'!T144</f>
        <v>0</v>
      </c>
      <c r="S759" s="54">
        <f>'Product info'!U144</f>
        <v>0</v>
      </c>
      <c r="T759" s="50">
        <f>'Product info'!R144</f>
        <v>0</v>
      </c>
      <c r="U759" s="52">
        <f t="shared" si="165"/>
        <v>0</v>
      </c>
      <c r="V759" s="50">
        <f t="shared" si="166"/>
        <v>0</v>
      </c>
      <c r="W759" s="50">
        <f t="shared" si="167"/>
        <v>0</v>
      </c>
      <c r="X759" s="50">
        <f t="shared" si="168"/>
        <v>0</v>
      </c>
      <c r="Y759" s="50">
        <f t="shared" si="169"/>
        <v>0</v>
      </c>
      <c r="Z759" t="e">
        <f t="shared" si="157"/>
        <v>#DIV/0!</v>
      </c>
    </row>
    <row r="760" spans="1:26" x14ac:dyDescent="0.4">
      <c r="A760">
        <f>'Product info'!A145</f>
        <v>0</v>
      </c>
      <c r="B760">
        <f>'Product info'!F145</f>
        <v>0</v>
      </c>
      <c r="C760" s="6">
        <f>'Product info'!G145</f>
        <v>0</v>
      </c>
      <c r="D760" s="6">
        <f>'Product info'!H145</f>
        <v>0</v>
      </c>
      <c r="E760" t="str">
        <f t="shared" si="158"/>
        <v>0*0*0</v>
      </c>
      <c r="F760" s="50">
        <f>'Product info'!O145</f>
        <v>0</v>
      </c>
      <c r="G760" s="50">
        <f>'Product info'!P145</f>
        <v>0</v>
      </c>
      <c r="H760" s="50">
        <f>'Product info'!Q145</f>
        <v>0</v>
      </c>
      <c r="I760" s="50">
        <f>'Product info'!N145</f>
        <v>0</v>
      </c>
      <c r="J760" s="51">
        <f>'Product info'!M145</f>
        <v>0</v>
      </c>
      <c r="K760" s="52">
        <f t="shared" si="159"/>
        <v>0</v>
      </c>
      <c r="L760" s="50">
        <f t="shared" si="160"/>
        <v>0</v>
      </c>
      <c r="M760" s="50">
        <f t="shared" si="161"/>
        <v>0</v>
      </c>
      <c r="N760" s="50">
        <f t="shared" si="162"/>
        <v>0</v>
      </c>
      <c r="O760" s="50">
        <f t="shared" si="163"/>
        <v>0</v>
      </c>
      <c r="P760" s="53" t="str">
        <f t="shared" si="164"/>
        <v>0*0*0</v>
      </c>
      <c r="Q760" s="54">
        <f>'Product info'!S145</f>
        <v>0</v>
      </c>
      <c r="R760" s="54">
        <f>'Product info'!T145</f>
        <v>0</v>
      </c>
      <c r="S760" s="54">
        <f>'Product info'!U145</f>
        <v>0</v>
      </c>
      <c r="T760" s="50">
        <f>'Product info'!R145</f>
        <v>0</v>
      </c>
      <c r="U760" s="52">
        <f t="shared" si="165"/>
        <v>0</v>
      </c>
      <c r="V760" s="50">
        <f t="shared" si="166"/>
        <v>0</v>
      </c>
      <c r="W760" s="50">
        <f t="shared" si="167"/>
        <v>0</v>
      </c>
      <c r="X760" s="50">
        <f t="shared" si="168"/>
        <v>0</v>
      </c>
      <c r="Y760" s="50">
        <f t="shared" si="169"/>
        <v>0</v>
      </c>
      <c r="Z760" t="e">
        <f t="shared" si="157"/>
        <v>#DIV/0!</v>
      </c>
    </row>
    <row r="761" spans="1:26" x14ac:dyDescent="0.4">
      <c r="A761">
        <f>'Product info'!A146</f>
        <v>0</v>
      </c>
      <c r="B761">
        <f>'Product info'!F146</f>
        <v>0</v>
      </c>
      <c r="C761" s="6">
        <f>'Product info'!G146</f>
        <v>0</v>
      </c>
      <c r="D761" s="6">
        <f>'Product info'!H146</f>
        <v>0</v>
      </c>
      <c r="E761" t="str">
        <f t="shared" si="158"/>
        <v>0*0*0</v>
      </c>
      <c r="F761" s="50">
        <f>'Product info'!O146</f>
        <v>0</v>
      </c>
      <c r="G761" s="50">
        <f>'Product info'!P146</f>
        <v>0</v>
      </c>
      <c r="H761" s="50">
        <f>'Product info'!Q146</f>
        <v>0</v>
      </c>
      <c r="I761" s="50">
        <f>'Product info'!N146</f>
        <v>0</v>
      </c>
      <c r="J761" s="51">
        <f>'Product info'!M146</f>
        <v>0</v>
      </c>
      <c r="K761" s="52">
        <f t="shared" si="159"/>
        <v>0</v>
      </c>
      <c r="L761" s="50">
        <f t="shared" si="160"/>
        <v>0</v>
      </c>
      <c r="M761" s="50">
        <f t="shared" si="161"/>
        <v>0</v>
      </c>
      <c r="N761" s="50">
        <f t="shared" si="162"/>
        <v>0</v>
      </c>
      <c r="O761" s="50">
        <f t="shared" si="163"/>
        <v>0</v>
      </c>
      <c r="P761" s="53" t="str">
        <f t="shared" si="164"/>
        <v>0*0*0</v>
      </c>
      <c r="Q761" s="54">
        <f>'Product info'!S146</f>
        <v>0</v>
      </c>
      <c r="R761" s="54">
        <f>'Product info'!T146</f>
        <v>0</v>
      </c>
      <c r="S761" s="54">
        <f>'Product info'!U146</f>
        <v>0</v>
      </c>
      <c r="T761" s="50">
        <f>'Product info'!R146</f>
        <v>0</v>
      </c>
      <c r="U761" s="52">
        <f t="shared" si="165"/>
        <v>0</v>
      </c>
      <c r="V761" s="50">
        <f t="shared" si="166"/>
        <v>0</v>
      </c>
      <c r="W761" s="50">
        <f t="shared" si="167"/>
        <v>0</v>
      </c>
      <c r="X761" s="50">
        <f t="shared" si="168"/>
        <v>0</v>
      </c>
      <c r="Y761" s="50">
        <f t="shared" si="169"/>
        <v>0</v>
      </c>
      <c r="Z761" t="e">
        <f t="shared" si="157"/>
        <v>#DIV/0!</v>
      </c>
    </row>
    <row r="762" spans="1:26" x14ac:dyDescent="0.4">
      <c r="A762">
        <f>'Product info'!A147</f>
        <v>0</v>
      </c>
      <c r="B762">
        <f>'Product info'!F147</f>
        <v>0</v>
      </c>
      <c r="C762" s="6">
        <f>'Product info'!G147</f>
        <v>0</v>
      </c>
      <c r="D762" s="6">
        <f>'Product info'!H147</f>
        <v>0</v>
      </c>
      <c r="E762" t="str">
        <f t="shared" si="158"/>
        <v>0*0*0</v>
      </c>
      <c r="F762" s="50">
        <f>'Product info'!O147</f>
        <v>0</v>
      </c>
      <c r="G762" s="50">
        <f>'Product info'!P147</f>
        <v>0</v>
      </c>
      <c r="H762" s="50">
        <f>'Product info'!Q147</f>
        <v>0</v>
      </c>
      <c r="I762" s="50">
        <f>'Product info'!N147</f>
        <v>0</v>
      </c>
      <c r="J762" s="51">
        <f>'Product info'!M147</f>
        <v>0</v>
      </c>
      <c r="K762" s="52">
        <f t="shared" si="159"/>
        <v>0</v>
      </c>
      <c r="L762" s="50">
        <f t="shared" si="160"/>
        <v>0</v>
      </c>
      <c r="M762" s="50">
        <f t="shared" si="161"/>
        <v>0</v>
      </c>
      <c r="N762" s="50">
        <f t="shared" si="162"/>
        <v>0</v>
      </c>
      <c r="O762" s="50">
        <f t="shared" si="163"/>
        <v>0</v>
      </c>
      <c r="P762" s="53" t="str">
        <f t="shared" si="164"/>
        <v>0*0*0</v>
      </c>
      <c r="Q762" s="54">
        <f>'Product info'!S147</f>
        <v>0</v>
      </c>
      <c r="R762" s="54">
        <f>'Product info'!T147</f>
        <v>0</v>
      </c>
      <c r="S762" s="54">
        <f>'Product info'!U147</f>
        <v>0</v>
      </c>
      <c r="T762" s="50">
        <f>'Product info'!R147</f>
        <v>0</v>
      </c>
      <c r="U762" s="52">
        <f t="shared" si="165"/>
        <v>0</v>
      </c>
      <c r="V762" s="50">
        <f t="shared" si="166"/>
        <v>0</v>
      </c>
      <c r="W762" s="50">
        <f t="shared" si="167"/>
        <v>0</v>
      </c>
      <c r="X762" s="50">
        <f t="shared" si="168"/>
        <v>0</v>
      </c>
      <c r="Y762" s="50">
        <f t="shared" si="169"/>
        <v>0</v>
      </c>
      <c r="Z762" t="e">
        <f t="shared" si="157"/>
        <v>#DIV/0!</v>
      </c>
    </row>
    <row r="763" spans="1:26" x14ac:dyDescent="0.4">
      <c r="A763">
        <f>'Product info'!A148</f>
        <v>0</v>
      </c>
      <c r="B763">
        <f>'Product info'!F148</f>
        <v>0</v>
      </c>
      <c r="C763" s="6">
        <f>'Product info'!G148</f>
        <v>0</v>
      </c>
      <c r="D763" s="6">
        <f>'Product info'!H148</f>
        <v>0</v>
      </c>
      <c r="E763" t="str">
        <f t="shared" si="158"/>
        <v>0*0*0</v>
      </c>
      <c r="F763" s="50">
        <f>'Product info'!O148</f>
        <v>0</v>
      </c>
      <c r="G763" s="50">
        <f>'Product info'!P148</f>
        <v>0</v>
      </c>
      <c r="H763" s="50">
        <f>'Product info'!Q148</f>
        <v>0</v>
      </c>
      <c r="I763" s="50">
        <f>'Product info'!N148</f>
        <v>0</v>
      </c>
      <c r="J763" s="51">
        <f>'Product info'!M148</f>
        <v>0</v>
      </c>
      <c r="K763" s="52">
        <f t="shared" si="159"/>
        <v>0</v>
      </c>
      <c r="L763" s="50">
        <f t="shared" si="160"/>
        <v>0</v>
      </c>
      <c r="M763" s="50">
        <f t="shared" si="161"/>
        <v>0</v>
      </c>
      <c r="N763" s="50">
        <f t="shared" si="162"/>
        <v>0</v>
      </c>
      <c r="O763" s="50">
        <f t="shared" si="163"/>
        <v>0</v>
      </c>
      <c r="P763" s="53" t="str">
        <f t="shared" si="164"/>
        <v>0*0*0</v>
      </c>
      <c r="Q763" s="54">
        <f>'Product info'!S148</f>
        <v>0</v>
      </c>
      <c r="R763" s="54">
        <f>'Product info'!T148</f>
        <v>0</v>
      </c>
      <c r="S763" s="54">
        <f>'Product info'!U148</f>
        <v>0</v>
      </c>
      <c r="T763" s="50">
        <f>'Product info'!R148</f>
        <v>0</v>
      </c>
      <c r="U763" s="52">
        <f t="shared" si="165"/>
        <v>0</v>
      </c>
      <c r="V763" s="50">
        <f t="shared" si="166"/>
        <v>0</v>
      </c>
      <c r="W763" s="50">
        <f t="shared" si="167"/>
        <v>0</v>
      </c>
      <c r="X763" s="50">
        <f t="shared" si="168"/>
        <v>0</v>
      </c>
      <c r="Y763" s="50">
        <f t="shared" si="169"/>
        <v>0</v>
      </c>
      <c r="Z763" t="e">
        <f t="shared" si="157"/>
        <v>#DIV/0!</v>
      </c>
    </row>
    <row r="764" spans="1:26" x14ac:dyDescent="0.4">
      <c r="A764">
        <f>'Product info'!A149</f>
        <v>0</v>
      </c>
      <c r="B764">
        <f>'Product info'!F149</f>
        <v>0</v>
      </c>
      <c r="C764" s="6">
        <f>'Product info'!G149</f>
        <v>0</v>
      </c>
      <c r="D764" s="6">
        <f>'Product info'!H149</f>
        <v>0</v>
      </c>
      <c r="E764" t="str">
        <f t="shared" si="158"/>
        <v>0*0*0</v>
      </c>
      <c r="F764" s="50">
        <f>'Product info'!O149</f>
        <v>0</v>
      </c>
      <c r="G764" s="50">
        <f>'Product info'!P149</f>
        <v>0</v>
      </c>
      <c r="H764" s="50">
        <f>'Product info'!Q149</f>
        <v>0</v>
      </c>
      <c r="I764" s="50">
        <f>'Product info'!N149</f>
        <v>0</v>
      </c>
      <c r="J764" s="51">
        <f>'Product info'!M149</f>
        <v>0</v>
      </c>
      <c r="K764" s="52">
        <f t="shared" si="159"/>
        <v>0</v>
      </c>
      <c r="L764" s="50">
        <f t="shared" si="160"/>
        <v>0</v>
      </c>
      <c r="M764" s="50">
        <f t="shared" si="161"/>
        <v>0</v>
      </c>
      <c r="N764" s="50">
        <f t="shared" si="162"/>
        <v>0</v>
      </c>
      <c r="O764" s="50">
        <f t="shared" si="163"/>
        <v>0</v>
      </c>
      <c r="P764" s="53" t="str">
        <f t="shared" si="164"/>
        <v>0*0*0</v>
      </c>
      <c r="Q764" s="54">
        <f>'Product info'!S149</f>
        <v>0</v>
      </c>
      <c r="R764" s="54">
        <f>'Product info'!T149</f>
        <v>0</v>
      </c>
      <c r="S764" s="54">
        <f>'Product info'!U149</f>
        <v>0</v>
      </c>
      <c r="T764" s="50">
        <f>'Product info'!R149</f>
        <v>0</v>
      </c>
      <c r="U764" s="52">
        <f t="shared" si="165"/>
        <v>0</v>
      </c>
      <c r="V764" s="50">
        <f t="shared" si="166"/>
        <v>0</v>
      </c>
      <c r="W764" s="50">
        <f t="shared" si="167"/>
        <v>0</v>
      </c>
      <c r="X764" s="50">
        <f t="shared" si="168"/>
        <v>0</v>
      </c>
      <c r="Y764" s="50">
        <f t="shared" si="169"/>
        <v>0</v>
      </c>
      <c r="Z764" t="e">
        <f t="shared" si="157"/>
        <v>#DIV/0!</v>
      </c>
    </row>
    <row r="765" spans="1:26" x14ac:dyDescent="0.4">
      <c r="A765">
        <f>'Product info'!A150</f>
        <v>0</v>
      </c>
      <c r="B765">
        <f>'Product info'!F150</f>
        <v>0</v>
      </c>
      <c r="C765" s="6">
        <f>'Product info'!G150</f>
        <v>0</v>
      </c>
      <c r="D765" s="6">
        <f>'Product info'!H150</f>
        <v>0</v>
      </c>
      <c r="E765" t="str">
        <f t="shared" si="158"/>
        <v>0*0*0</v>
      </c>
      <c r="F765" s="50">
        <f>'Product info'!O150</f>
        <v>0</v>
      </c>
      <c r="G765" s="50">
        <f>'Product info'!P150</f>
        <v>0</v>
      </c>
      <c r="H765" s="50">
        <f>'Product info'!Q150</f>
        <v>0</v>
      </c>
      <c r="I765" s="50">
        <f>'Product info'!N150</f>
        <v>0</v>
      </c>
      <c r="J765" s="51">
        <f>'Product info'!M150</f>
        <v>0</v>
      </c>
      <c r="K765" s="52">
        <f t="shared" si="159"/>
        <v>0</v>
      </c>
      <c r="L765" s="50">
        <f t="shared" si="160"/>
        <v>0</v>
      </c>
      <c r="M765" s="50">
        <f t="shared" si="161"/>
        <v>0</v>
      </c>
      <c r="N765" s="50">
        <f t="shared" si="162"/>
        <v>0</v>
      </c>
      <c r="O765" s="50">
        <f t="shared" si="163"/>
        <v>0</v>
      </c>
      <c r="P765" s="53" t="str">
        <f t="shared" si="164"/>
        <v>0*0*0</v>
      </c>
      <c r="Q765" s="54">
        <f>'Product info'!S150</f>
        <v>0</v>
      </c>
      <c r="R765" s="54">
        <f>'Product info'!T150</f>
        <v>0</v>
      </c>
      <c r="S765" s="54">
        <f>'Product info'!U150</f>
        <v>0</v>
      </c>
      <c r="T765" s="50">
        <f>'Product info'!R150</f>
        <v>0</v>
      </c>
      <c r="U765" s="52">
        <f t="shared" si="165"/>
        <v>0</v>
      </c>
      <c r="V765" s="50">
        <f t="shared" si="166"/>
        <v>0</v>
      </c>
      <c r="W765" s="50">
        <f t="shared" si="167"/>
        <v>0</v>
      </c>
      <c r="X765" s="50">
        <f t="shared" si="168"/>
        <v>0</v>
      </c>
      <c r="Y765" s="50">
        <f t="shared" si="169"/>
        <v>0</v>
      </c>
      <c r="Z765" t="e">
        <f t="shared" si="157"/>
        <v>#DIV/0!</v>
      </c>
    </row>
    <row r="766" spans="1:26" x14ac:dyDescent="0.4">
      <c r="A766">
        <f>'Product info'!A151</f>
        <v>0</v>
      </c>
      <c r="B766">
        <f>'Product info'!F151</f>
        <v>0</v>
      </c>
      <c r="C766" s="6">
        <f>'Product info'!G151</f>
        <v>0</v>
      </c>
      <c r="D766" s="6">
        <f>'Product info'!H151</f>
        <v>0</v>
      </c>
      <c r="E766" t="str">
        <f t="shared" si="158"/>
        <v>0*0*0</v>
      </c>
      <c r="F766" s="50">
        <f>'Product info'!O151</f>
        <v>0</v>
      </c>
      <c r="G766" s="50">
        <f>'Product info'!P151</f>
        <v>0</v>
      </c>
      <c r="H766" s="50">
        <f>'Product info'!Q151</f>
        <v>0</v>
      </c>
      <c r="I766" s="50">
        <f>'Product info'!N151</f>
        <v>0</v>
      </c>
      <c r="J766" s="51">
        <f>'Product info'!M151</f>
        <v>0</v>
      </c>
      <c r="K766" s="52">
        <f t="shared" si="159"/>
        <v>0</v>
      </c>
      <c r="L766" s="50">
        <f t="shared" si="160"/>
        <v>0</v>
      </c>
      <c r="M766" s="50">
        <f t="shared" si="161"/>
        <v>0</v>
      </c>
      <c r="N766" s="50">
        <f t="shared" si="162"/>
        <v>0</v>
      </c>
      <c r="O766" s="50">
        <f t="shared" si="163"/>
        <v>0</v>
      </c>
      <c r="P766" s="53" t="str">
        <f t="shared" si="164"/>
        <v>0*0*0</v>
      </c>
      <c r="Q766" s="54">
        <f>'Product info'!S151</f>
        <v>0</v>
      </c>
      <c r="R766" s="54">
        <f>'Product info'!T151</f>
        <v>0</v>
      </c>
      <c r="S766" s="54">
        <f>'Product info'!U151</f>
        <v>0</v>
      </c>
      <c r="T766" s="50">
        <f>'Product info'!R151</f>
        <v>0</v>
      </c>
      <c r="U766" s="52">
        <f t="shared" si="165"/>
        <v>0</v>
      </c>
      <c r="V766" s="50">
        <f t="shared" si="166"/>
        <v>0</v>
      </c>
      <c r="W766" s="50">
        <f t="shared" si="167"/>
        <v>0</v>
      </c>
      <c r="X766" s="50">
        <f t="shared" si="168"/>
        <v>0</v>
      </c>
      <c r="Y766" s="50">
        <f t="shared" si="169"/>
        <v>0</v>
      </c>
      <c r="Z766" t="e">
        <f t="shared" si="157"/>
        <v>#DIV/0!</v>
      </c>
    </row>
    <row r="767" spans="1:26" x14ac:dyDescent="0.4">
      <c r="A767">
        <f>'Product info'!A152</f>
        <v>0</v>
      </c>
      <c r="B767">
        <f>'Product info'!F152</f>
        <v>0</v>
      </c>
      <c r="C767" s="6">
        <f>'Product info'!G152</f>
        <v>0</v>
      </c>
      <c r="D767" s="6">
        <f>'Product info'!H152</f>
        <v>0</v>
      </c>
      <c r="E767" t="str">
        <f t="shared" si="158"/>
        <v>0*0*0</v>
      </c>
      <c r="F767" s="50">
        <f>'Product info'!O152</f>
        <v>0</v>
      </c>
      <c r="G767" s="50">
        <f>'Product info'!P152</f>
        <v>0</v>
      </c>
      <c r="H767" s="50">
        <f>'Product info'!Q152</f>
        <v>0</v>
      </c>
      <c r="I767" s="50">
        <f>'Product info'!N152</f>
        <v>0</v>
      </c>
      <c r="J767" s="51">
        <f>'Product info'!M152</f>
        <v>0</v>
      </c>
      <c r="K767" s="52">
        <f t="shared" si="159"/>
        <v>0</v>
      </c>
      <c r="L767" s="50">
        <f t="shared" si="160"/>
        <v>0</v>
      </c>
      <c r="M767" s="50">
        <f t="shared" si="161"/>
        <v>0</v>
      </c>
      <c r="N767" s="50">
        <f t="shared" si="162"/>
        <v>0</v>
      </c>
      <c r="O767" s="50">
        <f t="shared" si="163"/>
        <v>0</v>
      </c>
      <c r="P767" s="53" t="str">
        <f t="shared" si="164"/>
        <v>0*0*0</v>
      </c>
      <c r="Q767" s="54">
        <f>'Product info'!S152</f>
        <v>0</v>
      </c>
      <c r="R767" s="54">
        <f>'Product info'!T152</f>
        <v>0</v>
      </c>
      <c r="S767" s="54">
        <f>'Product info'!U152</f>
        <v>0</v>
      </c>
      <c r="T767" s="50">
        <f>'Product info'!R152</f>
        <v>0</v>
      </c>
      <c r="U767" s="52">
        <f t="shared" si="165"/>
        <v>0</v>
      </c>
      <c r="V767" s="50">
        <f t="shared" si="166"/>
        <v>0</v>
      </c>
      <c r="W767" s="50">
        <f t="shared" si="167"/>
        <v>0</v>
      </c>
      <c r="X767" s="50">
        <f t="shared" si="168"/>
        <v>0</v>
      </c>
      <c r="Y767" s="50">
        <f t="shared" si="169"/>
        <v>0</v>
      </c>
      <c r="Z767" t="e">
        <f t="shared" si="157"/>
        <v>#DIV/0!</v>
      </c>
    </row>
    <row r="768" spans="1:26" x14ac:dyDescent="0.4">
      <c r="A768">
        <f>'Product info'!A153</f>
        <v>0</v>
      </c>
      <c r="B768">
        <f>'Product info'!F153</f>
        <v>0</v>
      </c>
      <c r="C768" s="6">
        <f>'Product info'!G153</f>
        <v>0</v>
      </c>
      <c r="D768" s="6">
        <f>'Product info'!H153</f>
        <v>0</v>
      </c>
      <c r="E768" t="str">
        <f t="shared" si="158"/>
        <v>0*0*0</v>
      </c>
      <c r="F768" s="50">
        <f>'Product info'!O153</f>
        <v>0</v>
      </c>
      <c r="G768" s="50">
        <f>'Product info'!P153</f>
        <v>0</v>
      </c>
      <c r="H768" s="50">
        <f>'Product info'!Q153</f>
        <v>0</v>
      </c>
      <c r="I768" s="50">
        <f>'Product info'!N153</f>
        <v>0</v>
      </c>
      <c r="J768" s="51">
        <f>'Product info'!M153</f>
        <v>0</v>
      </c>
      <c r="K768" s="52">
        <f t="shared" si="159"/>
        <v>0</v>
      </c>
      <c r="L768" s="50">
        <f t="shared" si="160"/>
        <v>0</v>
      </c>
      <c r="M768" s="50">
        <f t="shared" si="161"/>
        <v>0</v>
      </c>
      <c r="N768" s="50">
        <f t="shared" si="162"/>
        <v>0</v>
      </c>
      <c r="O768" s="50">
        <f t="shared" si="163"/>
        <v>0</v>
      </c>
      <c r="P768" s="53" t="str">
        <f t="shared" si="164"/>
        <v>0*0*0</v>
      </c>
      <c r="Q768" s="54">
        <f>'Product info'!S153</f>
        <v>0</v>
      </c>
      <c r="R768" s="54">
        <f>'Product info'!T153</f>
        <v>0</v>
      </c>
      <c r="S768" s="54">
        <f>'Product info'!U153</f>
        <v>0</v>
      </c>
      <c r="T768" s="50">
        <f>'Product info'!R153</f>
        <v>0</v>
      </c>
      <c r="U768" s="52">
        <f t="shared" si="165"/>
        <v>0</v>
      </c>
      <c r="V768" s="50">
        <f t="shared" si="166"/>
        <v>0</v>
      </c>
      <c r="W768" s="50">
        <f t="shared" si="167"/>
        <v>0</v>
      </c>
      <c r="X768" s="50">
        <f t="shared" si="168"/>
        <v>0</v>
      </c>
      <c r="Y768" s="50">
        <f t="shared" si="169"/>
        <v>0</v>
      </c>
      <c r="Z768" t="e">
        <f t="shared" si="157"/>
        <v>#DIV/0!</v>
      </c>
    </row>
    <row r="769" spans="1:26" x14ac:dyDescent="0.4">
      <c r="A769">
        <f>'Product info'!A154</f>
        <v>0</v>
      </c>
      <c r="B769">
        <f>'Product info'!F154</f>
        <v>0</v>
      </c>
      <c r="C769" s="6">
        <f>'Product info'!G154</f>
        <v>0</v>
      </c>
      <c r="D769" s="6">
        <f>'Product info'!H154</f>
        <v>0</v>
      </c>
      <c r="E769" t="str">
        <f t="shared" si="158"/>
        <v>0*0*0</v>
      </c>
      <c r="F769" s="50">
        <f>'Product info'!O154</f>
        <v>0</v>
      </c>
      <c r="G769" s="50">
        <f>'Product info'!P154</f>
        <v>0</v>
      </c>
      <c r="H769" s="50">
        <f>'Product info'!Q154</f>
        <v>0</v>
      </c>
      <c r="I769" s="50">
        <f>'Product info'!N154</f>
        <v>0</v>
      </c>
      <c r="J769" s="51">
        <f>'Product info'!M154</f>
        <v>0</v>
      </c>
      <c r="K769" s="52">
        <f t="shared" si="159"/>
        <v>0</v>
      </c>
      <c r="L769" s="50">
        <f t="shared" si="160"/>
        <v>0</v>
      </c>
      <c r="M769" s="50">
        <f t="shared" si="161"/>
        <v>0</v>
      </c>
      <c r="N769" s="50">
        <f t="shared" si="162"/>
        <v>0</v>
      </c>
      <c r="O769" s="50">
        <f t="shared" si="163"/>
        <v>0</v>
      </c>
      <c r="P769" s="53" t="str">
        <f t="shared" si="164"/>
        <v>0*0*0</v>
      </c>
      <c r="Q769" s="54">
        <f>'Product info'!S154</f>
        <v>0</v>
      </c>
      <c r="R769" s="54">
        <f>'Product info'!T154</f>
        <v>0</v>
      </c>
      <c r="S769" s="54">
        <f>'Product info'!U154</f>
        <v>0</v>
      </c>
      <c r="T769" s="50">
        <f>'Product info'!R154</f>
        <v>0</v>
      </c>
      <c r="U769" s="52">
        <f t="shared" si="165"/>
        <v>0</v>
      </c>
      <c r="V769" s="50">
        <f t="shared" si="166"/>
        <v>0</v>
      </c>
      <c r="W769" s="50">
        <f t="shared" si="167"/>
        <v>0</v>
      </c>
      <c r="X769" s="50">
        <f t="shared" si="168"/>
        <v>0</v>
      </c>
      <c r="Y769" s="50">
        <f t="shared" si="169"/>
        <v>0</v>
      </c>
      <c r="Z769" t="e">
        <f t="shared" si="157"/>
        <v>#DIV/0!</v>
      </c>
    </row>
    <row r="770" spans="1:26" x14ac:dyDescent="0.4">
      <c r="A770">
        <f>'Product info'!A155</f>
        <v>0</v>
      </c>
      <c r="B770">
        <f>'Product info'!F155</f>
        <v>0</v>
      </c>
      <c r="C770" s="6">
        <f>'Product info'!G155</f>
        <v>0</v>
      </c>
      <c r="D770" s="6">
        <f>'Product info'!H155</f>
        <v>0</v>
      </c>
      <c r="E770" t="str">
        <f t="shared" si="158"/>
        <v>0*0*0</v>
      </c>
      <c r="F770" s="50">
        <f>'Product info'!O155</f>
        <v>0</v>
      </c>
      <c r="G770" s="50">
        <f>'Product info'!P155</f>
        <v>0</v>
      </c>
      <c r="H770" s="50">
        <f>'Product info'!Q155</f>
        <v>0</v>
      </c>
      <c r="I770" s="50">
        <f>'Product info'!N155</f>
        <v>0</v>
      </c>
      <c r="J770" s="51">
        <f>'Product info'!M155</f>
        <v>0</v>
      </c>
      <c r="K770" s="52">
        <f t="shared" si="159"/>
        <v>0</v>
      </c>
      <c r="L770" s="50">
        <f t="shared" si="160"/>
        <v>0</v>
      </c>
      <c r="M770" s="50">
        <f t="shared" si="161"/>
        <v>0</v>
      </c>
      <c r="N770" s="50">
        <f t="shared" si="162"/>
        <v>0</v>
      </c>
      <c r="O770" s="50">
        <f t="shared" si="163"/>
        <v>0</v>
      </c>
      <c r="P770" s="53" t="str">
        <f t="shared" si="164"/>
        <v>0*0*0</v>
      </c>
      <c r="Q770" s="54">
        <f>'Product info'!S155</f>
        <v>0</v>
      </c>
      <c r="R770" s="54">
        <f>'Product info'!T155</f>
        <v>0</v>
      </c>
      <c r="S770" s="54">
        <f>'Product info'!U155</f>
        <v>0</v>
      </c>
      <c r="T770" s="50">
        <f>'Product info'!R155</f>
        <v>0</v>
      </c>
      <c r="U770" s="52">
        <f t="shared" si="165"/>
        <v>0</v>
      </c>
      <c r="V770" s="50">
        <f t="shared" si="166"/>
        <v>0</v>
      </c>
      <c r="W770" s="50">
        <f t="shared" si="167"/>
        <v>0</v>
      </c>
      <c r="X770" s="50">
        <f t="shared" si="168"/>
        <v>0</v>
      </c>
      <c r="Y770" s="50">
        <f t="shared" si="169"/>
        <v>0</v>
      </c>
      <c r="Z770" t="e">
        <f t="shared" si="157"/>
        <v>#DIV/0!</v>
      </c>
    </row>
    <row r="771" spans="1:26" x14ac:dyDescent="0.4">
      <c r="A771">
        <f>'Product info'!A156</f>
        <v>0</v>
      </c>
      <c r="B771">
        <f>'Product info'!F156</f>
        <v>0</v>
      </c>
      <c r="C771" s="6">
        <f>'Product info'!G156</f>
        <v>0</v>
      </c>
      <c r="D771" s="6">
        <f>'Product info'!H156</f>
        <v>0</v>
      </c>
      <c r="E771" t="str">
        <f t="shared" si="158"/>
        <v>0*0*0</v>
      </c>
      <c r="F771" s="50">
        <f>'Product info'!O156</f>
        <v>0</v>
      </c>
      <c r="G771" s="50">
        <f>'Product info'!P156</f>
        <v>0</v>
      </c>
      <c r="H771" s="50">
        <f>'Product info'!Q156</f>
        <v>0</v>
      </c>
      <c r="I771" s="50">
        <f>'Product info'!N156</f>
        <v>0</v>
      </c>
      <c r="J771" s="51">
        <f>'Product info'!M156</f>
        <v>0</v>
      </c>
      <c r="K771" s="52">
        <f t="shared" si="159"/>
        <v>0</v>
      </c>
      <c r="L771" s="50">
        <f t="shared" si="160"/>
        <v>0</v>
      </c>
      <c r="M771" s="50">
        <f t="shared" si="161"/>
        <v>0</v>
      </c>
      <c r="N771" s="50">
        <f t="shared" si="162"/>
        <v>0</v>
      </c>
      <c r="O771" s="50">
        <f t="shared" si="163"/>
        <v>0</v>
      </c>
      <c r="P771" s="53" t="str">
        <f t="shared" si="164"/>
        <v>0*0*0</v>
      </c>
      <c r="Q771" s="54">
        <f>'Product info'!S156</f>
        <v>0</v>
      </c>
      <c r="R771" s="54">
        <f>'Product info'!T156</f>
        <v>0</v>
      </c>
      <c r="S771" s="54">
        <f>'Product info'!U156</f>
        <v>0</v>
      </c>
      <c r="T771" s="50">
        <f>'Product info'!R156</f>
        <v>0</v>
      </c>
      <c r="U771" s="52">
        <f t="shared" si="165"/>
        <v>0</v>
      </c>
      <c r="V771" s="50">
        <f t="shared" si="166"/>
        <v>0</v>
      </c>
      <c r="W771" s="50">
        <f t="shared" si="167"/>
        <v>0</v>
      </c>
      <c r="X771" s="50">
        <f t="shared" si="168"/>
        <v>0</v>
      </c>
      <c r="Y771" s="50">
        <f t="shared" si="169"/>
        <v>0</v>
      </c>
      <c r="Z771" t="e">
        <f t="shared" si="157"/>
        <v>#DIV/0!</v>
      </c>
    </row>
    <row r="772" spans="1:26" x14ac:dyDescent="0.4">
      <c r="A772">
        <f>'Product info'!A157</f>
        <v>0</v>
      </c>
      <c r="B772">
        <f>'Product info'!F157</f>
        <v>0</v>
      </c>
      <c r="C772" s="6">
        <f>'Product info'!G157</f>
        <v>0</v>
      </c>
      <c r="D772" s="6">
        <f>'Product info'!H157</f>
        <v>0</v>
      </c>
      <c r="E772" t="str">
        <f t="shared" si="158"/>
        <v>0*0*0</v>
      </c>
      <c r="F772" s="50">
        <f>'Product info'!O157</f>
        <v>0</v>
      </c>
      <c r="G772" s="50">
        <f>'Product info'!P157</f>
        <v>0</v>
      </c>
      <c r="H772" s="50">
        <f>'Product info'!Q157</f>
        <v>0</v>
      </c>
      <c r="I772" s="50">
        <f>'Product info'!N157</f>
        <v>0</v>
      </c>
      <c r="J772" s="51">
        <f>'Product info'!M157</f>
        <v>0</v>
      </c>
      <c r="K772" s="52">
        <f t="shared" si="159"/>
        <v>0</v>
      </c>
      <c r="L772" s="50">
        <f t="shared" si="160"/>
        <v>0</v>
      </c>
      <c r="M772" s="50">
        <f t="shared" si="161"/>
        <v>0</v>
      </c>
      <c r="N772" s="50">
        <f t="shared" si="162"/>
        <v>0</v>
      </c>
      <c r="O772" s="50">
        <f t="shared" si="163"/>
        <v>0</v>
      </c>
      <c r="P772" s="53" t="str">
        <f t="shared" si="164"/>
        <v>0*0*0</v>
      </c>
      <c r="Q772" s="54">
        <f>'Product info'!S157</f>
        <v>0</v>
      </c>
      <c r="R772" s="54">
        <f>'Product info'!T157</f>
        <v>0</v>
      </c>
      <c r="S772" s="54">
        <f>'Product info'!U157</f>
        <v>0</v>
      </c>
      <c r="T772" s="50">
        <f>'Product info'!R157</f>
        <v>0</v>
      </c>
      <c r="U772" s="52">
        <f t="shared" si="165"/>
        <v>0</v>
      </c>
      <c r="V772" s="50">
        <f t="shared" si="166"/>
        <v>0</v>
      </c>
      <c r="W772" s="50">
        <f t="shared" si="167"/>
        <v>0</v>
      </c>
      <c r="X772" s="50">
        <f t="shared" si="168"/>
        <v>0</v>
      </c>
      <c r="Y772" s="50">
        <f t="shared" si="169"/>
        <v>0</v>
      </c>
      <c r="Z772" t="e">
        <f t="shared" ref="Z772" si="170">K772/J772</f>
        <v>#DIV/0!</v>
      </c>
    </row>
  </sheetData>
  <sheetProtection formatColumns="0" formatRows="0"/>
  <autoFilter ref="A2:Y772" xr:uid="{9471295D-958B-4B97-8AF7-DD1EAFF8B74D}"/>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47FFF-B526-477A-9094-BAF60EEC961B}">
  <sheetPr codeName="Sheet2"/>
  <dimension ref="A1:CG611"/>
  <sheetViews>
    <sheetView zoomScale="70" zoomScaleNormal="70" workbookViewId="0">
      <pane xSplit="2" ySplit="1" topLeftCell="AG598" activePane="bottomRight" state="frozen"/>
      <selection pane="topRight" activeCell="C1" sqref="C1"/>
      <selection pane="bottomLeft" activeCell="A2" sqref="A2"/>
      <selection pane="bottomRight" activeCell="AG605" sqref="AG605"/>
    </sheetView>
  </sheetViews>
  <sheetFormatPr defaultRowHeight="78" customHeight="1" x14ac:dyDescent="0.4"/>
  <cols>
    <col min="1" max="1" width="28" style="67" customWidth="1"/>
    <col min="2" max="2" width="28" customWidth="1"/>
    <col min="3" max="3" width="48.53515625" style="69" customWidth="1"/>
    <col min="4" max="62" width="48.53515625" style="7" customWidth="1"/>
    <col min="63" max="63" width="48.53515625" customWidth="1"/>
    <col min="64" max="85" width="34.3046875" customWidth="1"/>
  </cols>
  <sheetData>
    <row r="1" spans="1:62" s="55" customFormat="1" ht="78" customHeight="1" x14ac:dyDescent="0.4">
      <c r="A1" s="66" t="s">
        <v>0</v>
      </c>
      <c r="B1" s="55" t="s">
        <v>2</v>
      </c>
      <c r="C1" s="68" t="s">
        <v>628</v>
      </c>
      <c r="D1" s="56" t="s">
        <v>629</v>
      </c>
      <c r="E1" s="56" t="s">
        <v>630</v>
      </c>
      <c r="F1" s="56" t="s">
        <v>631</v>
      </c>
      <c r="G1" s="56" t="s">
        <v>632</v>
      </c>
      <c r="H1" s="56" t="s">
        <v>633</v>
      </c>
      <c r="I1" s="56" t="s">
        <v>634</v>
      </c>
      <c r="J1" s="56" t="s">
        <v>635</v>
      </c>
      <c r="K1" s="56" t="s">
        <v>636</v>
      </c>
      <c r="L1" s="56" t="s">
        <v>637</v>
      </c>
      <c r="M1" s="56" t="s">
        <v>638</v>
      </c>
      <c r="N1" s="56" t="s">
        <v>639</v>
      </c>
      <c r="O1" s="56" t="s">
        <v>640</v>
      </c>
      <c r="P1" s="56" t="s">
        <v>641</v>
      </c>
      <c r="Q1" s="56" t="s">
        <v>642</v>
      </c>
      <c r="R1" s="56" t="s">
        <v>643</v>
      </c>
      <c r="S1" s="56" t="s">
        <v>644</v>
      </c>
      <c r="T1" s="56" t="s">
        <v>645</v>
      </c>
      <c r="U1" s="56" t="s">
        <v>646</v>
      </c>
      <c r="V1" s="56" t="s">
        <v>647</v>
      </c>
      <c r="W1" s="56" t="s">
        <v>648</v>
      </c>
      <c r="X1" s="56" t="s">
        <v>649</v>
      </c>
      <c r="Y1" s="56" t="s">
        <v>650</v>
      </c>
      <c r="Z1" s="56" t="s">
        <v>651</v>
      </c>
      <c r="AA1" s="56" t="s">
        <v>652</v>
      </c>
      <c r="AB1" s="56" t="s">
        <v>653</v>
      </c>
      <c r="AC1" s="56" t="s">
        <v>654</v>
      </c>
      <c r="AD1" s="56" t="s">
        <v>655</v>
      </c>
      <c r="AE1" s="56" t="s">
        <v>656</v>
      </c>
      <c r="AF1" s="56" t="s">
        <v>657</v>
      </c>
      <c r="AG1" s="56" t="s">
        <v>658</v>
      </c>
      <c r="AH1" s="56" t="s">
        <v>659</v>
      </c>
      <c r="AI1" s="56" t="s">
        <v>660</v>
      </c>
      <c r="AJ1" s="56" t="s">
        <v>661</v>
      </c>
      <c r="AK1" s="56" t="s">
        <v>662</v>
      </c>
      <c r="AL1" s="56" t="s">
        <v>663</v>
      </c>
      <c r="AM1" s="56" t="s">
        <v>664</v>
      </c>
      <c r="AN1" s="56" t="s">
        <v>665</v>
      </c>
      <c r="AO1" s="56" t="s">
        <v>666</v>
      </c>
      <c r="AP1" s="56" t="s">
        <v>667</v>
      </c>
      <c r="AQ1" s="56" t="s">
        <v>668</v>
      </c>
      <c r="AR1" s="56" t="s">
        <v>669</v>
      </c>
      <c r="AS1" s="56" t="s">
        <v>670</v>
      </c>
      <c r="AT1" s="56" t="s">
        <v>671</v>
      </c>
      <c r="AU1" s="56" t="s">
        <v>672</v>
      </c>
      <c r="AV1" s="56" t="s">
        <v>673</v>
      </c>
      <c r="AW1" s="56" t="s">
        <v>674</v>
      </c>
      <c r="AX1" s="56" t="s">
        <v>675</v>
      </c>
      <c r="AY1" s="56" t="s">
        <v>676</v>
      </c>
      <c r="AZ1" s="56" t="s">
        <v>677</v>
      </c>
      <c r="BA1" s="56" t="s">
        <v>678</v>
      </c>
      <c r="BB1" s="56" t="s">
        <v>679</v>
      </c>
      <c r="BC1" s="56" t="s">
        <v>680</v>
      </c>
      <c r="BD1" s="56" t="s">
        <v>681</v>
      </c>
      <c r="BE1" s="56" t="s">
        <v>682</v>
      </c>
      <c r="BF1" s="56" t="s">
        <v>683</v>
      </c>
      <c r="BG1" s="56" t="s">
        <v>684</v>
      </c>
      <c r="BH1" s="56" t="s">
        <v>685</v>
      </c>
      <c r="BI1" s="56" t="s">
        <v>686</v>
      </c>
      <c r="BJ1" s="56" t="s">
        <v>687</v>
      </c>
    </row>
    <row r="2" spans="1:62" ht="78" customHeight="1" x14ac:dyDescent="0.4">
      <c r="A2" s="67" t="s">
        <v>120</v>
      </c>
      <c r="B2" t="str">
        <f>_xlfn.XLOOKUP(A2,'Product info'!A:A,'Product info'!C:C,,2)</f>
        <v>Blanket koala</v>
      </c>
    </row>
    <row r="3" spans="1:62" ht="78" customHeight="1" x14ac:dyDescent="0.4">
      <c r="A3" s="67" t="s">
        <v>364</v>
      </c>
      <c r="B3" t="str">
        <f>_xlfn.XLOOKUP(A3,'Product info'!A:A,'Product info'!C:C,,2)</f>
        <v>Rabbit blanket</v>
      </c>
      <c r="C3" s="69" t="s">
        <v>688</v>
      </c>
      <c r="D3" s="7" t="s">
        <v>689</v>
      </c>
      <c r="E3" s="7" t="s">
        <v>690</v>
      </c>
      <c r="F3" s="7" t="s">
        <v>691</v>
      </c>
      <c r="G3" s="7" t="s">
        <v>692</v>
      </c>
      <c r="H3" s="7" t="s">
        <v>693</v>
      </c>
      <c r="I3" s="7" t="s">
        <v>694</v>
      </c>
      <c r="J3" s="7" t="s">
        <v>695</v>
      </c>
      <c r="K3" s="7" t="s">
        <v>696</v>
      </c>
      <c r="L3" s="7" t="s">
        <v>697</v>
      </c>
      <c r="M3" s="7" t="s">
        <v>698</v>
      </c>
      <c r="N3" s="7" t="s">
        <v>699</v>
      </c>
      <c r="O3" s="7" t="s">
        <v>700</v>
      </c>
      <c r="P3" s="7" t="s">
        <v>701</v>
      </c>
      <c r="Q3" s="7" t="s">
        <v>702</v>
      </c>
      <c r="R3" s="7" t="s">
        <v>703</v>
      </c>
      <c r="S3" s="7" t="s">
        <v>704</v>
      </c>
      <c r="T3" s="7" t="s">
        <v>705</v>
      </c>
      <c r="U3" s="7" t="s">
        <v>706</v>
      </c>
      <c r="V3" s="7" t="s">
        <v>707</v>
      </c>
      <c r="W3" s="7" t="s">
        <v>708</v>
      </c>
      <c r="X3" s="7" t="s">
        <v>709</v>
      </c>
      <c r="Y3" s="7" t="s">
        <v>710</v>
      </c>
      <c r="Z3" s="7" t="s">
        <v>711</v>
      </c>
      <c r="AA3" s="7" t="s">
        <v>712</v>
      </c>
      <c r="AB3" s="7" t="s">
        <v>694</v>
      </c>
      <c r="AC3" s="7" t="s">
        <v>713</v>
      </c>
      <c r="AD3" s="7" t="s">
        <v>714</v>
      </c>
      <c r="AE3" s="7" t="s">
        <v>715</v>
      </c>
      <c r="AF3" s="7" t="s">
        <v>716</v>
      </c>
    </row>
    <row r="4" spans="1:62" ht="78" customHeight="1" x14ac:dyDescent="0.4">
      <c r="A4" s="67" t="s">
        <v>495</v>
      </c>
      <c r="B4" t="e">
        <f>_xlfn.XLOOKUP(A4,'Product info'!A:A,'Product info'!C:C,,2)</f>
        <v>#N/A</v>
      </c>
    </row>
    <row r="5" spans="1:62" ht="78" customHeight="1" x14ac:dyDescent="0.4">
      <c r="A5" s="67" t="s">
        <v>493</v>
      </c>
      <c r="B5" t="e">
        <f>_xlfn.XLOOKUP(A5,'Product info'!A:A,'Product info'!C:C,,2)</f>
        <v>#N/A</v>
      </c>
    </row>
    <row r="6" spans="1:62" ht="78" customHeight="1" x14ac:dyDescent="0.4">
      <c r="A6" s="67" t="s">
        <v>163</v>
      </c>
      <c r="B6" t="e">
        <f>_xlfn.XLOOKUP(A6,'Product info'!A:A,'Product info'!C:C,,2)</f>
        <v>#N/A</v>
      </c>
      <c r="C6" s="70">
        <f>IF(D6="AMZ",F6,G6)</f>
        <v>0</v>
      </c>
    </row>
    <row r="7" spans="1:62" ht="78" customHeight="1" x14ac:dyDescent="0.4">
      <c r="A7" s="67" t="s">
        <v>147</v>
      </c>
      <c r="B7" t="e">
        <f>_xlfn.XLOOKUP(A7,'Product info'!A:A,'Product info'!C:C,,2)</f>
        <v>#N/A</v>
      </c>
      <c r="C7" s="69" t="s">
        <v>688</v>
      </c>
      <c r="D7" s="7" t="s">
        <v>689</v>
      </c>
      <c r="E7" s="7" t="s">
        <v>690</v>
      </c>
      <c r="F7" s="7" t="s">
        <v>691</v>
      </c>
      <c r="G7" s="7" t="s">
        <v>692</v>
      </c>
      <c r="H7" s="7" t="s">
        <v>693</v>
      </c>
      <c r="I7" s="7" t="s">
        <v>694</v>
      </c>
      <c r="J7" s="7" t="s">
        <v>695</v>
      </c>
      <c r="K7" s="7" t="s">
        <v>696</v>
      </c>
      <c r="L7" s="7" t="s">
        <v>697</v>
      </c>
      <c r="M7" s="7" t="s">
        <v>698</v>
      </c>
      <c r="N7" s="7" t="s">
        <v>699</v>
      </c>
      <c r="O7" s="7" t="s">
        <v>700</v>
      </c>
      <c r="P7" s="7" t="s">
        <v>701</v>
      </c>
      <c r="Q7" s="7" t="s">
        <v>702</v>
      </c>
      <c r="R7" s="7" t="s">
        <v>703</v>
      </c>
      <c r="S7" s="7" t="s">
        <v>704</v>
      </c>
      <c r="T7" s="7" t="s">
        <v>705</v>
      </c>
      <c r="U7" s="7" t="s">
        <v>706</v>
      </c>
      <c r="V7" s="7" t="s">
        <v>707</v>
      </c>
      <c r="W7" s="7" t="s">
        <v>708</v>
      </c>
      <c r="X7" s="7" t="s">
        <v>709</v>
      </c>
      <c r="Y7" s="7" t="s">
        <v>710</v>
      </c>
      <c r="Z7" s="7" t="s">
        <v>711</v>
      </c>
      <c r="AA7" s="7" t="s">
        <v>712</v>
      </c>
      <c r="AB7" s="7" t="s">
        <v>694</v>
      </c>
      <c r="AC7" s="7" t="s">
        <v>713</v>
      </c>
      <c r="AD7" s="7" t="s">
        <v>714</v>
      </c>
      <c r="AE7" s="7" t="s">
        <v>715</v>
      </c>
      <c r="AF7" s="7" t="s">
        <v>716</v>
      </c>
    </row>
    <row r="8" spans="1:62" ht="78" customHeight="1" x14ac:dyDescent="0.4">
      <c r="A8" s="67" t="s">
        <v>169</v>
      </c>
      <c r="B8" t="e">
        <f>_xlfn.XLOOKUP(A8,'Product info'!A:A,'Product info'!C:C,,2)</f>
        <v>#N/A</v>
      </c>
    </row>
    <row r="9" spans="1:62" ht="78" customHeight="1" x14ac:dyDescent="0.4">
      <c r="A9" s="67" t="s">
        <v>115</v>
      </c>
      <c r="B9" t="str">
        <f>_xlfn.XLOOKUP(A9,'Product info'!A:A,'Product info'!C:C,,2)</f>
        <v>Blanket fox</v>
      </c>
    </row>
    <row r="10" spans="1:62" ht="78" customHeight="1" x14ac:dyDescent="0.4">
      <c r="A10" s="67" t="s">
        <v>494</v>
      </c>
      <c r="B10" t="e">
        <f>_xlfn.XLOOKUP(A10,'Product info'!A:A,'Product info'!C:C,,2)</f>
        <v>#N/A</v>
      </c>
    </row>
    <row r="11" spans="1:62" ht="78" customHeight="1" x14ac:dyDescent="0.4">
      <c r="A11" s="67" t="s">
        <v>90</v>
      </c>
      <c r="B11" t="e">
        <f>_xlfn.XLOOKUP(A11,'Product info'!A:A,'Product info'!C:C,,2)</f>
        <v>#N/A</v>
      </c>
    </row>
    <row r="12" spans="1:62" ht="78" customHeight="1" x14ac:dyDescent="0.4">
      <c r="A12" s="67" t="s">
        <v>164</v>
      </c>
      <c r="B12" t="e">
        <f>_xlfn.XLOOKUP(A12,'Product info'!A:A,'Product info'!C:C,,2)</f>
        <v>#N/A</v>
      </c>
    </row>
    <row r="13" spans="1:62" ht="78" customHeight="1" x14ac:dyDescent="0.4">
      <c r="A13" s="67" t="s">
        <v>96</v>
      </c>
      <c r="B13" t="e">
        <f>_xlfn.XLOOKUP(A13,'Product info'!A:A,'Product info'!C:C,,2)</f>
        <v>#N/A</v>
      </c>
      <c r="C13" s="69" t="s">
        <v>688</v>
      </c>
      <c r="D13" s="7" t="s">
        <v>689</v>
      </c>
      <c r="E13" s="7" t="s">
        <v>690</v>
      </c>
      <c r="F13" s="7" t="s">
        <v>691</v>
      </c>
      <c r="G13" s="7" t="s">
        <v>692</v>
      </c>
      <c r="H13" s="7" t="s">
        <v>693</v>
      </c>
      <c r="I13" s="7" t="s">
        <v>694</v>
      </c>
      <c r="J13" s="7" t="s">
        <v>695</v>
      </c>
      <c r="K13" s="7" t="s">
        <v>696</v>
      </c>
      <c r="L13" s="7" t="s">
        <v>697</v>
      </c>
      <c r="M13" s="7" t="s">
        <v>698</v>
      </c>
      <c r="N13" s="7" t="s">
        <v>699</v>
      </c>
      <c r="O13" s="7" t="s">
        <v>700</v>
      </c>
      <c r="P13" s="7" t="s">
        <v>701</v>
      </c>
      <c r="Q13" s="7" t="s">
        <v>702</v>
      </c>
      <c r="R13" s="7" t="s">
        <v>703</v>
      </c>
      <c r="S13" s="7" t="s">
        <v>704</v>
      </c>
      <c r="T13" s="7" t="s">
        <v>705</v>
      </c>
      <c r="U13" s="7" t="s">
        <v>706</v>
      </c>
      <c r="V13" s="7" t="s">
        <v>707</v>
      </c>
      <c r="W13" s="7" t="s">
        <v>708</v>
      </c>
      <c r="X13" s="7" t="s">
        <v>709</v>
      </c>
      <c r="Y13" s="7" t="s">
        <v>710</v>
      </c>
      <c r="Z13" s="7" t="s">
        <v>711</v>
      </c>
      <c r="AA13" s="7" t="s">
        <v>712</v>
      </c>
      <c r="AB13" s="7" t="s">
        <v>694</v>
      </c>
      <c r="AC13" s="7" t="s">
        <v>713</v>
      </c>
      <c r="AD13" s="7" t="s">
        <v>714</v>
      </c>
      <c r="AE13" s="7" t="s">
        <v>715</v>
      </c>
      <c r="AF13" s="7" t="s">
        <v>716</v>
      </c>
    </row>
    <row r="14" spans="1:62" ht="78" customHeight="1" x14ac:dyDescent="0.4">
      <c r="A14" s="67" t="s">
        <v>166</v>
      </c>
      <c r="B14" t="e">
        <f>_xlfn.XLOOKUP(A14,'Product info'!A:A,'Product info'!C:C,,2)</f>
        <v>#N/A</v>
      </c>
    </row>
    <row r="15" spans="1:62" ht="78" customHeight="1" x14ac:dyDescent="0.4">
      <c r="A15" s="67" t="s">
        <v>141</v>
      </c>
      <c r="B15" t="e">
        <f>_xlfn.XLOOKUP(A15,'Product info'!A:A,'Product info'!C:C,,2)</f>
        <v>#N/A</v>
      </c>
    </row>
    <row r="16" spans="1:62" ht="78" customHeight="1" x14ac:dyDescent="0.4">
      <c r="A16" s="67" t="s">
        <v>239</v>
      </c>
      <c r="B16" t="e">
        <f>_xlfn.XLOOKUP(A16,'Product info'!A:A,'Product info'!C:C,,2)</f>
        <v>#N/A</v>
      </c>
    </row>
    <row r="17" spans="1:39" ht="78" customHeight="1" x14ac:dyDescent="0.4">
      <c r="A17" s="67" t="s">
        <v>139</v>
      </c>
      <c r="B17" t="e">
        <f>_xlfn.XLOOKUP(A17,'Product info'!A:A,'Product info'!C:C,,2)</f>
        <v>#N/A</v>
      </c>
      <c r="C17" s="69" t="s">
        <v>688</v>
      </c>
      <c r="D17" s="7" t="s">
        <v>689</v>
      </c>
      <c r="E17" s="7" t="s">
        <v>690</v>
      </c>
      <c r="F17" s="7" t="s">
        <v>691</v>
      </c>
      <c r="G17" s="7" t="s">
        <v>692</v>
      </c>
      <c r="H17" s="7" t="s">
        <v>693</v>
      </c>
      <c r="I17" s="7" t="s">
        <v>694</v>
      </c>
      <c r="J17" s="7" t="s">
        <v>695</v>
      </c>
      <c r="K17" s="7" t="s">
        <v>696</v>
      </c>
      <c r="L17" s="7" t="s">
        <v>697</v>
      </c>
      <c r="M17" s="7" t="s">
        <v>698</v>
      </c>
      <c r="N17" s="7" t="s">
        <v>699</v>
      </c>
      <c r="O17" s="7" t="s">
        <v>700</v>
      </c>
      <c r="P17" s="7" t="s">
        <v>701</v>
      </c>
      <c r="Q17" s="7" t="s">
        <v>702</v>
      </c>
      <c r="R17" s="7" t="s">
        <v>703</v>
      </c>
      <c r="S17" s="7" t="s">
        <v>704</v>
      </c>
      <c r="T17" s="7" t="s">
        <v>705</v>
      </c>
      <c r="U17" s="7" t="s">
        <v>706</v>
      </c>
      <c r="V17" s="7" t="s">
        <v>707</v>
      </c>
      <c r="W17" s="7" t="s">
        <v>708</v>
      </c>
      <c r="X17" s="7" t="s">
        <v>709</v>
      </c>
      <c r="Y17" s="7" t="s">
        <v>710</v>
      </c>
      <c r="Z17" s="7" t="s">
        <v>711</v>
      </c>
      <c r="AA17" s="7" t="s">
        <v>712</v>
      </c>
      <c r="AB17" s="7" t="s">
        <v>694</v>
      </c>
      <c r="AC17" s="7" t="s">
        <v>713</v>
      </c>
      <c r="AD17" s="7" t="s">
        <v>714</v>
      </c>
      <c r="AE17" s="7" t="s">
        <v>715</v>
      </c>
      <c r="AF17" s="7" t="s">
        <v>716</v>
      </c>
    </row>
    <row r="18" spans="1:39" ht="78" customHeight="1" x14ac:dyDescent="0.4">
      <c r="A18" s="67" t="s">
        <v>290</v>
      </c>
      <c r="B18" t="e">
        <f>_xlfn.XLOOKUP(A18,'Product info'!A:A,'Product info'!C:C,,2)</f>
        <v>#N/A</v>
      </c>
      <c r="C18" s="69" t="s">
        <v>688</v>
      </c>
      <c r="D18" s="7" t="s">
        <v>689</v>
      </c>
      <c r="E18" s="7" t="s">
        <v>690</v>
      </c>
      <c r="F18" s="7" t="s">
        <v>691</v>
      </c>
      <c r="G18" s="7" t="s">
        <v>692</v>
      </c>
      <c r="H18" s="7" t="s">
        <v>693</v>
      </c>
      <c r="I18" s="7" t="s">
        <v>694</v>
      </c>
      <c r="J18" s="7" t="s">
        <v>695</v>
      </c>
      <c r="K18" s="7" t="s">
        <v>696</v>
      </c>
      <c r="L18" s="7" t="s">
        <v>697</v>
      </c>
      <c r="M18" s="7" t="s">
        <v>698</v>
      </c>
      <c r="N18" s="7" t="s">
        <v>699</v>
      </c>
      <c r="O18" s="7" t="s">
        <v>700</v>
      </c>
      <c r="P18" s="7" t="s">
        <v>701</v>
      </c>
      <c r="Q18" s="7" t="s">
        <v>702</v>
      </c>
      <c r="R18" s="7" t="s">
        <v>703</v>
      </c>
      <c r="S18" s="7" t="s">
        <v>704</v>
      </c>
      <c r="T18" s="7" t="s">
        <v>705</v>
      </c>
      <c r="U18" s="7" t="s">
        <v>706</v>
      </c>
      <c r="V18" s="7" t="s">
        <v>707</v>
      </c>
      <c r="W18" s="7" t="s">
        <v>708</v>
      </c>
      <c r="X18" s="7" t="s">
        <v>709</v>
      </c>
      <c r="Y18" s="7" t="s">
        <v>710</v>
      </c>
      <c r="Z18" s="7" t="s">
        <v>711</v>
      </c>
      <c r="AA18" s="7" t="s">
        <v>712</v>
      </c>
      <c r="AB18" s="7" t="s">
        <v>694</v>
      </c>
      <c r="AC18" s="7" t="s">
        <v>713</v>
      </c>
      <c r="AD18" s="7" t="s">
        <v>714</v>
      </c>
      <c r="AE18" s="7" t="s">
        <v>715</v>
      </c>
      <c r="AF18" s="7" t="s">
        <v>716</v>
      </c>
      <c r="AG18" s="7" t="s">
        <v>717</v>
      </c>
      <c r="AH18" s="7" t="s">
        <v>718</v>
      </c>
      <c r="AI18" s="7" t="s">
        <v>719</v>
      </c>
      <c r="AJ18" s="7" t="s">
        <v>720</v>
      </c>
      <c r="AK18" s="7" t="s">
        <v>721</v>
      </c>
      <c r="AL18" s="7" t="s">
        <v>722</v>
      </c>
    </row>
    <row r="19" spans="1:39" ht="78" customHeight="1" x14ac:dyDescent="0.4">
      <c r="A19" s="67" t="s">
        <v>288</v>
      </c>
      <c r="B19" t="e">
        <f>_xlfn.XLOOKUP(A19,'Product info'!A:A,'Product info'!C:C,,2)</f>
        <v>#N/A</v>
      </c>
      <c r="C19" s="69" t="s">
        <v>688</v>
      </c>
      <c r="D19" s="7" t="s">
        <v>689</v>
      </c>
      <c r="E19" s="7" t="s">
        <v>690</v>
      </c>
      <c r="F19" s="7" t="s">
        <v>691</v>
      </c>
      <c r="G19" s="7" t="s">
        <v>692</v>
      </c>
      <c r="H19" s="7" t="s">
        <v>693</v>
      </c>
      <c r="I19" s="7" t="s">
        <v>694</v>
      </c>
      <c r="J19" s="7" t="s">
        <v>695</v>
      </c>
      <c r="K19" s="7" t="s">
        <v>696</v>
      </c>
      <c r="L19" s="7" t="s">
        <v>697</v>
      </c>
      <c r="M19" s="7" t="s">
        <v>698</v>
      </c>
      <c r="N19" s="7" t="s">
        <v>699</v>
      </c>
      <c r="O19" s="7" t="s">
        <v>700</v>
      </c>
      <c r="P19" s="7" t="s">
        <v>701</v>
      </c>
      <c r="Q19" s="7" t="s">
        <v>702</v>
      </c>
      <c r="R19" s="7" t="s">
        <v>703</v>
      </c>
      <c r="S19" s="7" t="s">
        <v>704</v>
      </c>
      <c r="T19" s="7" t="s">
        <v>705</v>
      </c>
      <c r="U19" s="7" t="s">
        <v>706</v>
      </c>
      <c r="V19" s="7" t="s">
        <v>707</v>
      </c>
      <c r="W19" s="7" t="s">
        <v>708</v>
      </c>
      <c r="X19" s="7" t="s">
        <v>709</v>
      </c>
      <c r="Y19" s="7" t="s">
        <v>710</v>
      </c>
      <c r="Z19" s="7" t="s">
        <v>711</v>
      </c>
      <c r="AA19" s="7" t="s">
        <v>712</v>
      </c>
      <c r="AB19" s="7" t="s">
        <v>694</v>
      </c>
      <c r="AC19" s="7" t="s">
        <v>713</v>
      </c>
      <c r="AD19" s="7" t="s">
        <v>714</v>
      </c>
      <c r="AE19" s="7" t="s">
        <v>715</v>
      </c>
      <c r="AF19" s="7" t="s">
        <v>716</v>
      </c>
      <c r="AG19" s="7" t="s">
        <v>717</v>
      </c>
      <c r="AH19" s="7" t="s">
        <v>718</v>
      </c>
      <c r="AI19" s="7" t="s">
        <v>719</v>
      </c>
      <c r="AJ19" s="7" t="s">
        <v>720</v>
      </c>
      <c r="AK19" s="7" t="s">
        <v>721</v>
      </c>
      <c r="AL19" s="7" t="s">
        <v>722</v>
      </c>
    </row>
    <row r="20" spans="1:39" ht="78" customHeight="1" x14ac:dyDescent="0.4">
      <c r="A20" s="67" t="s">
        <v>286</v>
      </c>
      <c r="B20" t="e">
        <f>_xlfn.XLOOKUP(A20,'Product info'!A:A,'Product info'!C:C,,2)</f>
        <v>#N/A</v>
      </c>
      <c r="C20" s="69" t="s">
        <v>688</v>
      </c>
      <c r="D20" s="7" t="s">
        <v>689</v>
      </c>
      <c r="E20" s="7" t="s">
        <v>690</v>
      </c>
      <c r="F20" s="7" t="s">
        <v>691</v>
      </c>
      <c r="G20" s="7" t="s">
        <v>692</v>
      </c>
      <c r="H20" s="7" t="s">
        <v>693</v>
      </c>
      <c r="I20" s="7" t="s">
        <v>694</v>
      </c>
      <c r="J20" s="7" t="s">
        <v>695</v>
      </c>
      <c r="K20" s="7" t="s">
        <v>696</v>
      </c>
      <c r="L20" s="7" t="s">
        <v>697</v>
      </c>
      <c r="M20" s="7" t="s">
        <v>698</v>
      </c>
      <c r="N20" s="7" t="s">
        <v>699</v>
      </c>
      <c r="O20" s="7" t="s">
        <v>700</v>
      </c>
      <c r="P20" s="7" t="s">
        <v>701</v>
      </c>
      <c r="Q20" s="7" t="s">
        <v>702</v>
      </c>
      <c r="R20" s="7" t="s">
        <v>703</v>
      </c>
      <c r="S20" s="7" t="s">
        <v>704</v>
      </c>
      <c r="T20" s="7" t="s">
        <v>705</v>
      </c>
      <c r="U20" s="7" t="s">
        <v>706</v>
      </c>
      <c r="V20" s="7" t="s">
        <v>707</v>
      </c>
      <c r="W20" s="7" t="s">
        <v>708</v>
      </c>
      <c r="X20" s="7" t="s">
        <v>709</v>
      </c>
      <c r="Y20" s="7" t="s">
        <v>710</v>
      </c>
      <c r="Z20" s="7" t="s">
        <v>711</v>
      </c>
      <c r="AA20" s="7" t="s">
        <v>712</v>
      </c>
      <c r="AB20" s="7" t="s">
        <v>694</v>
      </c>
      <c r="AC20" s="7" t="s">
        <v>713</v>
      </c>
      <c r="AD20" s="7" t="s">
        <v>714</v>
      </c>
      <c r="AE20" s="7" t="s">
        <v>715</v>
      </c>
      <c r="AF20" s="7" t="s">
        <v>716</v>
      </c>
      <c r="AG20" s="7" t="s">
        <v>717</v>
      </c>
      <c r="AH20" s="7" t="s">
        <v>718</v>
      </c>
      <c r="AI20" s="7" t="s">
        <v>719</v>
      </c>
      <c r="AJ20" s="7" t="s">
        <v>720</v>
      </c>
      <c r="AK20" s="7" t="s">
        <v>721</v>
      </c>
      <c r="AL20" s="7" t="s">
        <v>722</v>
      </c>
      <c r="AM20" s="7" t="s">
        <v>723</v>
      </c>
    </row>
    <row r="21" spans="1:39" ht="78" customHeight="1" x14ac:dyDescent="0.4">
      <c r="A21" s="67" t="s">
        <v>289</v>
      </c>
      <c r="B21" t="e">
        <f>_xlfn.XLOOKUP(A21,'Product info'!A:A,'Product info'!C:C,,2)</f>
        <v>#N/A</v>
      </c>
      <c r="C21" s="69" t="s">
        <v>688</v>
      </c>
      <c r="D21" s="7" t="s">
        <v>689</v>
      </c>
      <c r="E21" s="7" t="s">
        <v>690</v>
      </c>
      <c r="F21" s="7" t="s">
        <v>691</v>
      </c>
      <c r="G21" s="7" t="s">
        <v>692</v>
      </c>
      <c r="H21" s="7" t="s">
        <v>693</v>
      </c>
      <c r="I21" s="7" t="s">
        <v>694</v>
      </c>
      <c r="J21" s="7" t="s">
        <v>695</v>
      </c>
      <c r="K21" s="7" t="s">
        <v>696</v>
      </c>
      <c r="L21" s="7" t="s">
        <v>697</v>
      </c>
      <c r="M21" s="7" t="s">
        <v>698</v>
      </c>
      <c r="N21" s="7" t="s">
        <v>699</v>
      </c>
      <c r="O21" s="7" t="s">
        <v>700</v>
      </c>
      <c r="P21" s="7" t="s">
        <v>701</v>
      </c>
      <c r="Q21" s="7" t="s">
        <v>702</v>
      </c>
      <c r="R21" s="7" t="s">
        <v>703</v>
      </c>
      <c r="S21" s="7" t="s">
        <v>704</v>
      </c>
      <c r="T21" s="7" t="s">
        <v>705</v>
      </c>
      <c r="U21" s="7" t="s">
        <v>706</v>
      </c>
      <c r="V21" s="7" t="s">
        <v>707</v>
      </c>
      <c r="W21" s="7" t="s">
        <v>708</v>
      </c>
      <c r="X21" s="7" t="s">
        <v>709</v>
      </c>
      <c r="Y21" s="7" t="s">
        <v>710</v>
      </c>
      <c r="Z21" s="7" t="s">
        <v>711</v>
      </c>
      <c r="AA21" s="7" t="s">
        <v>712</v>
      </c>
      <c r="AB21" s="7" t="s">
        <v>694</v>
      </c>
      <c r="AC21" s="7" t="s">
        <v>713</v>
      </c>
      <c r="AD21" s="7" t="s">
        <v>714</v>
      </c>
      <c r="AE21" s="7" t="s">
        <v>715</v>
      </c>
      <c r="AF21" s="7" t="s">
        <v>716</v>
      </c>
      <c r="AG21" s="7" t="s">
        <v>717</v>
      </c>
      <c r="AH21" s="7" t="s">
        <v>718</v>
      </c>
      <c r="AI21" s="7" t="s">
        <v>719</v>
      </c>
      <c r="AJ21" s="7" t="s">
        <v>720</v>
      </c>
      <c r="AK21" s="7" t="s">
        <v>721</v>
      </c>
      <c r="AL21" s="7" t="s">
        <v>722</v>
      </c>
    </row>
    <row r="22" spans="1:39" ht="78" customHeight="1" x14ac:dyDescent="0.4">
      <c r="A22" s="67" t="s">
        <v>287</v>
      </c>
      <c r="B22" t="e">
        <f>_xlfn.XLOOKUP(A22,'Product info'!A:A,'Product info'!C:C,,2)</f>
        <v>#N/A</v>
      </c>
      <c r="C22" s="69" t="s">
        <v>688</v>
      </c>
      <c r="D22" s="7" t="s">
        <v>689</v>
      </c>
      <c r="E22" s="7" t="s">
        <v>690</v>
      </c>
      <c r="F22" s="7" t="s">
        <v>691</v>
      </c>
      <c r="G22" s="7" t="s">
        <v>692</v>
      </c>
      <c r="H22" s="7" t="s">
        <v>693</v>
      </c>
      <c r="I22" s="7" t="s">
        <v>694</v>
      </c>
      <c r="J22" s="7" t="s">
        <v>695</v>
      </c>
      <c r="K22" s="7" t="s">
        <v>696</v>
      </c>
      <c r="L22" s="7" t="s">
        <v>697</v>
      </c>
      <c r="M22" s="7" t="s">
        <v>698</v>
      </c>
      <c r="N22" s="7" t="s">
        <v>699</v>
      </c>
      <c r="O22" s="7" t="s">
        <v>700</v>
      </c>
      <c r="P22" s="7" t="s">
        <v>701</v>
      </c>
      <c r="Q22" s="7" t="s">
        <v>702</v>
      </c>
      <c r="R22" s="7" t="s">
        <v>703</v>
      </c>
      <c r="S22" s="7" t="s">
        <v>704</v>
      </c>
      <c r="T22" s="7" t="s">
        <v>705</v>
      </c>
      <c r="U22" s="7" t="s">
        <v>706</v>
      </c>
      <c r="V22" s="7" t="s">
        <v>707</v>
      </c>
      <c r="W22" s="7" t="s">
        <v>708</v>
      </c>
      <c r="X22" s="7" t="s">
        <v>709</v>
      </c>
      <c r="Y22" s="7" t="s">
        <v>710</v>
      </c>
      <c r="Z22" s="7" t="s">
        <v>711</v>
      </c>
      <c r="AA22" s="7" t="s">
        <v>712</v>
      </c>
      <c r="AB22" s="7" t="s">
        <v>694</v>
      </c>
      <c r="AC22" s="7" t="s">
        <v>713</v>
      </c>
      <c r="AD22" s="7" t="s">
        <v>714</v>
      </c>
      <c r="AE22" s="7" t="s">
        <v>715</v>
      </c>
      <c r="AF22" s="7" t="s">
        <v>716</v>
      </c>
      <c r="AG22" s="7" t="s">
        <v>717</v>
      </c>
      <c r="AH22" s="7" t="s">
        <v>718</v>
      </c>
      <c r="AI22" s="7" t="s">
        <v>719</v>
      </c>
      <c r="AJ22" s="7" t="s">
        <v>720</v>
      </c>
      <c r="AK22" s="7" t="s">
        <v>721</v>
      </c>
      <c r="AL22" s="7" t="s">
        <v>722</v>
      </c>
    </row>
    <row r="23" spans="1:39" ht="78" customHeight="1" x14ac:dyDescent="0.4">
      <c r="A23" s="67" t="s">
        <v>244</v>
      </c>
      <c r="B23" t="e">
        <f>_xlfn.XLOOKUP(A23,'Product info'!A:A,'Product info'!C:C,,2)</f>
        <v>#N/A</v>
      </c>
      <c r="C23" s="69" t="s">
        <v>724</v>
      </c>
    </row>
    <row r="24" spans="1:39" ht="78" customHeight="1" x14ac:dyDescent="0.4">
      <c r="A24" s="67" t="s">
        <v>86</v>
      </c>
      <c r="B24" t="e">
        <f>_xlfn.XLOOKUP(A24,'Product info'!A:A,'Product info'!C:C,,2)</f>
        <v>#N/A</v>
      </c>
      <c r="C24" s="69" t="s">
        <v>688</v>
      </c>
      <c r="D24" s="7" t="s">
        <v>689</v>
      </c>
      <c r="E24" s="7" t="s">
        <v>690</v>
      </c>
      <c r="F24" s="7" t="s">
        <v>691</v>
      </c>
      <c r="G24" s="7" t="s">
        <v>692</v>
      </c>
      <c r="H24" s="7" t="s">
        <v>693</v>
      </c>
      <c r="I24" s="7" t="s">
        <v>694</v>
      </c>
      <c r="J24" s="7" t="s">
        <v>695</v>
      </c>
      <c r="K24" s="7" t="s">
        <v>696</v>
      </c>
      <c r="L24" s="7" t="s">
        <v>697</v>
      </c>
      <c r="M24" s="7" t="s">
        <v>698</v>
      </c>
      <c r="N24" s="7" t="s">
        <v>699</v>
      </c>
      <c r="O24" s="7" t="s">
        <v>700</v>
      </c>
      <c r="P24" s="7" t="s">
        <v>701</v>
      </c>
      <c r="Q24" s="7" t="s">
        <v>702</v>
      </c>
      <c r="R24" s="7" t="s">
        <v>703</v>
      </c>
      <c r="S24" s="7" t="s">
        <v>704</v>
      </c>
      <c r="T24" s="7" t="s">
        <v>705</v>
      </c>
      <c r="U24" s="7" t="s">
        <v>706</v>
      </c>
      <c r="V24" s="7" t="s">
        <v>707</v>
      </c>
      <c r="W24" s="7" t="s">
        <v>708</v>
      </c>
      <c r="X24" s="7" t="s">
        <v>709</v>
      </c>
      <c r="Y24" s="7" t="s">
        <v>710</v>
      </c>
      <c r="Z24" s="7" t="s">
        <v>711</v>
      </c>
      <c r="AA24" s="7" t="s">
        <v>712</v>
      </c>
      <c r="AB24" s="7" t="s">
        <v>694</v>
      </c>
      <c r="AC24" s="7" t="s">
        <v>713</v>
      </c>
      <c r="AD24" s="7" t="s">
        <v>714</v>
      </c>
      <c r="AE24" s="7" t="s">
        <v>715</v>
      </c>
      <c r="AF24" s="7" t="s">
        <v>716</v>
      </c>
    </row>
    <row r="25" spans="1:39" ht="78" customHeight="1" x14ac:dyDescent="0.4">
      <c r="A25" s="67" t="s">
        <v>488</v>
      </c>
      <c r="B25" t="e">
        <f>_xlfn.XLOOKUP(A25,'Product info'!A:A,'Product info'!C:C,,2)</f>
        <v>#N/A</v>
      </c>
    </row>
    <row r="26" spans="1:39" ht="78" customHeight="1" x14ac:dyDescent="0.4">
      <c r="A26" s="67" t="s">
        <v>489</v>
      </c>
      <c r="B26" t="e">
        <f>_xlfn.XLOOKUP(A26,'Product info'!A:A,'Product info'!C:C,,2)</f>
        <v>#N/A</v>
      </c>
    </row>
    <row r="27" spans="1:39" ht="78" customHeight="1" x14ac:dyDescent="0.4">
      <c r="A27" s="67" t="s">
        <v>341</v>
      </c>
      <c r="B27" t="e">
        <f>_xlfn.XLOOKUP(A27,'Product info'!A:A,'Product info'!C:C,,2)</f>
        <v>#N/A</v>
      </c>
    </row>
    <row r="28" spans="1:39" ht="78" customHeight="1" x14ac:dyDescent="0.4">
      <c r="A28" s="67" t="s">
        <v>339</v>
      </c>
      <c r="B28" t="e">
        <f>_xlfn.XLOOKUP(A28,'Product info'!A:A,'Product info'!C:C,,2)</f>
        <v>#N/A</v>
      </c>
    </row>
    <row r="29" spans="1:39" ht="78" customHeight="1" x14ac:dyDescent="0.4">
      <c r="A29" s="67" t="s">
        <v>340</v>
      </c>
      <c r="B29" t="e">
        <f>_xlfn.XLOOKUP(A29,'Product info'!A:A,'Product info'!C:C,,2)</f>
        <v>#N/A</v>
      </c>
      <c r="C29" s="69" t="s">
        <v>688</v>
      </c>
      <c r="D29" s="7" t="s">
        <v>689</v>
      </c>
      <c r="E29" s="7" t="s">
        <v>690</v>
      </c>
      <c r="F29" s="7" t="s">
        <v>691</v>
      </c>
      <c r="G29" s="7" t="s">
        <v>692</v>
      </c>
      <c r="H29" s="7" t="s">
        <v>693</v>
      </c>
      <c r="I29" s="7" t="s">
        <v>694</v>
      </c>
      <c r="J29" s="7" t="s">
        <v>695</v>
      </c>
      <c r="K29" s="7" t="s">
        <v>696</v>
      </c>
      <c r="L29" s="7" t="s">
        <v>697</v>
      </c>
      <c r="M29" s="7" t="s">
        <v>698</v>
      </c>
      <c r="N29" s="7" t="s">
        <v>699</v>
      </c>
      <c r="O29" s="7" t="s">
        <v>700</v>
      </c>
      <c r="P29" s="7" t="s">
        <v>701</v>
      </c>
      <c r="Q29" s="7" t="s">
        <v>702</v>
      </c>
      <c r="R29" s="7" t="s">
        <v>703</v>
      </c>
      <c r="S29" s="7" t="s">
        <v>704</v>
      </c>
      <c r="T29" s="7" t="s">
        <v>705</v>
      </c>
      <c r="U29" s="7" t="s">
        <v>706</v>
      </c>
      <c r="V29" s="7" t="s">
        <v>707</v>
      </c>
      <c r="W29" s="7" t="s">
        <v>708</v>
      </c>
      <c r="X29" s="7" t="s">
        <v>709</v>
      </c>
      <c r="Y29" s="7" t="s">
        <v>710</v>
      </c>
      <c r="Z29" s="7" t="s">
        <v>711</v>
      </c>
      <c r="AA29" s="7" t="s">
        <v>712</v>
      </c>
      <c r="AB29" s="7" t="s">
        <v>694</v>
      </c>
      <c r="AC29" s="7" t="s">
        <v>713</v>
      </c>
      <c r="AD29" s="7" t="s">
        <v>714</v>
      </c>
      <c r="AE29" s="7" t="s">
        <v>715</v>
      </c>
      <c r="AF29" s="7" t="s">
        <v>716</v>
      </c>
    </row>
    <row r="30" spans="1:39" ht="78" customHeight="1" x14ac:dyDescent="0.4">
      <c r="A30" s="67" t="s">
        <v>357</v>
      </c>
      <c r="B30" t="str">
        <f>_xlfn.XLOOKUP(A30,'Product info'!A:A,'Product info'!C:C,,2)</f>
        <v>Propagator big 2pk</v>
      </c>
    </row>
    <row r="31" spans="1:39" ht="78" customHeight="1" x14ac:dyDescent="0.4">
      <c r="A31" s="67" t="s">
        <v>345</v>
      </c>
      <c r="B31" t="str">
        <f>_xlfn.XLOOKUP(A31,'Product info'!A:A,'Product info'!C:C,,2)</f>
        <v>Propagator big 1pk</v>
      </c>
    </row>
    <row r="32" spans="1:39" ht="78" customHeight="1" x14ac:dyDescent="0.4">
      <c r="A32" s="67" t="s">
        <v>326</v>
      </c>
      <c r="B32" t="e">
        <f>_xlfn.XLOOKUP(A32,'Product info'!A:A,'Product info'!C:C,,2)</f>
        <v>#N/A</v>
      </c>
      <c r="C32" s="69" t="s">
        <v>688</v>
      </c>
      <c r="D32" s="7" t="s">
        <v>689</v>
      </c>
      <c r="E32" s="7" t="s">
        <v>690</v>
      </c>
      <c r="F32" s="7" t="s">
        <v>691</v>
      </c>
      <c r="G32" s="7" t="s">
        <v>692</v>
      </c>
      <c r="H32" s="7" t="s">
        <v>693</v>
      </c>
      <c r="I32" s="7" t="s">
        <v>694</v>
      </c>
      <c r="J32" s="7" t="s">
        <v>695</v>
      </c>
      <c r="K32" s="7" t="s">
        <v>696</v>
      </c>
      <c r="L32" s="7" t="s">
        <v>697</v>
      </c>
      <c r="M32" s="7" t="s">
        <v>698</v>
      </c>
      <c r="N32" s="7" t="s">
        <v>699</v>
      </c>
      <c r="O32" s="7" t="s">
        <v>700</v>
      </c>
      <c r="P32" s="7" t="s">
        <v>701</v>
      </c>
      <c r="Q32" s="7" t="s">
        <v>702</v>
      </c>
      <c r="R32" s="7" t="s">
        <v>703</v>
      </c>
      <c r="S32" s="7" t="s">
        <v>704</v>
      </c>
      <c r="T32" s="7" t="s">
        <v>705</v>
      </c>
      <c r="U32" s="7" t="s">
        <v>706</v>
      </c>
      <c r="V32" s="7" t="s">
        <v>707</v>
      </c>
      <c r="W32" s="7" t="s">
        <v>708</v>
      </c>
      <c r="X32" s="7" t="s">
        <v>709</v>
      </c>
      <c r="Y32" s="7" t="s">
        <v>710</v>
      </c>
      <c r="Z32" s="7" t="s">
        <v>711</v>
      </c>
      <c r="AA32" s="7" t="s">
        <v>712</v>
      </c>
      <c r="AB32" s="7" t="s">
        <v>694</v>
      </c>
      <c r="AC32" s="7" t="s">
        <v>713</v>
      </c>
      <c r="AD32" s="7" t="s">
        <v>714</v>
      </c>
      <c r="AE32" s="7" t="s">
        <v>715</v>
      </c>
      <c r="AF32" s="7" t="s">
        <v>716</v>
      </c>
    </row>
    <row r="33" spans="1:40" ht="78" customHeight="1" x14ac:dyDescent="0.4">
      <c r="A33" s="67" t="s">
        <v>327</v>
      </c>
      <c r="B33" t="e">
        <f>_xlfn.XLOOKUP(A33,'Product info'!A:A,'Product info'!C:C,,2)</f>
        <v>#N/A</v>
      </c>
      <c r="C33" s="69" t="s">
        <v>688</v>
      </c>
      <c r="D33" s="7" t="s">
        <v>689</v>
      </c>
      <c r="E33" s="7" t="s">
        <v>690</v>
      </c>
      <c r="F33" s="7" t="s">
        <v>691</v>
      </c>
      <c r="G33" s="7" t="s">
        <v>692</v>
      </c>
      <c r="H33" s="7" t="s">
        <v>693</v>
      </c>
      <c r="I33" s="7" t="s">
        <v>694</v>
      </c>
      <c r="J33" s="7" t="s">
        <v>695</v>
      </c>
      <c r="K33" s="7" t="s">
        <v>696</v>
      </c>
      <c r="L33" s="7" t="s">
        <v>697</v>
      </c>
      <c r="M33" s="7" t="s">
        <v>698</v>
      </c>
      <c r="N33" s="7" t="s">
        <v>699</v>
      </c>
      <c r="O33" s="7" t="s">
        <v>700</v>
      </c>
      <c r="P33" s="7" t="s">
        <v>701</v>
      </c>
      <c r="Q33" s="7" t="s">
        <v>702</v>
      </c>
      <c r="R33" s="7" t="s">
        <v>703</v>
      </c>
      <c r="S33" s="7" t="s">
        <v>704</v>
      </c>
      <c r="T33" s="7" t="s">
        <v>705</v>
      </c>
      <c r="U33" s="7" t="s">
        <v>706</v>
      </c>
      <c r="V33" s="7" t="s">
        <v>707</v>
      </c>
      <c r="W33" s="7" t="s">
        <v>708</v>
      </c>
      <c r="X33" s="7" t="s">
        <v>709</v>
      </c>
      <c r="Y33" s="7" t="s">
        <v>710</v>
      </c>
      <c r="Z33" s="7" t="s">
        <v>711</v>
      </c>
      <c r="AA33" s="7" t="s">
        <v>712</v>
      </c>
      <c r="AB33" s="7" t="s">
        <v>694</v>
      </c>
      <c r="AC33" s="7" t="s">
        <v>713</v>
      </c>
      <c r="AD33" s="7" t="s">
        <v>714</v>
      </c>
      <c r="AE33" s="7" t="s">
        <v>715</v>
      </c>
      <c r="AF33" s="7" t="s">
        <v>716</v>
      </c>
    </row>
    <row r="34" spans="1:40" ht="78" customHeight="1" x14ac:dyDescent="0.4">
      <c r="A34" s="67" t="s">
        <v>323</v>
      </c>
      <c r="B34" t="e">
        <f>_xlfn.XLOOKUP(A34,'Product info'!A:A,'Product info'!C:C,,2)</f>
        <v>#N/A</v>
      </c>
      <c r="C34" s="69" t="s">
        <v>688</v>
      </c>
      <c r="D34" s="7" t="s">
        <v>689</v>
      </c>
      <c r="E34" s="7" t="s">
        <v>690</v>
      </c>
      <c r="F34" s="7" t="s">
        <v>691</v>
      </c>
      <c r="G34" s="7" t="s">
        <v>692</v>
      </c>
      <c r="H34" s="7" t="s">
        <v>693</v>
      </c>
      <c r="I34" s="7" t="s">
        <v>694</v>
      </c>
      <c r="J34" s="7" t="s">
        <v>695</v>
      </c>
      <c r="K34" s="7" t="s">
        <v>696</v>
      </c>
      <c r="L34" s="7" t="s">
        <v>697</v>
      </c>
      <c r="M34" s="7" t="s">
        <v>698</v>
      </c>
      <c r="N34" s="7" t="s">
        <v>699</v>
      </c>
      <c r="O34" s="7" t="s">
        <v>700</v>
      </c>
      <c r="P34" s="7" t="s">
        <v>701</v>
      </c>
      <c r="Q34" s="7" t="s">
        <v>702</v>
      </c>
      <c r="R34" s="7" t="s">
        <v>703</v>
      </c>
      <c r="S34" s="7" t="s">
        <v>704</v>
      </c>
      <c r="T34" s="7" t="s">
        <v>705</v>
      </c>
      <c r="U34" s="7" t="s">
        <v>706</v>
      </c>
      <c r="V34" s="7" t="s">
        <v>707</v>
      </c>
      <c r="W34" s="7" t="s">
        <v>708</v>
      </c>
      <c r="X34" s="7" t="s">
        <v>709</v>
      </c>
      <c r="Y34" s="7" t="s">
        <v>710</v>
      </c>
      <c r="Z34" s="7" t="s">
        <v>711</v>
      </c>
      <c r="AA34" s="7" t="s">
        <v>712</v>
      </c>
      <c r="AB34" s="7" t="s">
        <v>694</v>
      </c>
      <c r="AC34" s="7" t="s">
        <v>713</v>
      </c>
      <c r="AD34" s="7" t="s">
        <v>714</v>
      </c>
      <c r="AE34" s="7" t="s">
        <v>715</v>
      </c>
      <c r="AF34" s="7" t="s">
        <v>716</v>
      </c>
    </row>
    <row r="35" spans="1:40" ht="78" customHeight="1" x14ac:dyDescent="0.4">
      <c r="A35" s="67" t="s">
        <v>321</v>
      </c>
      <c r="B35" t="e">
        <f>_xlfn.XLOOKUP(A35,'Product info'!A:A,'Product info'!C:C,,2)</f>
        <v>#N/A</v>
      </c>
      <c r="C35" s="69" t="s">
        <v>688</v>
      </c>
      <c r="D35" s="7" t="s">
        <v>689</v>
      </c>
      <c r="E35" s="7" t="s">
        <v>690</v>
      </c>
      <c r="F35" s="7" t="s">
        <v>691</v>
      </c>
      <c r="G35" s="7" t="s">
        <v>692</v>
      </c>
      <c r="H35" s="7" t="s">
        <v>693</v>
      </c>
      <c r="I35" s="7" t="s">
        <v>694</v>
      </c>
      <c r="J35" s="7" t="s">
        <v>695</v>
      </c>
      <c r="K35" s="7" t="s">
        <v>696</v>
      </c>
      <c r="L35" s="7" t="s">
        <v>697</v>
      </c>
      <c r="M35" s="7" t="s">
        <v>698</v>
      </c>
      <c r="N35" s="7" t="s">
        <v>699</v>
      </c>
      <c r="O35" s="7" t="s">
        <v>700</v>
      </c>
      <c r="P35" s="7" t="s">
        <v>701</v>
      </c>
      <c r="Q35" s="7" t="s">
        <v>702</v>
      </c>
      <c r="R35" s="7" t="s">
        <v>703</v>
      </c>
      <c r="S35" s="7" t="s">
        <v>704</v>
      </c>
      <c r="T35" s="7" t="s">
        <v>705</v>
      </c>
      <c r="U35" s="7" t="s">
        <v>706</v>
      </c>
      <c r="V35" s="7" t="s">
        <v>707</v>
      </c>
      <c r="W35" s="7" t="s">
        <v>708</v>
      </c>
      <c r="X35" s="7" t="s">
        <v>709</v>
      </c>
      <c r="Y35" s="7" t="s">
        <v>710</v>
      </c>
      <c r="Z35" s="7" t="s">
        <v>711</v>
      </c>
      <c r="AA35" s="7" t="s">
        <v>712</v>
      </c>
      <c r="AB35" s="7" t="s">
        <v>694</v>
      </c>
      <c r="AC35" s="7" t="s">
        <v>713</v>
      </c>
      <c r="AD35" s="7" t="s">
        <v>714</v>
      </c>
      <c r="AE35" s="7" t="s">
        <v>715</v>
      </c>
      <c r="AF35" s="7" t="s">
        <v>716</v>
      </c>
    </row>
    <row r="36" spans="1:40" ht="78" customHeight="1" x14ac:dyDescent="0.4">
      <c r="A36" s="67" t="s">
        <v>152</v>
      </c>
      <c r="B36" t="e">
        <f>_xlfn.XLOOKUP(A36,'Product info'!A:A,'Product info'!C:C,,2)</f>
        <v>#N/A</v>
      </c>
      <c r="C36" s="69" t="s">
        <v>688</v>
      </c>
      <c r="D36" s="7" t="s">
        <v>689</v>
      </c>
      <c r="E36" s="7" t="s">
        <v>690</v>
      </c>
      <c r="F36" s="7" t="s">
        <v>691</v>
      </c>
      <c r="G36" s="7" t="s">
        <v>692</v>
      </c>
      <c r="H36" s="7" t="s">
        <v>693</v>
      </c>
      <c r="I36" s="7" t="s">
        <v>694</v>
      </c>
      <c r="J36" s="7" t="s">
        <v>695</v>
      </c>
      <c r="K36" s="7" t="s">
        <v>696</v>
      </c>
      <c r="L36" s="7" t="s">
        <v>697</v>
      </c>
      <c r="M36" s="7" t="s">
        <v>698</v>
      </c>
      <c r="N36" s="7" t="s">
        <v>699</v>
      </c>
      <c r="O36" s="7" t="s">
        <v>700</v>
      </c>
      <c r="P36" s="7" t="s">
        <v>701</v>
      </c>
      <c r="Q36" s="7" t="s">
        <v>702</v>
      </c>
      <c r="R36" s="7" t="s">
        <v>703</v>
      </c>
      <c r="S36" s="7" t="s">
        <v>704</v>
      </c>
      <c r="T36" s="7" t="s">
        <v>705</v>
      </c>
      <c r="U36" s="7" t="s">
        <v>706</v>
      </c>
      <c r="V36" s="7" t="s">
        <v>707</v>
      </c>
      <c r="W36" s="7" t="s">
        <v>708</v>
      </c>
      <c r="X36" s="7" t="s">
        <v>709</v>
      </c>
      <c r="Y36" s="7" t="s">
        <v>710</v>
      </c>
      <c r="Z36" s="7" t="s">
        <v>711</v>
      </c>
      <c r="AA36" s="7" t="s">
        <v>712</v>
      </c>
      <c r="AB36" s="7" t="s">
        <v>694</v>
      </c>
      <c r="AC36" s="7" t="s">
        <v>713</v>
      </c>
      <c r="AD36" s="7" t="s">
        <v>714</v>
      </c>
      <c r="AE36" s="7" t="s">
        <v>715</v>
      </c>
      <c r="AF36" s="7" t="s">
        <v>716</v>
      </c>
      <c r="AG36" s="7" t="s">
        <v>717</v>
      </c>
      <c r="AH36" s="7" t="s">
        <v>718</v>
      </c>
      <c r="AI36" s="7" t="s">
        <v>719</v>
      </c>
      <c r="AJ36" s="7" t="s">
        <v>720</v>
      </c>
      <c r="AK36" s="7" t="s">
        <v>721</v>
      </c>
      <c r="AL36" s="7" t="s">
        <v>722</v>
      </c>
    </row>
    <row r="37" spans="1:40" ht="78" customHeight="1" x14ac:dyDescent="0.4">
      <c r="A37" s="67" t="s">
        <v>148</v>
      </c>
      <c r="B37" t="e">
        <f>_xlfn.XLOOKUP(A37,'Product info'!A:A,'Product info'!C:C,,2)</f>
        <v>#N/A</v>
      </c>
      <c r="C37" s="69" t="s">
        <v>688</v>
      </c>
      <c r="D37" s="7" t="s">
        <v>689</v>
      </c>
      <c r="E37" s="7" t="s">
        <v>690</v>
      </c>
      <c r="F37" s="7" t="s">
        <v>691</v>
      </c>
      <c r="G37" s="7" t="s">
        <v>692</v>
      </c>
      <c r="H37" s="7" t="s">
        <v>693</v>
      </c>
      <c r="I37" s="7" t="s">
        <v>694</v>
      </c>
      <c r="J37" s="7" t="s">
        <v>695</v>
      </c>
      <c r="K37" s="7" t="s">
        <v>696</v>
      </c>
      <c r="L37" s="7" t="s">
        <v>697</v>
      </c>
      <c r="M37" s="7" t="s">
        <v>698</v>
      </c>
      <c r="N37" s="7" t="s">
        <v>699</v>
      </c>
      <c r="O37" s="7" t="s">
        <v>700</v>
      </c>
      <c r="P37" s="7" t="s">
        <v>701</v>
      </c>
      <c r="Q37" s="7" t="s">
        <v>702</v>
      </c>
      <c r="R37" s="7" t="s">
        <v>703</v>
      </c>
      <c r="S37" s="7" t="s">
        <v>704</v>
      </c>
      <c r="T37" s="7" t="s">
        <v>705</v>
      </c>
      <c r="U37" s="7" t="s">
        <v>706</v>
      </c>
      <c r="V37" s="7" t="s">
        <v>707</v>
      </c>
      <c r="W37" s="7" t="s">
        <v>708</v>
      </c>
      <c r="X37" s="7" t="s">
        <v>709</v>
      </c>
      <c r="Y37" s="7" t="s">
        <v>710</v>
      </c>
      <c r="Z37" s="7" t="s">
        <v>711</v>
      </c>
      <c r="AA37" s="7" t="s">
        <v>712</v>
      </c>
      <c r="AB37" s="7" t="s">
        <v>694</v>
      </c>
      <c r="AC37" s="7" t="s">
        <v>713</v>
      </c>
      <c r="AD37" s="7" t="s">
        <v>714</v>
      </c>
      <c r="AE37" s="7" t="s">
        <v>715</v>
      </c>
      <c r="AF37" s="7" t="s">
        <v>716</v>
      </c>
      <c r="AG37" s="7" t="s">
        <v>717</v>
      </c>
      <c r="AH37" s="7" t="s">
        <v>718</v>
      </c>
      <c r="AI37" s="7" t="s">
        <v>719</v>
      </c>
      <c r="AJ37" s="7" t="s">
        <v>720</v>
      </c>
      <c r="AK37" s="7" t="s">
        <v>721</v>
      </c>
      <c r="AL37" s="7" t="s">
        <v>722</v>
      </c>
    </row>
    <row r="38" spans="1:40" ht="78" customHeight="1" x14ac:dyDescent="0.4">
      <c r="A38" s="67" t="s">
        <v>150</v>
      </c>
      <c r="B38" t="e">
        <f>_xlfn.XLOOKUP(A38,'Product info'!A:A,'Product info'!C:C,,2)</f>
        <v>#N/A</v>
      </c>
      <c r="C38" s="69" t="s">
        <v>688</v>
      </c>
      <c r="D38" s="7" t="s">
        <v>689</v>
      </c>
      <c r="E38" s="7" t="s">
        <v>690</v>
      </c>
      <c r="F38" s="7" t="s">
        <v>691</v>
      </c>
      <c r="G38" s="7" t="s">
        <v>692</v>
      </c>
      <c r="H38" s="7" t="s">
        <v>693</v>
      </c>
      <c r="I38" s="7" t="s">
        <v>694</v>
      </c>
      <c r="J38" s="7" t="s">
        <v>695</v>
      </c>
      <c r="K38" s="7" t="s">
        <v>696</v>
      </c>
      <c r="L38" s="7" t="s">
        <v>697</v>
      </c>
      <c r="M38" s="7" t="s">
        <v>698</v>
      </c>
      <c r="N38" s="7" t="s">
        <v>699</v>
      </c>
      <c r="O38" s="7" t="s">
        <v>700</v>
      </c>
      <c r="P38" s="7" t="s">
        <v>701</v>
      </c>
      <c r="Q38" s="7" t="s">
        <v>702</v>
      </c>
      <c r="R38" s="7" t="s">
        <v>703</v>
      </c>
      <c r="S38" s="7" t="s">
        <v>704</v>
      </c>
      <c r="T38" s="7" t="s">
        <v>705</v>
      </c>
      <c r="U38" s="7" t="s">
        <v>706</v>
      </c>
      <c r="V38" s="7" t="s">
        <v>707</v>
      </c>
      <c r="W38" s="7" t="s">
        <v>708</v>
      </c>
      <c r="X38" s="7" t="s">
        <v>709</v>
      </c>
      <c r="Y38" s="7" t="s">
        <v>710</v>
      </c>
      <c r="Z38" s="7" t="s">
        <v>711</v>
      </c>
      <c r="AA38" s="7" t="s">
        <v>712</v>
      </c>
      <c r="AB38" s="7" t="s">
        <v>694</v>
      </c>
      <c r="AC38" s="7" t="s">
        <v>713</v>
      </c>
      <c r="AD38" s="7" t="s">
        <v>714</v>
      </c>
      <c r="AE38" s="7" t="s">
        <v>715</v>
      </c>
      <c r="AF38" s="7" t="s">
        <v>716</v>
      </c>
      <c r="AG38" s="7" t="s">
        <v>717</v>
      </c>
      <c r="AH38" s="7" t="s">
        <v>718</v>
      </c>
      <c r="AI38" s="7" t="s">
        <v>719</v>
      </c>
      <c r="AJ38" s="7" t="s">
        <v>720</v>
      </c>
      <c r="AK38" s="7" t="s">
        <v>721</v>
      </c>
      <c r="AL38" s="7" t="s">
        <v>722</v>
      </c>
    </row>
    <row r="39" spans="1:40" ht="78" customHeight="1" x14ac:dyDescent="0.4">
      <c r="A39" s="67" t="s">
        <v>151</v>
      </c>
      <c r="B39" t="e">
        <f>_xlfn.XLOOKUP(A39,'Product info'!A:A,'Product info'!C:C,,2)</f>
        <v>#N/A</v>
      </c>
      <c r="C39" s="69" t="s">
        <v>688</v>
      </c>
      <c r="D39" s="7" t="s">
        <v>689</v>
      </c>
      <c r="E39" s="7" t="s">
        <v>690</v>
      </c>
      <c r="F39" s="7" t="s">
        <v>691</v>
      </c>
      <c r="G39" s="7" t="s">
        <v>692</v>
      </c>
      <c r="H39" s="7" t="s">
        <v>693</v>
      </c>
      <c r="I39" s="7" t="s">
        <v>694</v>
      </c>
      <c r="J39" s="7" t="s">
        <v>695</v>
      </c>
      <c r="K39" s="7" t="s">
        <v>696</v>
      </c>
      <c r="L39" s="7" t="s">
        <v>697</v>
      </c>
      <c r="M39" s="7" t="s">
        <v>698</v>
      </c>
      <c r="N39" s="7" t="s">
        <v>699</v>
      </c>
      <c r="O39" s="7" t="s">
        <v>700</v>
      </c>
      <c r="P39" s="7" t="s">
        <v>701</v>
      </c>
      <c r="Q39" s="7" t="s">
        <v>702</v>
      </c>
      <c r="R39" s="7" t="s">
        <v>703</v>
      </c>
      <c r="S39" s="7" t="s">
        <v>704</v>
      </c>
      <c r="T39" s="7" t="s">
        <v>705</v>
      </c>
      <c r="U39" s="7" t="s">
        <v>706</v>
      </c>
      <c r="V39" s="7" t="s">
        <v>707</v>
      </c>
      <c r="W39" s="7" t="s">
        <v>708</v>
      </c>
      <c r="X39" s="7" t="s">
        <v>709</v>
      </c>
      <c r="Y39" s="7" t="s">
        <v>710</v>
      </c>
      <c r="Z39" s="7" t="s">
        <v>711</v>
      </c>
      <c r="AA39" s="7" t="s">
        <v>712</v>
      </c>
      <c r="AB39" s="7" t="s">
        <v>694</v>
      </c>
      <c r="AC39" s="7" t="s">
        <v>713</v>
      </c>
      <c r="AD39" s="7" t="s">
        <v>714</v>
      </c>
      <c r="AE39" s="7" t="s">
        <v>715</v>
      </c>
      <c r="AF39" s="7" t="s">
        <v>716</v>
      </c>
      <c r="AG39" s="7" t="s">
        <v>717</v>
      </c>
      <c r="AH39" s="7" t="s">
        <v>718</v>
      </c>
      <c r="AI39" s="7" t="s">
        <v>719</v>
      </c>
      <c r="AJ39" s="7" t="s">
        <v>720</v>
      </c>
      <c r="AK39" s="7" t="s">
        <v>721</v>
      </c>
      <c r="AL39" s="7" t="s">
        <v>722</v>
      </c>
    </row>
    <row r="40" spans="1:40" ht="78" customHeight="1" x14ac:dyDescent="0.4">
      <c r="A40" s="67" t="s">
        <v>149</v>
      </c>
      <c r="B40" t="e">
        <f>_xlfn.XLOOKUP(A40,'Product info'!A:A,'Product info'!C:C,,2)</f>
        <v>#N/A</v>
      </c>
      <c r="C40" s="69" t="s">
        <v>688</v>
      </c>
      <c r="D40" s="7" t="s">
        <v>689</v>
      </c>
      <c r="E40" s="7" t="s">
        <v>690</v>
      </c>
      <c r="F40" s="7" t="s">
        <v>691</v>
      </c>
      <c r="G40" s="7" t="s">
        <v>692</v>
      </c>
      <c r="H40" s="7" t="s">
        <v>693</v>
      </c>
      <c r="I40" s="7" t="s">
        <v>694</v>
      </c>
      <c r="J40" s="7" t="s">
        <v>695</v>
      </c>
      <c r="K40" s="7" t="s">
        <v>696</v>
      </c>
      <c r="L40" s="7" t="s">
        <v>697</v>
      </c>
      <c r="M40" s="7" t="s">
        <v>698</v>
      </c>
      <c r="N40" s="7" t="s">
        <v>699</v>
      </c>
      <c r="O40" s="7" t="s">
        <v>700</v>
      </c>
      <c r="P40" s="7" t="s">
        <v>701</v>
      </c>
      <c r="Q40" s="7" t="s">
        <v>702</v>
      </c>
      <c r="R40" s="7" t="s">
        <v>703</v>
      </c>
      <c r="S40" s="7" t="s">
        <v>704</v>
      </c>
      <c r="T40" s="7" t="s">
        <v>705</v>
      </c>
      <c r="U40" s="7" t="s">
        <v>706</v>
      </c>
      <c r="V40" s="7" t="s">
        <v>707</v>
      </c>
      <c r="W40" s="7" t="s">
        <v>708</v>
      </c>
      <c r="X40" s="7" t="s">
        <v>709</v>
      </c>
      <c r="Y40" s="7" t="s">
        <v>710</v>
      </c>
      <c r="Z40" s="7" t="s">
        <v>711</v>
      </c>
      <c r="AA40" s="7" t="s">
        <v>712</v>
      </c>
      <c r="AB40" s="7" t="s">
        <v>694</v>
      </c>
      <c r="AC40" s="7" t="s">
        <v>713</v>
      </c>
      <c r="AD40" s="7" t="s">
        <v>714</v>
      </c>
      <c r="AE40" s="7" t="s">
        <v>715</v>
      </c>
      <c r="AF40" s="7" t="s">
        <v>716</v>
      </c>
      <c r="AG40" s="7" t="s">
        <v>717</v>
      </c>
      <c r="AH40" s="7" t="s">
        <v>718</v>
      </c>
      <c r="AI40" s="7" t="s">
        <v>719</v>
      </c>
      <c r="AJ40" s="7" t="s">
        <v>720</v>
      </c>
      <c r="AK40" s="7" t="s">
        <v>721</v>
      </c>
      <c r="AL40" s="7" t="s">
        <v>722</v>
      </c>
    </row>
    <row r="41" spans="1:40" ht="78" customHeight="1" x14ac:dyDescent="0.4">
      <c r="A41" s="67" t="s">
        <v>281</v>
      </c>
      <c r="B41" t="e">
        <f>_xlfn.XLOOKUP(A41,'Product info'!A:A,'Product info'!C:C,,2)</f>
        <v>#N/A</v>
      </c>
    </row>
    <row r="42" spans="1:40" ht="78" customHeight="1" x14ac:dyDescent="0.4">
      <c r="A42" s="67" t="s">
        <v>282</v>
      </c>
      <c r="B42" t="e">
        <f>_xlfn.XLOOKUP(A42,'Product info'!A:A,'Product info'!C:C,,2)</f>
        <v>#N/A</v>
      </c>
    </row>
    <row r="43" spans="1:40" ht="78" customHeight="1" x14ac:dyDescent="0.4">
      <c r="A43" s="67" t="s">
        <v>280</v>
      </c>
      <c r="B43" t="e">
        <f>_xlfn.XLOOKUP(A43,'Product info'!A:A,'Product info'!C:C,,2)</f>
        <v>#N/A</v>
      </c>
    </row>
    <row r="44" spans="1:40" ht="78" customHeight="1" x14ac:dyDescent="0.4">
      <c r="A44" s="67" t="s">
        <v>170</v>
      </c>
      <c r="B44" t="e">
        <f>_xlfn.XLOOKUP(A44,'Product info'!A:A,'Product info'!C:C,,2)</f>
        <v>#N/A</v>
      </c>
      <c r="C44" s="69" t="s">
        <v>717</v>
      </c>
      <c r="D44" s="7" t="s">
        <v>718</v>
      </c>
      <c r="E44" s="7" t="s">
        <v>719</v>
      </c>
      <c r="F44" s="7" t="s">
        <v>720</v>
      </c>
      <c r="G44" s="7" t="s">
        <v>721</v>
      </c>
      <c r="H44" s="7" t="s">
        <v>722</v>
      </c>
      <c r="I44" s="7" t="s">
        <v>725</v>
      </c>
      <c r="J44" s="7" t="s">
        <v>726</v>
      </c>
    </row>
    <row r="45" spans="1:40" ht="78" customHeight="1" x14ac:dyDescent="0.4">
      <c r="A45" s="67" t="s">
        <v>171</v>
      </c>
      <c r="B45" t="e">
        <f>_xlfn.XLOOKUP(A45,'Product info'!A:A,'Product info'!C:C,,2)</f>
        <v>#N/A</v>
      </c>
      <c r="C45" s="69" t="s">
        <v>717</v>
      </c>
      <c r="D45" s="7" t="s">
        <v>718</v>
      </c>
      <c r="E45" s="7" t="s">
        <v>719</v>
      </c>
      <c r="F45" s="7" t="s">
        <v>720</v>
      </c>
      <c r="G45" s="7" t="s">
        <v>721</v>
      </c>
      <c r="H45" s="7" t="s">
        <v>722</v>
      </c>
      <c r="I45" s="7" t="s">
        <v>725</v>
      </c>
      <c r="J45" s="7" t="s">
        <v>726</v>
      </c>
    </row>
    <row r="46" spans="1:40" ht="78" customHeight="1" x14ac:dyDescent="0.4">
      <c r="A46" s="67" t="s">
        <v>172</v>
      </c>
      <c r="B46" t="e">
        <f>_xlfn.XLOOKUP(A46,'Product info'!A:A,'Product info'!C:C,,2)</f>
        <v>#N/A</v>
      </c>
      <c r="C46" s="69" t="s">
        <v>717</v>
      </c>
      <c r="D46" s="7" t="s">
        <v>718</v>
      </c>
      <c r="E46" s="7" t="s">
        <v>719</v>
      </c>
      <c r="F46" s="7" t="s">
        <v>720</v>
      </c>
      <c r="G46" s="7" t="s">
        <v>721</v>
      </c>
      <c r="H46" s="7" t="s">
        <v>722</v>
      </c>
      <c r="I46" s="7" t="s">
        <v>725</v>
      </c>
      <c r="J46" s="7" t="s">
        <v>726</v>
      </c>
    </row>
    <row r="47" spans="1:40" ht="78" customHeight="1" x14ac:dyDescent="0.4">
      <c r="A47" s="67" t="s">
        <v>173</v>
      </c>
      <c r="B47" t="e">
        <f>_xlfn.XLOOKUP(A47,'Product info'!A:A,'Product info'!C:C,,2)</f>
        <v>#N/A</v>
      </c>
      <c r="C47" s="69" t="s">
        <v>688</v>
      </c>
      <c r="D47" s="7" t="s">
        <v>689</v>
      </c>
      <c r="E47" s="7" t="s">
        <v>690</v>
      </c>
      <c r="F47" s="7" t="s">
        <v>691</v>
      </c>
      <c r="G47" s="7" t="s">
        <v>692</v>
      </c>
      <c r="H47" s="7" t="s">
        <v>693</v>
      </c>
      <c r="I47" s="7" t="s">
        <v>694</v>
      </c>
      <c r="J47" s="7" t="s">
        <v>695</v>
      </c>
      <c r="K47" s="7" t="s">
        <v>696</v>
      </c>
      <c r="L47" s="7" t="s">
        <v>697</v>
      </c>
      <c r="M47" s="7" t="s">
        <v>698</v>
      </c>
      <c r="N47" s="7" t="s">
        <v>699</v>
      </c>
      <c r="O47" s="7" t="s">
        <v>700</v>
      </c>
      <c r="P47" s="7" t="s">
        <v>701</v>
      </c>
      <c r="Q47" s="7" t="s">
        <v>702</v>
      </c>
      <c r="R47" s="7" t="s">
        <v>703</v>
      </c>
      <c r="S47" s="7" t="s">
        <v>704</v>
      </c>
      <c r="T47" s="7" t="s">
        <v>705</v>
      </c>
      <c r="U47" s="7" t="s">
        <v>706</v>
      </c>
      <c r="V47" s="7" t="s">
        <v>707</v>
      </c>
      <c r="W47" s="7" t="s">
        <v>708</v>
      </c>
      <c r="X47" s="7" t="s">
        <v>709</v>
      </c>
      <c r="Y47" s="7" t="s">
        <v>710</v>
      </c>
      <c r="Z47" s="7" t="s">
        <v>711</v>
      </c>
      <c r="AA47" s="7" t="s">
        <v>712</v>
      </c>
      <c r="AB47" s="7" t="s">
        <v>694</v>
      </c>
      <c r="AC47" s="7" t="s">
        <v>713</v>
      </c>
      <c r="AD47" s="7" t="s">
        <v>714</v>
      </c>
      <c r="AE47" s="7" t="s">
        <v>715</v>
      </c>
      <c r="AF47" s="7" t="s">
        <v>716</v>
      </c>
      <c r="AG47" s="7" t="s">
        <v>717</v>
      </c>
      <c r="AH47" s="7" t="s">
        <v>718</v>
      </c>
      <c r="AI47" s="7" t="s">
        <v>719</v>
      </c>
      <c r="AJ47" s="7" t="s">
        <v>720</v>
      </c>
      <c r="AK47" s="7" t="s">
        <v>721</v>
      </c>
      <c r="AL47" s="7" t="s">
        <v>722</v>
      </c>
      <c r="AM47" s="7" t="s">
        <v>725</v>
      </c>
      <c r="AN47" s="7" t="s">
        <v>726</v>
      </c>
    </row>
    <row r="48" spans="1:40" ht="78" customHeight="1" x14ac:dyDescent="0.4">
      <c r="A48" s="67" t="s">
        <v>174</v>
      </c>
      <c r="B48" t="e">
        <f>_xlfn.XLOOKUP(A48,'Product info'!A:A,'Product info'!C:C,,2)</f>
        <v>#N/A</v>
      </c>
      <c r="C48" s="69" t="s">
        <v>688</v>
      </c>
      <c r="D48" s="7" t="s">
        <v>689</v>
      </c>
      <c r="E48" s="7" t="s">
        <v>690</v>
      </c>
      <c r="F48" s="7" t="s">
        <v>691</v>
      </c>
      <c r="G48" s="7" t="s">
        <v>692</v>
      </c>
      <c r="H48" s="7" t="s">
        <v>693</v>
      </c>
      <c r="I48" s="7" t="s">
        <v>694</v>
      </c>
      <c r="J48" s="7" t="s">
        <v>695</v>
      </c>
      <c r="K48" s="7" t="s">
        <v>696</v>
      </c>
      <c r="L48" s="7" t="s">
        <v>697</v>
      </c>
      <c r="M48" s="7" t="s">
        <v>698</v>
      </c>
      <c r="N48" s="7" t="s">
        <v>699</v>
      </c>
      <c r="O48" s="7" t="s">
        <v>700</v>
      </c>
      <c r="P48" s="7" t="s">
        <v>701</v>
      </c>
      <c r="Q48" s="7" t="s">
        <v>702</v>
      </c>
      <c r="R48" s="7" t="s">
        <v>703</v>
      </c>
      <c r="S48" s="7" t="s">
        <v>704</v>
      </c>
      <c r="T48" s="7" t="s">
        <v>705</v>
      </c>
      <c r="U48" s="7" t="s">
        <v>706</v>
      </c>
      <c r="V48" s="7" t="s">
        <v>707</v>
      </c>
      <c r="W48" s="7" t="s">
        <v>708</v>
      </c>
      <c r="X48" s="7" t="s">
        <v>709</v>
      </c>
      <c r="Y48" s="7" t="s">
        <v>710</v>
      </c>
      <c r="Z48" s="7" t="s">
        <v>711</v>
      </c>
      <c r="AA48" s="7" t="s">
        <v>712</v>
      </c>
      <c r="AB48" s="7" t="s">
        <v>694</v>
      </c>
      <c r="AC48" s="7" t="s">
        <v>713</v>
      </c>
      <c r="AD48" s="7" t="s">
        <v>714</v>
      </c>
      <c r="AE48" s="7" t="s">
        <v>715</v>
      </c>
      <c r="AF48" s="7" t="s">
        <v>716</v>
      </c>
      <c r="AG48" s="7" t="s">
        <v>717</v>
      </c>
      <c r="AH48" s="7" t="s">
        <v>718</v>
      </c>
      <c r="AI48" s="7" t="s">
        <v>719</v>
      </c>
      <c r="AJ48" s="7" t="s">
        <v>720</v>
      </c>
      <c r="AK48" s="7" t="s">
        <v>721</v>
      </c>
      <c r="AL48" s="7" t="s">
        <v>722</v>
      </c>
      <c r="AM48" s="7" t="s">
        <v>725</v>
      </c>
      <c r="AN48" s="7" t="s">
        <v>726</v>
      </c>
    </row>
    <row r="49" spans="1:48" ht="78" customHeight="1" x14ac:dyDescent="0.4">
      <c r="A49" s="67" t="s">
        <v>510</v>
      </c>
      <c r="B49" t="e">
        <f>_xlfn.XLOOKUP(A49,'Product info'!A:A,'Product info'!C:C,,2)</f>
        <v>#N/A</v>
      </c>
      <c r="C49" s="69" t="s">
        <v>688</v>
      </c>
      <c r="D49" s="7" t="s">
        <v>689</v>
      </c>
      <c r="E49" s="7" t="s">
        <v>690</v>
      </c>
      <c r="F49" s="7" t="s">
        <v>691</v>
      </c>
      <c r="G49" s="7" t="s">
        <v>692</v>
      </c>
      <c r="H49" s="7" t="s">
        <v>693</v>
      </c>
      <c r="I49" s="7" t="s">
        <v>694</v>
      </c>
      <c r="J49" s="7" t="s">
        <v>695</v>
      </c>
      <c r="K49" s="7" t="s">
        <v>696</v>
      </c>
      <c r="L49" s="7" t="s">
        <v>697</v>
      </c>
      <c r="M49" s="7" t="s">
        <v>698</v>
      </c>
      <c r="N49" s="7" t="s">
        <v>699</v>
      </c>
      <c r="O49" s="7" t="s">
        <v>700</v>
      </c>
      <c r="P49" s="7" t="s">
        <v>701</v>
      </c>
      <c r="Q49" s="7" t="s">
        <v>702</v>
      </c>
      <c r="R49" s="7" t="s">
        <v>703</v>
      </c>
      <c r="S49" s="7" t="s">
        <v>704</v>
      </c>
      <c r="T49" s="7" t="s">
        <v>705</v>
      </c>
      <c r="U49" s="7" t="s">
        <v>706</v>
      </c>
      <c r="V49" s="7" t="s">
        <v>707</v>
      </c>
      <c r="W49" s="7" t="s">
        <v>708</v>
      </c>
      <c r="X49" s="7" t="s">
        <v>709</v>
      </c>
      <c r="Y49" s="7" t="s">
        <v>710</v>
      </c>
      <c r="Z49" s="7" t="s">
        <v>711</v>
      </c>
      <c r="AA49" s="7" t="s">
        <v>712</v>
      </c>
      <c r="AB49" s="7" t="s">
        <v>694</v>
      </c>
      <c r="AC49" s="7" t="s">
        <v>713</v>
      </c>
      <c r="AD49" s="7" t="s">
        <v>714</v>
      </c>
      <c r="AE49" s="7" t="s">
        <v>715</v>
      </c>
      <c r="AF49" s="7" t="s">
        <v>716</v>
      </c>
    </row>
    <row r="50" spans="1:48" ht="78" customHeight="1" x14ac:dyDescent="0.4">
      <c r="A50" s="67" t="s">
        <v>511</v>
      </c>
      <c r="B50" t="e">
        <f>_xlfn.XLOOKUP(A50,'Product info'!A:A,'Product info'!C:C,,2)</f>
        <v>#N/A</v>
      </c>
      <c r="C50" s="69" t="s">
        <v>688</v>
      </c>
      <c r="D50" s="7" t="s">
        <v>689</v>
      </c>
      <c r="E50" s="7" t="s">
        <v>690</v>
      </c>
      <c r="F50" s="7" t="s">
        <v>691</v>
      </c>
      <c r="G50" s="7" t="s">
        <v>692</v>
      </c>
      <c r="H50" s="7" t="s">
        <v>693</v>
      </c>
      <c r="I50" s="7" t="s">
        <v>694</v>
      </c>
      <c r="J50" s="7" t="s">
        <v>695</v>
      </c>
      <c r="K50" s="7" t="s">
        <v>696</v>
      </c>
      <c r="L50" s="7" t="s">
        <v>697</v>
      </c>
      <c r="M50" s="7" t="s">
        <v>698</v>
      </c>
      <c r="N50" s="7" t="s">
        <v>699</v>
      </c>
      <c r="O50" s="7" t="s">
        <v>700</v>
      </c>
      <c r="P50" s="7" t="s">
        <v>701</v>
      </c>
      <c r="Q50" s="7" t="s">
        <v>702</v>
      </c>
      <c r="R50" s="7" t="s">
        <v>703</v>
      </c>
      <c r="S50" s="7" t="s">
        <v>704</v>
      </c>
      <c r="T50" s="7" t="s">
        <v>705</v>
      </c>
      <c r="U50" s="7" t="s">
        <v>706</v>
      </c>
      <c r="V50" s="7" t="s">
        <v>707</v>
      </c>
      <c r="W50" s="7" t="s">
        <v>708</v>
      </c>
      <c r="X50" s="7" t="s">
        <v>709</v>
      </c>
      <c r="Y50" s="7" t="s">
        <v>710</v>
      </c>
      <c r="Z50" s="7" t="s">
        <v>711</v>
      </c>
      <c r="AA50" s="7" t="s">
        <v>712</v>
      </c>
      <c r="AB50" s="7" t="s">
        <v>694</v>
      </c>
      <c r="AC50" s="7" t="s">
        <v>713</v>
      </c>
      <c r="AD50" s="7" t="s">
        <v>714</v>
      </c>
      <c r="AE50" s="7" t="s">
        <v>715</v>
      </c>
      <c r="AF50" s="7" t="s">
        <v>716</v>
      </c>
      <c r="AG50" s="7" t="s">
        <v>727</v>
      </c>
      <c r="AH50" s="7" t="s">
        <v>728</v>
      </c>
      <c r="AI50" s="7" t="s">
        <v>729</v>
      </c>
      <c r="AJ50" s="7" t="s">
        <v>730</v>
      </c>
      <c r="AK50" s="7" t="s">
        <v>731</v>
      </c>
      <c r="AL50" s="7" t="s">
        <v>732</v>
      </c>
    </row>
    <row r="51" spans="1:48" ht="78" customHeight="1" x14ac:dyDescent="0.4">
      <c r="A51" s="67" t="s">
        <v>512</v>
      </c>
      <c r="B51" t="e">
        <f>_xlfn.XLOOKUP(A51,'Product info'!A:A,'Product info'!C:C,,2)</f>
        <v>#N/A</v>
      </c>
      <c r="C51" s="69" t="s">
        <v>688</v>
      </c>
      <c r="D51" s="7" t="s">
        <v>689</v>
      </c>
      <c r="E51" s="7" t="s">
        <v>690</v>
      </c>
      <c r="F51" s="7" t="s">
        <v>691</v>
      </c>
      <c r="G51" s="7" t="s">
        <v>692</v>
      </c>
      <c r="H51" s="7" t="s">
        <v>693</v>
      </c>
      <c r="I51" s="7" t="s">
        <v>694</v>
      </c>
      <c r="J51" s="7" t="s">
        <v>695</v>
      </c>
      <c r="K51" s="7" t="s">
        <v>696</v>
      </c>
      <c r="L51" s="7" t="s">
        <v>697</v>
      </c>
      <c r="M51" s="7" t="s">
        <v>698</v>
      </c>
      <c r="N51" s="7" t="s">
        <v>699</v>
      </c>
      <c r="O51" s="7" t="s">
        <v>700</v>
      </c>
      <c r="P51" s="7" t="s">
        <v>701</v>
      </c>
      <c r="Q51" s="7" t="s">
        <v>702</v>
      </c>
      <c r="R51" s="7" t="s">
        <v>703</v>
      </c>
      <c r="S51" s="7" t="s">
        <v>704</v>
      </c>
      <c r="T51" s="7" t="s">
        <v>705</v>
      </c>
      <c r="U51" s="7" t="s">
        <v>706</v>
      </c>
      <c r="V51" s="7" t="s">
        <v>707</v>
      </c>
      <c r="W51" s="7" t="s">
        <v>708</v>
      </c>
      <c r="X51" s="7" t="s">
        <v>709</v>
      </c>
      <c r="Y51" s="7" t="s">
        <v>710</v>
      </c>
      <c r="Z51" s="7" t="s">
        <v>711</v>
      </c>
      <c r="AA51" s="7" t="s">
        <v>712</v>
      </c>
      <c r="AB51" s="7" t="s">
        <v>694</v>
      </c>
      <c r="AC51" s="7" t="s">
        <v>713</v>
      </c>
      <c r="AD51" s="7" t="s">
        <v>714</v>
      </c>
      <c r="AE51" s="7" t="s">
        <v>715</v>
      </c>
      <c r="AF51" s="7" t="s">
        <v>716</v>
      </c>
      <c r="AG51" s="7" t="s">
        <v>727</v>
      </c>
      <c r="AH51" s="7" t="s">
        <v>728</v>
      </c>
      <c r="AI51" s="7" t="s">
        <v>729</v>
      </c>
      <c r="AJ51" s="7" t="s">
        <v>730</v>
      </c>
      <c r="AK51" s="7" t="s">
        <v>731</v>
      </c>
      <c r="AL51" s="7" t="s">
        <v>732</v>
      </c>
    </row>
    <row r="52" spans="1:48" ht="78" customHeight="1" x14ac:dyDescent="0.4">
      <c r="A52" s="67" t="s">
        <v>100</v>
      </c>
      <c r="B52" t="e">
        <f>_xlfn.XLOOKUP(A52,'Product info'!A:A,'Product info'!C:C,,2)</f>
        <v>#N/A</v>
      </c>
      <c r="C52" s="69" t="s">
        <v>688</v>
      </c>
      <c r="D52" s="7" t="s">
        <v>689</v>
      </c>
      <c r="E52" s="7" t="s">
        <v>690</v>
      </c>
      <c r="F52" s="7" t="s">
        <v>691</v>
      </c>
      <c r="G52" s="7" t="s">
        <v>692</v>
      </c>
      <c r="H52" s="7" t="s">
        <v>693</v>
      </c>
      <c r="I52" s="7" t="s">
        <v>694</v>
      </c>
      <c r="J52" s="7" t="s">
        <v>695</v>
      </c>
      <c r="K52" s="7" t="s">
        <v>696</v>
      </c>
      <c r="L52" s="7" t="s">
        <v>697</v>
      </c>
      <c r="M52" s="7" t="s">
        <v>698</v>
      </c>
      <c r="N52" s="7" t="s">
        <v>699</v>
      </c>
      <c r="O52" s="7" t="s">
        <v>700</v>
      </c>
      <c r="P52" s="7" t="s">
        <v>701</v>
      </c>
      <c r="Q52" s="7" t="s">
        <v>702</v>
      </c>
      <c r="R52" s="7" t="s">
        <v>703</v>
      </c>
      <c r="S52" s="7" t="s">
        <v>704</v>
      </c>
      <c r="T52" s="7" t="s">
        <v>705</v>
      </c>
      <c r="U52" s="7" t="s">
        <v>706</v>
      </c>
      <c r="V52" s="7" t="s">
        <v>707</v>
      </c>
      <c r="W52" s="7" t="s">
        <v>708</v>
      </c>
      <c r="X52" s="7" t="s">
        <v>709</v>
      </c>
      <c r="Y52" s="7" t="s">
        <v>710</v>
      </c>
      <c r="Z52" s="7" t="s">
        <v>711</v>
      </c>
      <c r="AA52" s="7" t="s">
        <v>712</v>
      </c>
      <c r="AB52" s="7" t="s">
        <v>694</v>
      </c>
      <c r="AC52" s="7" t="s">
        <v>713</v>
      </c>
      <c r="AD52" s="7" t="s">
        <v>714</v>
      </c>
      <c r="AE52" s="7" t="s">
        <v>715</v>
      </c>
      <c r="AF52" s="7" t="s">
        <v>716</v>
      </c>
    </row>
    <row r="53" spans="1:48" ht="78" customHeight="1" x14ac:dyDescent="0.4">
      <c r="A53" s="67" t="s">
        <v>105</v>
      </c>
      <c r="B53" t="e">
        <f>_xlfn.XLOOKUP(A53,'Product info'!A:A,'Product info'!C:C,,2)</f>
        <v>#N/A</v>
      </c>
    </row>
    <row r="54" spans="1:48" ht="78" customHeight="1" x14ac:dyDescent="0.4">
      <c r="A54" s="67" t="s">
        <v>106</v>
      </c>
      <c r="B54" t="e">
        <f>_xlfn.XLOOKUP(A54,'Product info'!A:A,'Product info'!C:C,,2)</f>
        <v>#N/A</v>
      </c>
      <c r="C54" s="69" t="s">
        <v>688</v>
      </c>
      <c r="D54" s="7" t="s">
        <v>689</v>
      </c>
      <c r="E54" s="7" t="s">
        <v>690</v>
      </c>
      <c r="F54" s="7" t="s">
        <v>691</v>
      </c>
      <c r="G54" s="7" t="s">
        <v>692</v>
      </c>
      <c r="H54" s="7" t="s">
        <v>693</v>
      </c>
      <c r="I54" s="7" t="s">
        <v>694</v>
      </c>
      <c r="J54" s="7" t="s">
        <v>695</v>
      </c>
      <c r="K54" s="7" t="s">
        <v>696</v>
      </c>
      <c r="L54" s="7" t="s">
        <v>697</v>
      </c>
      <c r="M54" s="7" t="s">
        <v>698</v>
      </c>
      <c r="N54" s="7" t="s">
        <v>699</v>
      </c>
      <c r="O54" s="7" t="s">
        <v>700</v>
      </c>
      <c r="P54" s="7" t="s">
        <v>701</v>
      </c>
      <c r="Q54" s="7" t="s">
        <v>702</v>
      </c>
      <c r="R54" s="7" t="s">
        <v>703</v>
      </c>
      <c r="S54" s="7" t="s">
        <v>704</v>
      </c>
      <c r="T54" s="7" t="s">
        <v>705</v>
      </c>
      <c r="U54" s="7" t="s">
        <v>706</v>
      </c>
      <c r="V54" s="7" t="s">
        <v>707</v>
      </c>
      <c r="W54" s="7" t="s">
        <v>708</v>
      </c>
      <c r="X54" s="7" t="s">
        <v>709</v>
      </c>
      <c r="Y54" s="7" t="s">
        <v>710</v>
      </c>
      <c r="Z54" s="7" t="s">
        <v>711</v>
      </c>
      <c r="AA54" s="7" t="s">
        <v>712</v>
      </c>
      <c r="AB54" s="7" t="s">
        <v>694</v>
      </c>
      <c r="AC54" s="7" t="s">
        <v>713</v>
      </c>
      <c r="AD54" s="7" t="s">
        <v>714</v>
      </c>
      <c r="AE54" s="7" t="s">
        <v>715</v>
      </c>
      <c r="AF54" s="7" t="s">
        <v>716</v>
      </c>
    </row>
    <row r="55" spans="1:48" ht="78" customHeight="1" x14ac:dyDescent="0.4">
      <c r="A55" s="67" t="s">
        <v>107</v>
      </c>
      <c r="B55" t="e">
        <f>_xlfn.XLOOKUP(A55,'Product info'!A:A,'Product info'!C:C,,2)</f>
        <v>#N/A</v>
      </c>
      <c r="C55" s="69" t="s">
        <v>688</v>
      </c>
      <c r="D55" s="7" t="s">
        <v>689</v>
      </c>
      <c r="E55" s="7" t="s">
        <v>690</v>
      </c>
      <c r="F55" s="7" t="s">
        <v>691</v>
      </c>
      <c r="G55" s="7" t="s">
        <v>692</v>
      </c>
      <c r="H55" s="7" t="s">
        <v>693</v>
      </c>
      <c r="I55" s="7" t="s">
        <v>694</v>
      </c>
      <c r="J55" s="7" t="s">
        <v>695</v>
      </c>
      <c r="K55" s="7" t="s">
        <v>696</v>
      </c>
      <c r="L55" s="7" t="s">
        <v>697</v>
      </c>
      <c r="M55" s="7" t="s">
        <v>698</v>
      </c>
      <c r="N55" s="7" t="s">
        <v>699</v>
      </c>
      <c r="O55" s="7" t="s">
        <v>700</v>
      </c>
      <c r="P55" s="7" t="s">
        <v>701</v>
      </c>
      <c r="Q55" s="7" t="s">
        <v>702</v>
      </c>
      <c r="R55" s="7" t="s">
        <v>703</v>
      </c>
      <c r="S55" s="7" t="s">
        <v>704</v>
      </c>
      <c r="T55" s="7" t="s">
        <v>705</v>
      </c>
      <c r="U55" s="7" t="s">
        <v>706</v>
      </c>
      <c r="V55" s="7" t="s">
        <v>707</v>
      </c>
      <c r="W55" s="7" t="s">
        <v>708</v>
      </c>
      <c r="X55" s="7" t="s">
        <v>709</v>
      </c>
      <c r="Y55" s="7" t="s">
        <v>710</v>
      </c>
      <c r="Z55" s="7" t="s">
        <v>711</v>
      </c>
      <c r="AA55" s="7" t="s">
        <v>712</v>
      </c>
      <c r="AB55" s="7" t="s">
        <v>694</v>
      </c>
      <c r="AC55" s="7" t="s">
        <v>713</v>
      </c>
      <c r="AD55" s="7" t="s">
        <v>714</v>
      </c>
      <c r="AE55" s="7" t="s">
        <v>715</v>
      </c>
      <c r="AF55" s="7" t="s">
        <v>716</v>
      </c>
    </row>
    <row r="56" spans="1:48" ht="78" customHeight="1" x14ac:dyDescent="0.4">
      <c r="A56" s="67" t="s">
        <v>325</v>
      </c>
      <c r="B56" t="e">
        <f>_xlfn.XLOOKUP(A56,'Product info'!A:A,'Product info'!C:C,,2)</f>
        <v>#N/A</v>
      </c>
      <c r="C56" s="69" t="s">
        <v>688</v>
      </c>
      <c r="D56" s="7" t="s">
        <v>689</v>
      </c>
      <c r="E56" s="7" t="s">
        <v>690</v>
      </c>
      <c r="F56" s="7" t="s">
        <v>691</v>
      </c>
      <c r="G56" s="7" t="s">
        <v>692</v>
      </c>
      <c r="H56" s="7" t="s">
        <v>693</v>
      </c>
      <c r="I56" s="7" t="s">
        <v>694</v>
      </c>
      <c r="J56" s="7" t="s">
        <v>695</v>
      </c>
      <c r="K56" s="7" t="s">
        <v>696</v>
      </c>
      <c r="L56" s="7" t="s">
        <v>697</v>
      </c>
      <c r="M56" s="7" t="s">
        <v>698</v>
      </c>
      <c r="N56" s="7" t="s">
        <v>699</v>
      </c>
      <c r="O56" s="7" t="s">
        <v>700</v>
      </c>
      <c r="P56" s="7" t="s">
        <v>701</v>
      </c>
      <c r="Q56" s="7" t="s">
        <v>702</v>
      </c>
      <c r="R56" s="7" t="s">
        <v>703</v>
      </c>
      <c r="S56" s="7" t="s">
        <v>704</v>
      </c>
      <c r="T56" s="7" t="s">
        <v>705</v>
      </c>
      <c r="U56" s="7" t="s">
        <v>706</v>
      </c>
      <c r="V56" s="7" t="s">
        <v>707</v>
      </c>
      <c r="W56" s="7" t="s">
        <v>708</v>
      </c>
      <c r="X56" s="7" t="s">
        <v>709</v>
      </c>
      <c r="Y56" s="7" t="s">
        <v>710</v>
      </c>
      <c r="Z56" s="7" t="s">
        <v>711</v>
      </c>
      <c r="AA56" s="7" t="s">
        <v>712</v>
      </c>
      <c r="AB56" s="7" t="s">
        <v>694</v>
      </c>
      <c r="AC56" s="7" t="s">
        <v>713</v>
      </c>
      <c r="AD56" s="7" t="s">
        <v>714</v>
      </c>
      <c r="AE56" s="7" t="s">
        <v>715</v>
      </c>
      <c r="AF56" s="7" t="s">
        <v>716</v>
      </c>
    </row>
    <row r="57" spans="1:48" ht="78" customHeight="1" x14ac:dyDescent="0.4">
      <c r="A57" s="67" t="s">
        <v>322</v>
      </c>
      <c r="B57" t="e">
        <f>_xlfn.XLOOKUP(A57,'Product info'!A:A,'Product info'!C:C,,2)</f>
        <v>#N/A</v>
      </c>
    </row>
    <row r="58" spans="1:48" ht="78" customHeight="1" x14ac:dyDescent="0.4">
      <c r="A58" s="67" t="s">
        <v>140</v>
      </c>
      <c r="B58" t="e">
        <f>_xlfn.XLOOKUP(A58,'Product info'!A:A,'Product info'!C:C,,2)</f>
        <v>#N/A</v>
      </c>
      <c r="C58" s="69" t="s">
        <v>688</v>
      </c>
      <c r="D58" s="7" t="s">
        <v>689</v>
      </c>
      <c r="E58" s="7" t="s">
        <v>690</v>
      </c>
      <c r="F58" s="7" t="s">
        <v>691</v>
      </c>
      <c r="G58" s="7" t="s">
        <v>692</v>
      </c>
      <c r="H58" s="7" t="s">
        <v>693</v>
      </c>
      <c r="I58" s="7" t="s">
        <v>694</v>
      </c>
      <c r="J58" s="7" t="s">
        <v>695</v>
      </c>
      <c r="K58" s="7" t="s">
        <v>696</v>
      </c>
      <c r="L58" s="7" t="s">
        <v>697</v>
      </c>
      <c r="M58" s="7" t="s">
        <v>698</v>
      </c>
      <c r="N58" s="7" t="s">
        <v>699</v>
      </c>
      <c r="O58" s="7" t="s">
        <v>700</v>
      </c>
      <c r="P58" s="7" t="s">
        <v>701</v>
      </c>
      <c r="Q58" s="7" t="s">
        <v>702</v>
      </c>
      <c r="R58" s="7" t="s">
        <v>703</v>
      </c>
      <c r="S58" s="7" t="s">
        <v>704</v>
      </c>
      <c r="T58" s="7" t="s">
        <v>705</v>
      </c>
      <c r="U58" s="7" t="s">
        <v>706</v>
      </c>
      <c r="V58" s="7" t="s">
        <v>707</v>
      </c>
      <c r="W58" s="7" t="s">
        <v>708</v>
      </c>
      <c r="X58" s="7" t="s">
        <v>709</v>
      </c>
      <c r="Y58" s="7" t="s">
        <v>710</v>
      </c>
      <c r="Z58" s="7" t="s">
        <v>711</v>
      </c>
      <c r="AA58" s="7" t="s">
        <v>712</v>
      </c>
      <c r="AB58" s="7" t="s">
        <v>694</v>
      </c>
      <c r="AC58" s="7" t="s">
        <v>713</v>
      </c>
      <c r="AD58" s="7" t="s">
        <v>714</v>
      </c>
      <c r="AE58" s="7" t="s">
        <v>715</v>
      </c>
      <c r="AF58" s="7" t="s">
        <v>716</v>
      </c>
    </row>
    <row r="59" spans="1:48" ht="78" customHeight="1" x14ac:dyDescent="0.4">
      <c r="A59" s="67" t="s">
        <v>228</v>
      </c>
      <c r="B59" t="e">
        <f>_xlfn.XLOOKUP(A59,'Product info'!A:A,'Product info'!C:C,,2)</f>
        <v>#N/A</v>
      </c>
      <c r="C59" s="69" t="s">
        <v>688</v>
      </c>
      <c r="D59" s="7" t="s">
        <v>689</v>
      </c>
      <c r="E59" s="7" t="s">
        <v>690</v>
      </c>
      <c r="F59" s="7" t="s">
        <v>691</v>
      </c>
      <c r="G59" s="7" t="s">
        <v>692</v>
      </c>
      <c r="H59" s="7" t="s">
        <v>693</v>
      </c>
      <c r="I59" s="7" t="s">
        <v>694</v>
      </c>
      <c r="J59" s="7" t="s">
        <v>695</v>
      </c>
      <c r="K59" s="7" t="s">
        <v>696</v>
      </c>
      <c r="L59" s="7" t="s">
        <v>697</v>
      </c>
      <c r="M59" s="7" t="s">
        <v>698</v>
      </c>
      <c r="N59" s="7" t="s">
        <v>699</v>
      </c>
      <c r="O59" s="7" t="s">
        <v>700</v>
      </c>
      <c r="P59" s="7" t="s">
        <v>701</v>
      </c>
      <c r="Q59" s="7" t="s">
        <v>702</v>
      </c>
      <c r="R59" s="7" t="s">
        <v>703</v>
      </c>
      <c r="S59" s="7" t="s">
        <v>704</v>
      </c>
      <c r="T59" s="7" t="s">
        <v>705</v>
      </c>
      <c r="U59" s="7" t="s">
        <v>706</v>
      </c>
      <c r="V59" s="7" t="s">
        <v>707</v>
      </c>
      <c r="W59" s="7" t="s">
        <v>708</v>
      </c>
      <c r="X59" s="7" t="s">
        <v>709</v>
      </c>
      <c r="Y59" s="7" t="s">
        <v>710</v>
      </c>
      <c r="Z59" s="7" t="s">
        <v>711</v>
      </c>
      <c r="AA59" s="7" t="s">
        <v>712</v>
      </c>
      <c r="AB59" s="7" t="s">
        <v>694</v>
      </c>
      <c r="AC59" s="7" t="s">
        <v>713</v>
      </c>
      <c r="AD59" s="7" t="s">
        <v>714</v>
      </c>
      <c r="AE59" s="7" t="s">
        <v>715</v>
      </c>
      <c r="AF59" s="7" t="s">
        <v>716</v>
      </c>
      <c r="AG59" s="7" t="s">
        <v>688</v>
      </c>
      <c r="AH59" s="7" t="s">
        <v>689</v>
      </c>
      <c r="AI59" s="7" t="s">
        <v>733</v>
      </c>
      <c r="AJ59" s="7" t="s">
        <v>734</v>
      </c>
      <c r="AK59" s="7" t="s">
        <v>735</v>
      </c>
      <c r="AL59" s="7" t="s">
        <v>736</v>
      </c>
      <c r="AM59" s="7" t="s">
        <v>737</v>
      </c>
      <c r="AN59" s="7" t="s">
        <v>738</v>
      </c>
      <c r="AO59" s="7" t="s">
        <v>739</v>
      </c>
      <c r="AP59" s="7" t="s">
        <v>740</v>
      </c>
      <c r="AQ59" s="7" t="s">
        <v>741</v>
      </c>
      <c r="AR59" s="7" t="s">
        <v>742</v>
      </c>
      <c r="AS59" s="7" t="s">
        <v>743</v>
      </c>
      <c r="AT59" s="7" t="s">
        <v>744</v>
      </c>
      <c r="AU59" s="7" t="s">
        <v>745</v>
      </c>
      <c r="AV59" s="7" t="s">
        <v>746</v>
      </c>
    </row>
    <row r="60" spans="1:48" ht="78" customHeight="1" x14ac:dyDescent="0.4">
      <c r="A60" s="67" t="s">
        <v>372</v>
      </c>
      <c r="B60" t="e">
        <f>_xlfn.XLOOKUP(A60,'Product info'!A:A,'Product info'!C:C,,2)</f>
        <v>#N/A</v>
      </c>
      <c r="C60" s="69" t="s">
        <v>747</v>
      </c>
      <c r="D60" s="7" t="s">
        <v>748</v>
      </c>
      <c r="E60" s="7" t="s">
        <v>749</v>
      </c>
      <c r="F60" s="7" t="s">
        <v>750</v>
      </c>
      <c r="G60" s="7" t="s">
        <v>751</v>
      </c>
      <c r="H60" s="7" t="s">
        <v>752</v>
      </c>
      <c r="I60" s="7" t="s">
        <v>753</v>
      </c>
      <c r="J60" s="7" t="s">
        <v>754</v>
      </c>
      <c r="K60" s="7" t="s">
        <v>755</v>
      </c>
      <c r="L60" s="7" t="s">
        <v>756</v>
      </c>
      <c r="M60" s="7" t="s">
        <v>757</v>
      </c>
      <c r="N60" s="7" t="s">
        <v>758</v>
      </c>
      <c r="O60" s="7" t="s">
        <v>759</v>
      </c>
      <c r="P60" s="7" t="s">
        <v>760</v>
      </c>
      <c r="Q60" s="7" t="s">
        <v>761</v>
      </c>
      <c r="R60" s="7" t="s">
        <v>762</v>
      </c>
      <c r="S60" s="7" t="s">
        <v>763</v>
      </c>
      <c r="T60" s="7" t="s">
        <v>764</v>
      </c>
      <c r="U60" s="7" t="s">
        <v>765</v>
      </c>
      <c r="V60" s="7" t="s">
        <v>766</v>
      </c>
      <c r="W60" s="7" t="s">
        <v>767</v>
      </c>
      <c r="X60" s="7" t="s">
        <v>768</v>
      </c>
      <c r="Y60" s="7" t="s">
        <v>769</v>
      </c>
      <c r="Z60" s="7" t="s">
        <v>770</v>
      </c>
      <c r="AA60" s="7" t="s">
        <v>771</v>
      </c>
      <c r="AB60" s="7" t="s">
        <v>772</v>
      </c>
    </row>
    <row r="61" spans="1:48" ht="78" customHeight="1" x14ac:dyDescent="0.4">
      <c r="A61" s="67" t="s">
        <v>71</v>
      </c>
      <c r="B61" t="e">
        <f>_xlfn.XLOOKUP(A61,'Product info'!A:A,'Product info'!C:C,,2)</f>
        <v>#N/A</v>
      </c>
      <c r="C61" s="69" t="s">
        <v>688</v>
      </c>
      <c r="D61" s="7" t="s">
        <v>689</v>
      </c>
      <c r="E61" s="7" t="s">
        <v>747</v>
      </c>
      <c r="F61" s="7" t="s">
        <v>696</v>
      </c>
      <c r="G61" s="7" t="s">
        <v>773</v>
      </c>
      <c r="H61" s="7" t="s">
        <v>774</v>
      </c>
      <c r="I61" s="7" t="s">
        <v>775</v>
      </c>
      <c r="J61" s="7" t="s">
        <v>776</v>
      </c>
      <c r="K61" s="7" t="s">
        <v>777</v>
      </c>
      <c r="L61" s="7" t="s">
        <v>778</v>
      </c>
      <c r="M61" s="7" t="s">
        <v>779</v>
      </c>
      <c r="N61" s="7" t="s">
        <v>780</v>
      </c>
      <c r="O61" s="7" t="s">
        <v>781</v>
      </c>
      <c r="P61" s="7" t="s">
        <v>782</v>
      </c>
      <c r="Q61" s="7" t="s">
        <v>783</v>
      </c>
      <c r="R61" s="7" t="s">
        <v>784</v>
      </c>
      <c r="S61" s="7" t="s">
        <v>785</v>
      </c>
      <c r="T61" s="7" t="s">
        <v>786</v>
      </c>
      <c r="U61" s="7" t="s">
        <v>787</v>
      </c>
    </row>
    <row r="62" spans="1:48" ht="78" customHeight="1" x14ac:dyDescent="0.4">
      <c r="A62" s="67" t="s">
        <v>309</v>
      </c>
      <c r="B62" t="e">
        <f>_xlfn.XLOOKUP(A62,'Product info'!A:A,'Product info'!C:C,,2)</f>
        <v>#N/A</v>
      </c>
      <c r="C62" s="69" t="s">
        <v>688</v>
      </c>
      <c r="D62" s="7" t="s">
        <v>689</v>
      </c>
      <c r="E62" s="7" t="s">
        <v>690</v>
      </c>
      <c r="F62" s="7" t="s">
        <v>691</v>
      </c>
      <c r="G62" s="7" t="s">
        <v>692</v>
      </c>
      <c r="H62" s="7" t="s">
        <v>693</v>
      </c>
      <c r="I62" s="7" t="s">
        <v>694</v>
      </c>
      <c r="J62" s="7" t="s">
        <v>695</v>
      </c>
      <c r="K62" s="7" t="s">
        <v>696</v>
      </c>
      <c r="L62" s="7" t="s">
        <v>697</v>
      </c>
      <c r="M62" s="7" t="s">
        <v>698</v>
      </c>
      <c r="N62" s="7" t="s">
        <v>699</v>
      </c>
      <c r="O62" s="7" t="s">
        <v>700</v>
      </c>
      <c r="P62" s="7" t="s">
        <v>701</v>
      </c>
      <c r="Q62" s="7" t="s">
        <v>702</v>
      </c>
      <c r="R62" s="7" t="s">
        <v>703</v>
      </c>
      <c r="S62" s="7" t="s">
        <v>704</v>
      </c>
      <c r="T62" s="7" t="s">
        <v>705</v>
      </c>
      <c r="U62" s="7" t="s">
        <v>706</v>
      </c>
      <c r="V62" s="7" t="s">
        <v>707</v>
      </c>
      <c r="W62" s="7" t="s">
        <v>708</v>
      </c>
      <c r="X62" s="7" t="s">
        <v>709</v>
      </c>
      <c r="Y62" s="7" t="s">
        <v>710</v>
      </c>
      <c r="Z62" s="7" t="s">
        <v>711</v>
      </c>
      <c r="AA62" s="7" t="s">
        <v>712</v>
      </c>
      <c r="AB62" s="7" t="s">
        <v>694</v>
      </c>
      <c r="AC62" s="7" t="s">
        <v>713</v>
      </c>
      <c r="AD62" s="7" t="s">
        <v>714</v>
      </c>
      <c r="AE62" s="7" t="s">
        <v>715</v>
      </c>
      <c r="AF62" s="7" t="s">
        <v>716</v>
      </c>
      <c r="AG62" s="7" t="s">
        <v>688</v>
      </c>
      <c r="AH62" s="7" t="s">
        <v>689</v>
      </c>
      <c r="AI62" s="7" t="s">
        <v>747</v>
      </c>
      <c r="AJ62" s="7" t="s">
        <v>696</v>
      </c>
      <c r="AK62" s="7" t="s">
        <v>773</v>
      </c>
      <c r="AL62" s="7" t="s">
        <v>774</v>
      </c>
      <c r="AM62" s="7" t="s">
        <v>788</v>
      </c>
      <c r="AN62" s="7" t="s">
        <v>789</v>
      </c>
      <c r="AO62" s="7" t="s">
        <v>790</v>
      </c>
      <c r="AP62" s="7" t="s">
        <v>791</v>
      </c>
      <c r="AQ62" s="7" t="s">
        <v>792</v>
      </c>
      <c r="AR62" s="7" t="s">
        <v>793</v>
      </c>
    </row>
    <row r="63" spans="1:48" ht="78" customHeight="1" x14ac:dyDescent="0.4">
      <c r="A63" s="67" t="s">
        <v>136</v>
      </c>
      <c r="B63" t="e">
        <f>_xlfn.XLOOKUP(A63,'Product info'!A:A,'Product info'!C:C,,2)</f>
        <v>#N/A</v>
      </c>
      <c r="C63" s="69" t="s">
        <v>688</v>
      </c>
      <c r="D63" s="7" t="s">
        <v>689</v>
      </c>
      <c r="E63" s="7" t="s">
        <v>690</v>
      </c>
      <c r="F63" s="7" t="s">
        <v>691</v>
      </c>
      <c r="G63" s="7" t="s">
        <v>692</v>
      </c>
      <c r="H63" s="7" t="s">
        <v>693</v>
      </c>
      <c r="I63" s="7" t="s">
        <v>694</v>
      </c>
      <c r="J63" s="7" t="s">
        <v>695</v>
      </c>
      <c r="K63" s="7" t="s">
        <v>696</v>
      </c>
      <c r="L63" s="7" t="s">
        <v>697</v>
      </c>
      <c r="M63" s="7" t="s">
        <v>698</v>
      </c>
      <c r="N63" s="7" t="s">
        <v>699</v>
      </c>
      <c r="O63" s="7" t="s">
        <v>700</v>
      </c>
      <c r="P63" s="7" t="s">
        <v>701</v>
      </c>
      <c r="Q63" s="7" t="s">
        <v>702</v>
      </c>
      <c r="R63" s="7" t="s">
        <v>703</v>
      </c>
      <c r="S63" s="7" t="s">
        <v>704</v>
      </c>
      <c r="T63" s="7" t="s">
        <v>705</v>
      </c>
      <c r="U63" s="7" t="s">
        <v>706</v>
      </c>
      <c r="V63" s="7" t="s">
        <v>707</v>
      </c>
      <c r="W63" s="7" t="s">
        <v>708</v>
      </c>
      <c r="X63" s="7" t="s">
        <v>709</v>
      </c>
      <c r="Y63" s="7" t="s">
        <v>710</v>
      </c>
      <c r="Z63" s="7" t="s">
        <v>711</v>
      </c>
      <c r="AA63" s="7" t="s">
        <v>712</v>
      </c>
      <c r="AB63" s="7" t="s">
        <v>694</v>
      </c>
      <c r="AC63" s="7" t="s">
        <v>713</v>
      </c>
      <c r="AD63" s="7" t="s">
        <v>714</v>
      </c>
      <c r="AE63" s="7" t="s">
        <v>715</v>
      </c>
      <c r="AF63" s="7" t="s">
        <v>716</v>
      </c>
      <c r="AG63" s="7" t="s">
        <v>688</v>
      </c>
      <c r="AH63" s="7" t="s">
        <v>689</v>
      </c>
      <c r="AI63" s="7" t="s">
        <v>747</v>
      </c>
      <c r="AJ63" s="7" t="s">
        <v>696</v>
      </c>
      <c r="AK63" s="7" t="s">
        <v>773</v>
      </c>
      <c r="AL63" s="7" t="s">
        <v>774</v>
      </c>
      <c r="AM63" s="7" t="s">
        <v>788</v>
      </c>
      <c r="AN63" s="7" t="s">
        <v>789</v>
      </c>
      <c r="AO63" s="7" t="s">
        <v>790</v>
      </c>
      <c r="AP63" s="7" t="s">
        <v>791</v>
      </c>
      <c r="AQ63" s="7" t="s">
        <v>792</v>
      </c>
      <c r="AR63" s="7" t="s">
        <v>793</v>
      </c>
    </row>
    <row r="64" spans="1:48" ht="78" customHeight="1" x14ac:dyDescent="0.4">
      <c r="A64" s="67" t="s">
        <v>313</v>
      </c>
      <c r="B64" t="e">
        <f>_xlfn.XLOOKUP(A64,'Product info'!A:A,'Product info'!C:C,,2)</f>
        <v>#N/A</v>
      </c>
      <c r="C64" s="69" t="s">
        <v>688</v>
      </c>
      <c r="D64" s="7" t="s">
        <v>689</v>
      </c>
      <c r="E64" s="7" t="s">
        <v>747</v>
      </c>
      <c r="F64" s="7" t="s">
        <v>696</v>
      </c>
      <c r="G64" s="7" t="s">
        <v>773</v>
      </c>
      <c r="H64" s="7" t="s">
        <v>774</v>
      </c>
      <c r="I64" s="7" t="s">
        <v>788</v>
      </c>
      <c r="J64" s="7" t="s">
        <v>789</v>
      </c>
      <c r="K64" s="7" t="s">
        <v>790</v>
      </c>
      <c r="L64" s="7" t="s">
        <v>791</v>
      </c>
      <c r="M64" s="7" t="s">
        <v>792</v>
      </c>
      <c r="N64" s="7" t="s">
        <v>793</v>
      </c>
    </row>
    <row r="65" spans="1:45" ht="78" customHeight="1" x14ac:dyDescent="0.4">
      <c r="A65" s="67" t="s">
        <v>312</v>
      </c>
      <c r="B65" t="e">
        <f>_xlfn.XLOOKUP(A65,'Product info'!A:A,'Product info'!C:C,,2)</f>
        <v>#N/A</v>
      </c>
      <c r="C65" s="69" t="s">
        <v>688</v>
      </c>
      <c r="D65" s="7" t="s">
        <v>689</v>
      </c>
      <c r="E65" s="7" t="s">
        <v>690</v>
      </c>
      <c r="F65" s="7" t="s">
        <v>691</v>
      </c>
      <c r="G65" s="7" t="s">
        <v>692</v>
      </c>
      <c r="H65" s="7" t="s">
        <v>693</v>
      </c>
      <c r="I65" s="7" t="s">
        <v>694</v>
      </c>
      <c r="J65" s="7" t="s">
        <v>695</v>
      </c>
      <c r="K65" s="7" t="s">
        <v>696</v>
      </c>
      <c r="L65" s="7" t="s">
        <v>697</v>
      </c>
      <c r="M65" s="7" t="s">
        <v>698</v>
      </c>
      <c r="N65" s="7" t="s">
        <v>699</v>
      </c>
      <c r="O65" s="7" t="s">
        <v>700</v>
      </c>
      <c r="P65" s="7" t="s">
        <v>701</v>
      </c>
      <c r="Q65" s="7" t="s">
        <v>702</v>
      </c>
      <c r="R65" s="7" t="s">
        <v>703</v>
      </c>
      <c r="S65" s="7" t="s">
        <v>704</v>
      </c>
      <c r="T65" s="7" t="s">
        <v>705</v>
      </c>
      <c r="U65" s="7" t="s">
        <v>706</v>
      </c>
      <c r="V65" s="7" t="s">
        <v>707</v>
      </c>
      <c r="W65" s="7" t="s">
        <v>708</v>
      </c>
      <c r="X65" s="7" t="s">
        <v>709</v>
      </c>
      <c r="Y65" s="7" t="s">
        <v>710</v>
      </c>
      <c r="Z65" s="7" t="s">
        <v>711</v>
      </c>
      <c r="AA65" s="7" t="s">
        <v>712</v>
      </c>
      <c r="AB65" s="7" t="s">
        <v>694</v>
      </c>
      <c r="AC65" s="7" t="s">
        <v>713</v>
      </c>
      <c r="AD65" s="7" t="s">
        <v>714</v>
      </c>
      <c r="AE65" s="7" t="s">
        <v>715</v>
      </c>
      <c r="AF65" s="7" t="s">
        <v>716</v>
      </c>
      <c r="AG65" s="7" t="s">
        <v>688</v>
      </c>
      <c r="AH65" s="7" t="s">
        <v>689</v>
      </c>
      <c r="AI65" s="7" t="s">
        <v>747</v>
      </c>
      <c r="AJ65" s="7" t="s">
        <v>696</v>
      </c>
      <c r="AK65" s="7" t="s">
        <v>773</v>
      </c>
      <c r="AL65" s="7" t="s">
        <v>774</v>
      </c>
      <c r="AM65" s="7" t="s">
        <v>788</v>
      </c>
      <c r="AN65" s="7" t="s">
        <v>789</v>
      </c>
      <c r="AO65" s="7" t="s">
        <v>790</v>
      </c>
      <c r="AP65" s="7" t="s">
        <v>791</v>
      </c>
      <c r="AQ65" s="7" t="s">
        <v>792</v>
      </c>
      <c r="AR65" s="7" t="s">
        <v>793</v>
      </c>
    </row>
    <row r="66" spans="1:45" ht="78" customHeight="1" x14ac:dyDescent="0.4">
      <c r="A66" s="67" t="s">
        <v>137</v>
      </c>
      <c r="B66" t="e">
        <f>_xlfn.XLOOKUP(A66,'Product info'!A:A,'Product info'!C:C,,2)</f>
        <v>#N/A</v>
      </c>
      <c r="C66" s="69" t="s">
        <v>688</v>
      </c>
      <c r="D66" s="7" t="s">
        <v>689</v>
      </c>
      <c r="E66" s="7" t="s">
        <v>690</v>
      </c>
      <c r="F66" s="7" t="s">
        <v>691</v>
      </c>
      <c r="G66" s="7" t="s">
        <v>692</v>
      </c>
      <c r="H66" s="7" t="s">
        <v>693</v>
      </c>
      <c r="I66" s="7" t="s">
        <v>694</v>
      </c>
      <c r="J66" s="7" t="s">
        <v>695</v>
      </c>
      <c r="K66" s="7" t="s">
        <v>696</v>
      </c>
      <c r="L66" s="7" t="s">
        <v>697</v>
      </c>
      <c r="M66" s="7" t="s">
        <v>698</v>
      </c>
      <c r="N66" s="7" t="s">
        <v>699</v>
      </c>
      <c r="O66" s="7" t="s">
        <v>700</v>
      </c>
      <c r="P66" s="7" t="s">
        <v>701</v>
      </c>
      <c r="Q66" s="7" t="s">
        <v>702</v>
      </c>
      <c r="R66" s="7" t="s">
        <v>703</v>
      </c>
      <c r="S66" s="7" t="s">
        <v>704</v>
      </c>
      <c r="T66" s="7" t="s">
        <v>705</v>
      </c>
      <c r="U66" s="7" t="s">
        <v>706</v>
      </c>
      <c r="V66" s="7" t="s">
        <v>707</v>
      </c>
      <c r="W66" s="7" t="s">
        <v>708</v>
      </c>
      <c r="X66" s="7" t="s">
        <v>709</v>
      </c>
      <c r="Y66" s="7" t="s">
        <v>710</v>
      </c>
      <c r="Z66" s="7" t="s">
        <v>711</v>
      </c>
      <c r="AA66" s="7" t="s">
        <v>712</v>
      </c>
      <c r="AB66" s="7" t="s">
        <v>694</v>
      </c>
      <c r="AC66" s="7" t="s">
        <v>713</v>
      </c>
      <c r="AD66" s="7" t="s">
        <v>714</v>
      </c>
      <c r="AE66" s="7" t="s">
        <v>715</v>
      </c>
      <c r="AF66" s="7" t="s">
        <v>716</v>
      </c>
      <c r="AG66" s="7" t="s">
        <v>688</v>
      </c>
      <c r="AH66" s="7" t="s">
        <v>689</v>
      </c>
      <c r="AI66" s="7" t="s">
        <v>747</v>
      </c>
      <c r="AJ66" s="7" t="s">
        <v>696</v>
      </c>
      <c r="AK66" s="7" t="s">
        <v>773</v>
      </c>
      <c r="AL66" s="7" t="s">
        <v>774</v>
      </c>
      <c r="AM66" s="7" t="s">
        <v>788</v>
      </c>
      <c r="AN66" s="7" t="s">
        <v>789</v>
      </c>
      <c r="AO66" s="7" t="s">
        <v>790</v>
      </c>
      <c r="AP66" s="7" t="s">
        <v>791</v>
      </c>
      <c r="AQ66" s="7" t="s">
        <v>792</v>
      </c>
      <c r="AR66" s="7" t="s">
        <v>793</v>
      </c>
    </row>
    <row r="67" spans="1:45" ht="78" customHeight="1" x14ac:dyDescent="0.4">
      <c r="A67" s="67" t="s">
        <v>311</v>
      </c>
      <c r="B67" t="e">
        <f>_xlfn.XLOOKUP(A67,'Product info'!A:A,'Product info'!C:C,,2)</f>
        <v>#N/A</v>
      </c>
      <c r="C67" s="69" t="s">
        <v>688</v>
      </c>
      <c r="D67" s="7" t="s">
        <v>689</v>
      </c>
      <c r="E67" s="7" t="s">
        <v>690</v>
      </c>
      <c r="F67" s="7" t="s">
        <v>691</v>
      </c>
      <c r="G67" s="7" t="s">
        <v>692</v>
      </c>
      <c r="H67" s="7" t="s">
        <v>693</v>
      </c>
      <c r="I67" s="7" t="s">
        <v>694</v>
      </c>
      <c r="J67" s="7" t="s">
        <v>695</v>
      </c>
      <c r="K67" s="7" t="s">
        <v>696</v>
      </c>
      <c r="L67" s="7" t="s">
        <v>697</v>
      </c>
      <c r="M67" s="7" t="s">
        <v>698</v>
      </c>
      <c r="N67" s="7" t="s">
        <v>699</v>
      </c>
      <c r="O67" s="7" t="s">
        <v>700</v>
      </c>
      <c r="P67" s="7" t="s">
        <v>701</v>
      </c>
      <c r="Q67" s="7" t="s">
        <v>702</v>
      </c>
      <c r="R67" s="7" t="s">
        <v>703</v>
      </c>
      <c r="S67" s="7" t="s">
        <v>704</v>
      </c>
      <c r="T67" s="7" t="s">
        <v>705</v>
      </c>
      <c r="U67" s="7" t="s">
        <v>706</v>
      </c>
      <c r="V67" s="7" t="s">
        <v>707</v>
      </c>
      <c r="W67" s="7" t="s">
        <v>708</v>
      </c>
      <c r="X67" s="7" t="s">
        <v>709</v>
      </c>
      <c r="Y67" s="7" t="s">
        <v>710</v>
      </c>
      <c r="Z67" s="7" t="s">
        <v>711</v>
      </c>
      <c r="AA67" s="7" t="s">
        <v>712</v>
      </c>
      <c r="AB67" s="7" t="s">
        <v>694</v>
      </c>
      <c r="AC67" s="7" t="s">
        <v>713</v>
      </c>
      <c r="AD67" s="7" t="s">
        <v>714</v>
      </c>
      <c r="AE67" s="7" t="s">
        <v>715</v>
      </c>
      <c r="AF67" s="7" t="s">
        <v>716</v>
      </c>
      <c r="AG67" s="7" t="s">
        <v>688</v>
      </c>
      <c r="AH67" s="7" t="s">
        <v>689</v>
      </c>
      <c r="AI67" s="7" t="s">
        <v>747</v>
      </c>
      <c r="AJ67" s="7" t="s">
        <v>696</v>
      </c>
      <c r="AK67" s="7" t="s">
        <v>773</v>
      </c>
      <c r="AL67" s="7" t="s">
        <v>774</v>
      </c>
      <c r="AM67" s="7" t="s">
        <v>788</v>
      </c>
      <c r="AN67" s="7" t="s">
        <v>789</v>
      </c>
      <c r="AO67" s="7" t="s">
        <v>790</v>
      </c>
      <c r="AP67" s="7" t="s">
        <v>791</v>
      </c>
      <c r="AQ67" s="7" t="s">
        <v>792</v>
      </c>
      <c r="AR67" s="7" t="s">
        <v>793</v>
      </c>
    </row>
    <row r="68" spans="1:45" ht="78" customHeight="1" x14ac:dyDescent="0.4">
      <c r="A68" s="67" t="s">
        <v>310</v>
      </c>
      <c r="B68" t="e">
        <f>_xlfn.XLOOKUP(A68,'Product info'!A:A,'Product info'!C:C,,2)</f>
        <v>#N/A</v>
      </c>
      <c r="C68" s="69" t="s">
        <v>688</v>
      </c>
      <c r="D68" s="7" t="s">
        <v>689</v>
      </c>
      <c r="E68" s="7" t="s">
        <v>690</v>
      </c>
      <c r="F68" s="7" t="s">
        <v>691</v>
      </c>
      <c r="G68" s="7" t="s">
        <v>692</v>
      </c>
      <c r="H68" s="7" t="s">
        <v>693</v>
      </c>
      <c r="I68" s="7" t="s">
        <v>694</v>
      </c>
      <c r="J68" s="7" t="s">
        <v>695</v>
      </c>
      <c r="K68" s="7" t="s">
        <v>696</v>
      </c>
      <c r="L68" s="7" t="s">
        <v>697</v>
      </c>
      <c r="M68" s="7" t="s">
        <v>698</v>
      </c>
      <c r="N68" s="7" t="s">
        <v>699</v>
      </c>
      <c r="O68" s="7" t="s">
        <v>700</v>
      </c>
      <c r="P68" s="7" t="s">
        <v>701</v>
      </c>
      <c r="Q68" s="7" t="s">
        <v>702</v>
      </c>
      <c r="R68" s="7" t="s">
        <v>703</v>
      </c>
      <c r="S68" s="7" t="s">
        <v>704</v>
      </c>
      <c r="T68" s="7" t="s">
        <v>705</v>
      </c>
      <c r="U68" s="7" t="s">
        <v>706</v>
      </c>
      <c r="V68" s="7" t="s">
        <v>707</v>
      </c>
      <c r="W68" s="7" t="s">
        <v>708</v>
      </c>
      <c r="X68" s="7" t="s">
        <v>709</v>
      </c>
      <c r="Y68" s="7" t="s">
        <v>710</v>
      </c>
      <c r="Z68" s="7" t="s">
        <v>711</v>
      </c>
      <c r="AA68" s="7" t="s">
        <v>712</v>
      </c>
      <c r="AB68" s="7" t="s">
        <v>694</v>
      </c>
      <c r="AC68" s="7" t="s">
        <v>713</v>
      </c>
      <c r="AD68" s="7" t="s">
        <v>714</v>
      </c>
      <c r="AE68" s="7" t="s">
        <v>715</v>
      </c>
      <c r="AF68" s="7" t="s">
        <v>716</v>
      </c>
      <c r="AG68" s="7" t="s">
        <v>688</v>
      </c>
      <c r="AH68" s="7" t="s">
        <v>689</v>
      </c>
      <c r="AI68" s="7" t="s">
        <v>747</v>
      </c>
      <c r="AJ68" s="7" t="s">
        <v>696</v>
      </c>
      <c r="AK68" s="7" t="s">
        <v>773</v>
      </c>
      <c r="AL68" s="7" t="s">
        <v>774</v>
      </c>
      <c r="AM68" s="7" t="s">
        <v>788</v>
      </c>
      <c r="AN68" s="7" t="s">
        <v>789</v>
      </c>
      <c r="AO68" s="7" t="s">
        <v>790</v>
      </c>
      <c r="AP68" s="7" t="s">
        <v>791</v>
      </c>
      <c r="AQ68" s="7" t="s">
        <v>792</v>
      </c>
      <c r="AR68" s="7" t="s">
        <v>793</v>
      </c>
    </row>
    <row r="69" spans="1:45" ht="78" customHeight="1" x14ac:dyDescent="0.4">
      <c r="A69" s="67" t="s">
        <v>449</v>
      </c>
      <c r="B69" t="e">
        <f>_xlfn.XLOOKUP(A69,'Product info'!A:A,'Product info'!C:C,,2)</f>
        <v>#N/A</v>
      </c>
      <c r="C69" s="69" t="s">
        <v>688</v>
      </c>
      <c r="D69" s="7" t="s">
        <v>689</v>
      </c>
      <c r="E69" s="7" t="s">
        <v>690</v>
      </c>
      <c r="F69" s="7" t="s">
        <v>691</v>
      </c>
      <c r="G69" s="7" t="s">
        <v>692</v>
      </c>
      <c r="H69" s="7" t="s">
        <v>693</v>
      </c>
      <c r="I69" s="7" t="s">
        <v>694</v>
      </c>
      <c r="J69" s="7" t="s">
        <v>695</v>
      </c>
      <c r="K69" s="7" t="s">
        <v>696</v>
      </c>
      <c r="L69" s="7" t="s">
        <v>697</v>
      </c>
      <c r="M69" s="7" t="s">
        <v>698</v>
      </c>
      <c r="N69" s="7" t="s">
        <v>699</v>
      </c>
      <c r="O69" s="7" t="s">
        <v>700</v>
      </c>
      <c r="P69" s="7" t="s">
        <v>701</v>
      </c>
      <c r="Q69" s="7" t="s">
        <v>702</v>
      </c>
      <c r="R69" s="7" t="s">
        <v>703</v>
      </c>
      <c r="S69" s="7" t="s">
        <v>704</v>
      </c>
      <c r="T69" s="7" t="s">
        <v>705</v>
      </c>
      <c r="U69" s="7" t="s">
        <v>706</v>
      </c>
      <c r="V69" s="7" t="s">
        <v>707</v>
      </c>
      <c r="W69" s="7" t="s">
        <v>708</v>
      </c>
      <c r="X69" s="7" t="s">
        <v>709</v>
      </c>
      <c r="Y69" s="7" t="s">
        <v>710</v>
      </c>
      <c r="Z69" s="7" t="s">
        <v>711</v>
      </c>
      <c r="AA69" s="7" t="s">
        <v>712</v>
      </c>
      <c r="AB69" s="7" t="s">
        <v>694</v>
      </c>
      <c r="AC69" s="7" t="s">
        <v>713</v>
      </c>
      <c r="AD69" s="7" t="s">
        <v>714</v>
      </c>
      <c r="AE69" s="7" t="s">
        <v>715</v>
      </c>
      <c r="AF69" s="7" t="s">
        <v>716</v>
      </c>
      <c r="AG69" s="7" t="s">
        <v>688</v>
      </c>
      <c r="AH69" s="7" t="s">
        <v>689</v>
      </c>
      <c r="AI69" s="7" t="s">
        <v>747</v>
      </c>
      <c r="AJ69" s="7" t="s">
        <v>696</v>
      </c>
      <c r="AK69" s="7" t="s">
        <v>773</v>
      </c>
      <c r="AL69" s="7" t="s">
        <v>774</v>
      </c>
      <c r="AM69" s="7" t="s">
        <v>794</v>
      </c>
      <c r="AN69" s="7" t="s">
        <v>795</v>
      </c>
      <c r="AO69" s="7" t="s">
        <v>796</v>
      </c>
      <c r="AP69" s="7" t="s">
        <v>797</v>
      </c>
      <c r="AQ69" s="7" t="s">
        <v>798</v>
      </c>
    </row>
    <row r="70" spans="1:45" ht="78" customHeight="1" x14ac:dyDescent="0.4">
      <c r="A70" s="67" t="s">
        <v>446</v>
      </c>
      <c r="B70" t="e">
        <f>_xlfn.XLOOKUP(A70,'Product info'!A:A,'Product info'!C:C,,2)</f>
        <v>#N/A</v>
      </c>
      <c r="C70" s="69" t="s">
        <v>688</v>
      </c>
      <c r="D70" s="7" t="s">
        <v>689</v>
      </c>
      <c r="E70" s="7" t="s">
        <v>690</v>
      </c>
      <c r="F70" s="7" t="s">
        <v>691</v>
      </c>
      <c r="G70" s="7" t="s">
        <v>692</v>
      </c>
      <c r="H70" s="7" t="s">
        <v>693</v>
      </c>
      <c r="I70" s="7" t="s">
        <v>694</v>
      </c>
      <c r="J70" s="7" t="s">
        <v>695</v>
      </c>
      <c r="K70" s="7" t="s">
        <v>696</v>
      </c>
      <c r="L70" s="7" t="s">
        <v>697</v>
      </c>
      <c r="M70" s="7" t="s">
        <v>698</v>
      </c>
      <c r="N70" s="7" t="s">
        <v>699</v>
      </c>
      <c r="O70" s="7" t="s">
        <v>700</v>
      </c>
      <c r="P70" s="7" t="s">
        <v>701</v>
      </c>
      <c r="Q70" s="7" t="s">
        <v>702</v>
      </c>
      <c r="R70" s="7" t="s">
        <v>703</v>
      </c>
      <c r="S70" s="7" t="s">
        <v>704</v>
      </c>
      <c r="T70" s="7" t="s">
        <v>705</v>
      </c>
      <c r="U70" s="7" t="s">
        <v>706</v>
      </c>
      <c r="V70" s="7" t="s">
        <v>707</v>
      </c>
      <c r="W70" s="7" t="s">
        <v>708</v>
      </c>
      <c r="X70" s="7" t="s">
        <v>709</v>
      </c>
      <c r="Y70" s="7" t="s">
        <v>710</v>
      </c>
      <c r="Z70" s="7" t="s">
        <v>711</v>
      </c>
      <c r="AA70" s="7" t="s">
        <v>712</v>
      </c>
      <c r="AB70" s="7" t="s">
        <v>694</v>
      </c>
      <c r="AC70" s="7" t="s">
        <v>713</v>
      </c>
      <c r="AD70" s="7" t="s">
        <v>714</v>
      </c>
      <c r="AE70" s="7" t="s">
        <v>715</v>
      </c>
      <c r="AF70" s="7" t="s">
        <v>716</v>
      </c>
      <c r="AG70" s="7" t="s">
        <v>688</v>
      </c>
      <c r="AH70" s="7" t="s">
        <v>689</v>
      </c>
      <c r="AI70" s="7" t="s">
        <v>747</v>
      </c>
      <c r="AJ70" s="7" t="s">
        <v>696</v>
      </c>
      <c r="AK70" s="7" t="s">
        <v>773</v>
      </c>
      <c r="AL70" s="7" t="s">
        <v>774</v>
      </c>
      <c r="AM70" s="7" t="s">
        <v>799</v>
      </c>
      <c r="AN70" s="7" t="s">
        <v>795</v>
      </c>
      <c r="AO70" s="7" t="s">
        <v>796</v>
      </c>
      <c r="AP70" s="7" t="s">
        <v>797</v>
      </c>
      <c r="AQ70" s="7" t="s">
        <v>800</v>
      </c>
    </row>
    <row r="71" spans="1:45" ht="78" customHeight="1" x14ac:dyDescent="0.4">
      <c r="A71" s="67" t="s">
        <v>448</v>
      </c>
      <c r="B71" t="e">
        <f>_xlfn.XLOOKUP(A71,'Product info'!A:A,'Product info'!C:C,,2)</f>
        <v>#N/A</v>
      </c>
      <c r="C71" s="69" t="s">
        <v>688</v>
      </c>
      <c r="D71" s="7" t="s">
        <v>689</v>
      </c>
      <c r="E71" s="7" t="s">
        <v>690</v>
      </c>
      <c r="F71" s="7" t="s">
        <v>691</v>
      </c>
      <c r="G71" s="7" t="s">
        <v>692</v>
      </c>
      <c r="H71" s="7" t="s">
        <v>693</v>
      </c>
      <c r="I71" s="7" t="s">
        <v>694</v>
      </c>
      <c r="J71" s="7" t="s">
        <v>695</v>
      </c>
      <c r="K71" s="7" t="s">
        <v>696</v>
      </c>
      <c r="L71" s="7" t="s">
        <v>697</v>
      </c>
      <c r="M71" s="7" t="s">
        <v>698</v>
      </c>
      <c r="N71" s="7" t="s">
        <v>699</v>
      </c>
      <c r="O71" s="7" t="s">
        <v>700</v>
      </c>
      <c r="P71" s="7" t="s">
        <v>701</v>
      </c>
      <c r="Q71" s="7" t="s">
        <v>702</v>
      </c>
      <c r="R71" s="7" t="s">
        <v>703</v>
      </c>
      <c r="S71" s="7" t="s">
        <v>704</v>
      </c>
      <c r="T71" s="7" t="s">
        <v>705</v>
      </c>
      <c r="U71" s="7" t="s">
        <v>706</v>
      </c>
      <c r="V71" s="7" t="s">
        <v>707</v>
      </c>
      <c r="W71" s="7" t="s">
        <v>708</v>
      </c>
      <c r="X71" s="7" t="s">
        <v>709</v>
      </c>
      <c r="Y71" s="7" t="s">
        <v>710</v>
      </c>
      <c r="Z71" s="7" t="s">
        <v>711</v>
      </c>
      <c r="AA71" s="7" t="s">
        <v>712</v>
      </c>
      <c r="AB71" s="7" t="s">
        <v>694</v>
      </c>
      <c r="AC71" s="7" t="s">
        <v>713</v>
      </c>
      <c r="AD71" s="7" t="s">
        <v>714</v>
      </c>
      <c r="AE71" s="7" t="s">
        <v>715</v>
      </c>
      <c r="AF71" s="7" t="s">
        <v>716</v>
      </c>
      <c r="AG71" s="7" t="s">
        <v>688</v>
      </c>
      <c r="AH71" s="7" t="s">
        <v>689</v>
      </c>
      <c r="AI71" s="7" t="s">
        <v>747</v>
      </c>
      <c r="AJ71" s="7" t="s">
        <v>696</v>
      </c>
      <c r="AK71" s="7" t="s">
        <v>773</v>
      </c>
      <c r="AL71" s="7" t="s">
        <v>774</v>
      </c>
      <c r="AM71" s="7" t="s">
        <v>799</v>
      </c>
      <c r="AN71" s="7" t="s">
        <v>795</v>
      </c>
      <c r="AO71" s="7" t="s">
        <v>796</v>
      </c>
      <c r="AP71" s="7" t="s">
        <v>797</v>
      </c>
      <c r="AQ71" s="7" t="s">
        <v>800</v>
      </c>
    </row>
    <row r="72" spans="1:45" ht="78" customHeight="1" x14ac:dyDescent="0.4">
      <c r="A72" s="67" t="s">
        <v>450</v>
      </c>
      <c r="B72" t="e">
        <f>_xlfn.XLOOKUP(A72,'Product info'!A:A,'Product info'!C:C,,2)</f>
        <v>#N/A</v>
      </c>
      <c r="C72" s="69" t="s">
        <v>688</v>
      </c>
      <c r="D72" s="7" t="s">
        <v>689</v>
      </c>
      <c r="E72" s="7" t="s">
        <v>690</v>
      </c>
      <c r="F72" s="7" t="s">
        <v>691</v>
      </c>
      <c r="G72" s="7" t="s">
        <v>692</v>
      </c>
      <c r="H72" s="7" t="s">
        <v>693</v>
      </c>
      <c r="I72" s="7" t="s">
        <v>694</v>
      </c>
      <c r="J72" s="7" t="s">
        <v>695</v>
      </c>
      <c r="K72" s="7" t="s">
        <v>696</v>
      </c>
      <c r="L72" s="7" t="s">
        <v>697</v>
      </c>
      <c r="M72" s="7" t="s">
        <v>698</v>
      </c>
      <c r="N72" s="7" t="s">
        <v>699</v>
      </c>
      <c r="O72" s="7" t="s">
        <v>700</v>
      </c>
      <c r="P72" s="7" t="s">
        <v>701</v>
      </c>
      <c r="Q72" s="7" t="s">
        <v>702</v>
      </c>
      <c r="R72" s="7" t="s">
        <v>703</v>
      </c>
      <c r="S72" s="7" t="s">
        <v>704</v>
      </c>
      <c r="T72" s="7" t="s">
        <v>705</v>
      </c>
      <c r="U72" s="7" t="s">
        <v>706</v>
      </c>
      <c r="V72" s="7" t="s">
        <v>707</v>
      </c>
      <c r="W72" s="7" t="s">
        <v>708</v>
      </c>
      <c r="X72" s="7" t="s">
        <v>709</v>
      </c>
      <c r="Y72" s="7" t="s">
        <v>710</v>
      </c>
      <c r="Z72" s="7" t="s">
        <v>711</v>
      </c>
      <c r="AA72" s="7" t="s">
        <v>712</v>
      </c>
      <c r="AB72" s="7" t="s">
        <v>694</v>
      </c>
      <c r="AC72" s="7" t="s">
        <v>713</v>
      </c>
      <c r="AD72" s="7" t="s">
        <v>714</v>
      </c>
      <c r="AE72" s="7" t="s">
        <v>715</v>
      </c>
      <c r="AF72" s="7" t="s">
        <v>716</v>
      </c>
      <c r="AG72" s="7" t="s">
        <v>688</v>
      </c>
      <c r="AH72" s="7" t="s">
        <v>689</v>
      </c>
      <c r="AI72" s="7" t="s">
        <v>747</v>
      </c>
      <c r="AJ72" s="7" t="s">
        <v>696</v>
      </c>
      <c r="AK72" s="7" t="s">
        <v>773</v>
      </c>
      <c r="AL72" s="7" t="s">
        <v>774</v>
      </c>
      <c r="AM72" s="7" t="s">
        <v>799</v>
      </c>
      <c r="AN72" s="7" t="s">
        <v>795</v>
      </c>
      <c r="AO72" s="7" t="s">
        <v>796</v>
      </c>
      <c r="AP72" s="7" t="s">
        <v>797</v>
      </c>
      <c r="AQ72" s="7" t="s">
        <v>801</v>
      </c>
    </row>
    <row r="73" spans="1:45" ht="78" customHeight="1" x14ac:dyDescent="0.4">
      <c r="A73" s="67" t="s">
        <v>447</v>
      </c>
      <c r="B73" t="e">
        <f>_xlfn.XLOOKUP(A73,'Product info'!A:A,'Product info'!C:C,,2)</f>
        <v>#N/A</v>
      </c>
      <c r="C73" s="69" t="s">
        <v>688</v>
      </c>
      <c r="D73" s="7" t="s">
        <v>689</v>
      </c>
      <c r="E73" s="7" t="s">
        <v>690</v>
      </c>
      <c r="F73" s="7" t="s">
        <v>691</v>
      </c>
      <c r="G73" s="7" t="s">
        <v>692</v>
      </c>
      <c r="H73" s="7" t="s">
        <v>693</v>
      </c>
      <c r="I73" s="7" t="s">
        <v>694</v>
      </c>
      <c r="J73" s="7" t="s">
        <v>695</v>
      </c>
      <c r="K73" s="7" t="s">
        <v>696</v>
      </c>
      <c r="L73" s="7" t="s">
        <v>697</v>
      </c>
      <c r="M73" s="7" t="s">
        <v>698</v>
      </c>
      <c r="N73" s="7" t="s">
        <v>699</v>
      </c>
      <c r="O73" s="7" t="s">
        <v>700</v>
      </c>
      <c r="P73" s="7" t="s">
        <v>701</v>
      </c>
      <c r="Q73" s="7" t="s">
        <v>702</v>
      </c>
      <c r="R73" s="7" t="s">
        <v>703</v>
      </c>
      <c r="S73" s="7" t="s">
        <v>704</v>
      </c>
      <c r="T73" s="7" t="s">
        <v>705</v>
      </c>
      <c r="U73" s="7" t="s">
        <v>706</v>
      </c>
      <c r="V73" s="7" t="s">
        <v>707</v>
      </c>
      <c r="W73" s="7" t="s">
        <v>708</v>
      </c>
      <c r="X73" s="7" t="s">
        <v>709</v>
      </c>
      <c r="Y73" s="7" t="s">
        <v>710</v>
      </c>
      <c r="Z73" s="7" t="s">
        <v>711</v>
      </c>
      <c r="AA73" s="7" t="s">
        <v>712</v>
      </c>
      <c r="AB73" s="7" t="s">
        <v>694</v>
      </c>
      <c r="AC73" s="7" t="s">
        <v>713</v>
      </c>
      <c r="AD73" s="7" t="s">
        <v>714</v>
      </c>
      <c r="AE73" s="7" t="s">
        <v>715</v>
      </c>
      <c r="AF73" s="7" t="s">
        <v>716</v>
      </c>
      <c r="AG73" s="7" t="s">
        <v>688</v>
      </c>
      <c r="AH73" s="7" t="s">
        <v>689</v>
      </c>
      <c r="AI73" s="7" t="s">
        <v>747</v>
      </c>
      <c r="AJ73" s="7" t="s">
        <v>696</v>
      </c>
      <c r="AK73" s="7" t="s">
        <v>773</v>
      </c>
      <c r="AL73" s="7" t="s">
        <v>774</v>
      </c>
      <c r="AM73" s="7" t="s">
        <v>799</v>
      </c>
      <c r="AN73" s="7" t="s">
        <v>795</v>
      </c>
      <c r="AO73" s="7" t="s">
        <v>796</v>
      </c>
      <c r="AP73" s="7" t="s">
        <v>797</v>
      </c>
      <c r="AQ73" s="7" t="s">
        <v>800</v>
      </c>
    </row>
    <row r="74" spans="1:45" ht="78" customHeight="1" x14ac:dyDescent="0.4">
      <c r="A74" s="67" t="s">
        <v>451</v>
      </c>
      <c r="B74" t="e">
        <f>_xlfn.XLOOKUP(A74,'Product info'!A:A,'Product info'!C:C,,2)</f>
        <v>#N/A</v>
      </c>
      <c r="C74" s="69" t="s">
        <v>688</v>
      </c>
      <c r="D74" s="7" t="s">
        <v>689</v>
      </c>
      <c r="E74" s="7" t="s">
        <v>690</v>
      </c>
      <c r="F74" s="7" t="s">
        <v>691</v>
      </c>
      <c r="G74" s="7" t="s">
        <v>692</v>
      </c>
      <c r="H74" s="7" t="s">
        <v>693</v>
      </c>
      <c r="I74" s="7" t="s">
        <v>694</v>
      </c>
      <c r="J74" s="7" t="s">
        <v>695</v>
      </c>
      <c r="K74" s="7" t="s">
        <v>696</v>
      </c>
      <c r="L74" s="7" t="s">
        <v>697</v>
      </c>
      <c r="M74" s="7" t="s">
        <v>698</v>
      </c>
      <c r="N74" s="7" t="s">
        <v>699</v>
      </c>
      <c r="O74" s="7" t="s">
        <v>700</v>
      </c>
      <c r="P74" s="7" t="s">
        <v>701</v>
      </c>
      <c r="Q74" s="7" t="s">
        <v>702</v>
      </c>
      <c r="R74" s="7" t="s">
        <v>703</v>
      </c>
      <c r="S74" s="7" t="s">
        <v>704</v>
      </c>
      <c r="T74" s="7" t="s">
        <v>705</v>
      </c>
      <c r="U74" s="7" t="s">
        <v>706</v>
      </c>
      <c r="V74" s="7" t="s">
        <v>707</v>
      </c>
      <c r="W74" s="7" t="s">
        <v>708</v>
      </c>
      <c r="X74" s="7" t="s">
        <v>709</v>
      </c>
      <c r="Y74" s="7" t="s">
        <v>710</v>
      </c>
      <c r="Z74" s="7" t="s">
        <v>711</v>
      </c>
      <c r="AA74" s="7" t="s">
        <v>712</v>
      </c>
      <c r="AB74" s="7" t="s">
        <v>694</v>
      </c>
      <c r="AC74" s="7" t="s">
        <v>713</v>
      </c>
      <c r="AD74" s="7" t="s">
        <v>714</v>
      </c>
      <c r="AE74" s="7" t="s">
        <v>715</v>
      </c>
      <c r="AF74" s="7" t="s">
        <v>716</v>
      </c>
      <c r="AG74" s="7" t="s">
        <v>688</v>
      </c>
      <c r="AH74" s="7" t="s">
        <v>689</v>
      </c>
      <c r="AI74" s="7" t="s">
        <v>747</v>
      </c>
      <c r="AJ74" s="7" t="s">
        <v>696</v>
      </c>
      <c r="AK74" s="7" t="s">
        <v>773</v>
      </c>
      <c r="AL74" s="7" t="s">
        <v>774</v>
      </c>
      <c r="AM74" s="7" t="s">
        <v>799</v>
      </c>
      <c r="AN74" s="7" t="s">
        <v>795</v>
      </c>
      <c r="AO74" s="7" t="s">
        <v>796</v>
      </c>
      <c r="AP74" s="7" t="s">
        <v>797</v>
      </c>
      <c r="AQ74" s="7" t="s">
        <v>802</v>
      </c>
    </row>
    <row r="75" spans="1:45" ht="78" customHeight="1" x14ac:dyDescent="0.4">
      <c r="A75" s="67" t="s">
        <v>318</v>
      </c>
      <c r="B75" t="e">
        <f>_xlfn.XLOOKUP(A75,'Product info'!A:A,'Product info'!C:C,,2)</f>
        <v>#N/A</v>
      </c>
      <c r="C75" s="69" t="s">
        <v>688</v>
      </c>
      <c r="D75" s="7" t="s">
        <v>689</v>
      </c>
      <c r="E75" s="7" t="s">
        <v>690</v>
      </c>
      <c r="F75" s="7" t="s">
        <v>691</v>
      </c>
      <c r="G75" s="7" t="s">
        <v>692</v>
      </c>
      <c r="H75" s="7" t="s">
        <v>693</v>
      </c>
      <c r="I75" s="7" t="s">
        <v>694</v>
      </c>
      <c r="J75" s="7" t="s">
        <v>695</v>
      </c>
      <c r="K75" s="7" t="s">
        <v>696</v>
      </c>
      <c r="L75" s="7" t="s">
        <v>697</v>
      </c>
      <c r="M75" s="7" t="s">
        <v>698</v>
      </c>
      <c r="N75" s="7" t="s">
        <v>699</v>
      </c>
      <c r="O75" s="7" t="s">
        <v>700</v>
      </c>
      <c r="P75" s="7" t="s">
        <v>701</v>
      </c>
      <c r="Q75" s="7" t="s">
        <v>702</v>
      </c>
      <c r="R75" s="7" t="s">
        <v>703</v>
      </c>
      <c r="S75" s="7" t="s">
        <v>704</v>
      </c>
      <c r="T75" s="7" t="s">
        <v>705</v>
      </c>
      <c r="U75" s="7" t="s">
        <v>706</v>
      </c>
      <c r="V75" s="7" t="s">
        <v>707</v>
      </c>
      <c r="W75" s="7" t="s">
        <v>708</v>
      </c>
      <c r="X75" s="7" t="s">
        <v>709</v>
      </c>
      <c r="Y75" s="7" t="s">
        <v>710</v>
      </c>
      <c r="Z75" s="7" t="s">
        <v>711</v>
      </c>
      <c r="AA75" s="7" t="s">
        <v>712</v>
      </c>
      <c r="AB75" s="7" t="s">
        <v>694</v>
      </c>
      <c r="AC75" s="7" t="s">
        <v>713</v>
      </c>
      <c r="AD75" s="7" t="s">
        <v>714</v>
      </c>
      <c r="AE75" s="7" t="s">
        <v>715</v>
      </c>
      <c r="AF75" s="7" t="s">
        <v>716</v>
      </c>
      <c r="AG75" s="7" t="s">
        <v>688</v>
      </c>
      <c r="AH75" s="7" t="s">
        <v>689</v>
      </c>
      <c r="AI75" s="7" t="s">
        <v>747</v>
      </c>
      <c r="AJ75" s="7" t="s">
        <v>696</v>
      </c>
      <c r="AK75" s="7" t="s">
        <v>773</v>
      </c>
      <c r="AL75" s="7" t="s">
        <v>774</v>
      </c>
      <c r="AM75" s="7" t="s">
        <v>803</v>
      </c>
      <c r="AN75" s="7" t="s">
        <v>804</v>
      </c>
      <c r="AO75" s="7" t="s">
        <v>805</v>
      </c>
      <c r="AP75" s="7" t="s">
        <v>806</v>
      </c>
      <c r="AQ75" s="7" t="s">
        <v>807</v>
      </c>
      <c r="AR75" s="7" t="s">
        <v>808</v>
      </c>
      <c r="AS75" s="7" t="s">
        <v>809</v>
      </c>
    </row>
    <row r="76" spans="1:45" ht="78" customHeight="1" x14ac:dyDescent="0.4">
      <c r="A76" s="67" t="s">
        <v>317</v>
      </c>
      <c r="B76" t="e">
        <f>_xlfn.XLOOKUP(A76,'Product info'!A:A,'Product info'!C:C,,2)</f>
        <v>#N/A</v>
      </c>
      <c r="C76" s="69" t="s">
        <v>688</v>
      </c>
      <c r="D76" s="7" t="s">
        <v>689</v>
      </c>
      <c r="E76" s="7" t="s">
        <v>690</v>
      </c>
      <c r="F76" s="7" t="s">
        <v>691</v>
      </c>
      <c r="G76" s="7" t="s">
        <v>692</v>
      </c>
      <c r="H76" s="7" t="s">
        <v>693</v>
      </c>
      <c r="I76" s="7" t="s">
        <v>694</v>
      </c>
      <c r="J76" s="7" t="s">
        <v>695</v>
      </c>
      <c r="K76" s="7" t="s">
        <v>696</v>
      </c>
      <c r="L76" s="7" t="s">
        <v>697</v>
      </c>
      <c r="M76" s="7" t="s">
        <v>698</v>
      </c>
      <c r="N76" s="7" t="s">
        <v>699</v>
      </c>
      <c r="O76" s="7" t="s">
        <v>700</v>
      </c>
      <c r="P76" s="7" t="s">
        <v>701</v>
      </c>
      <c r="Q76" s="7" t="s">
        <v>702</v>
      </c>
      <c r="R76" s="7" t="s">
        <v>703</v>
      </c>
      <c r="S76" s="7" t="s">
        <v>704</v>
      </c>
      <c r="T76" s="7" t="s">
        <v>705</v>
      </c>
      <c r="U76" s="7" t="s">
        <v>706</v>
      </c>
      <c r="V76" s="7" t="s">
        <v>707</v>
      </c>
      <c r="W76" s="7" t="s">
        <v>708</v>
      </c>
      <c r="X76" s="7" t="s">
        <v>709</v>
      </c>
      <c r="Y76" s="7" t="s">
        <v>710</v>
      </c>
      <c r="Z76" s="7" t="s">
        <v>711</v>
      </c>
      <c r="AA76" s="7" t="s">
        <v>712</v>
      </c>
      <c r="AB76" s="7" t="s">
        <v>694</v>
      </c>
      <c r="AC76" s="7" t="s">
        <v>713</v>
      </c>
      <c r="AD76" s="7" t="s">
        <v>714</v>
      </c>
      <c r="AE76" s="7" t="s">
        <v>715</v>
      </c>
      <c r="AF76" s="7" t="s">
        <v>716</v>
      </c>
      <c r="AG76" s="7" t="s">
        <v>688</v>
      </c>
      <c r="AH76" s="7" t="s">
        <v>689</v>
      </c>
      <c r="AI76" s="7" t="s">
        <v>747</v>
      </c>
      <c r="AJ76" s="7" t="s">
        <v>696</v>
      </c>
      <c r="AK76" s="7" t="s">
        <v>773</v>
      </c>
      <c r="AL76" s="7" t="s">
        <v>774</v>
      </c>
      <c r="AM76" s="7" t="s">
        <v>803</v>
      </c>
      <c r="AN76" s="7" t="s">
        <v>804</v>
      </c>
      <c r="AO76" s="7" t="s">
        <v>805</v>
      </c>
      <c r="AP76" s="7" t="s">
        <v>806</v>
      </c>
      <c r="AQ76" s="7" t="s">
        <v>807</v>
      </c>
      <c r="AR76" s="7" t="s">
        <v>808</v>
      </c>
      <c r="AS76" s="7" t="s">
        <v>809</v>
      </c>
    </row>
    <row r="77" spans="1:45" ht="78" customHeight="1" x14ac:dyDescent="0.4">
      <c r="A77" s="67" t="s">
        <v>320</v>
      </c>
      <c r="B77" t="e">
        <f>_xlfn.XLOOKUP(A77,'Product info'!A:A,'Product info'!C:C,,2)</f>
        <v>#N/A</v>
      </c>
      <c r="C77" s="69" t="s">
        <v>688</v>
      </c>
      <c r="D77" s="7" t="s">
        <v>689</v>
      </c>
      <c r="E77" s="7" t="s">
        <v>690</v>
      </c>
      <c r="F77" s="7" t="s">
        <v>691</v>
      </c>
      <c r="G77" s="7" t="s">
        <v>692</v>
      </c>
      <c r="H77" s="7" t="s">
        <v>693</v>
      </c>
      <c r="I77" s="7" t="s">
        <v>694</v>
      </c>
      <c r="J77" s="7" t="s">
        <v>695</v>
      </c>
      <c r="K77" s="7" t="s">
        <v>696</v>
      </c>
      <c r="L77" s="7" t="s">
        <v>697</v>
      </c>
      <c r="M77" s="7" t="s">
        <v>698</v>
      </c>
      <c r="N77" s="7" t="s">
        <v>699</v>
      </c>
      <c r="O77" s="7" t="s">
        <v>700</v>
      </c>
      <c r="P77" s="7" t="s">
        <v>701</v>
      </c>
      <c r="Q77" s="7" t="s">
        <v>702</v>
      </c>
      <c r="R77" s="7" t="s">
        <v>703</v>
      </c>
      <c r="S77" s="7" t="s">
        <v>704</v>
      </c>
      <c r="T77" s="7" t="s">
        <v>705</v>
      </c>
      <c r="U77" s="7" t="s">
        <v>706</v>
      </c>
      <c r="V77" s="7" t="s">
        <v>707</v>
      </c>
      <c r="W77" s="7" t="s">
        <v>708</v>
      </c>
      <c r="X77" s="7" t="s">
        <v>709</v>
      </c>
      <c r="Y77" s="7" t="s">
        <v>710</v>
      </c>
      <c r="Z77" s="7" t="s">
        <v>711</v>
      </c>
      <c r="AA77" s="7" t="s">
        <v>712</v>
      </c>
      <c r="AB77" s="7" t="s">
        <v>694</v>
      </c>
      <c r="AC77" s="7" t="s">
        <v>713</v>
      </c>
      <c r="AD77" s="7" t="s">
        <v>714</v>
      </c>
      <c r="AE77" s="7" t="s">
        <v>715</v>
      </c>
      <c r="AF77" s="7" t="s">
        <v>716</v>
      </c>
      <c r="AG77" s="7" t="s">
        <v>688</v>
      </c>
      <c r="AH77" s="7" t="s">
        <v>689</v>
      </c>
      <c r="AI77" s="7" t="s">
        <v>747</v>
      </c>
      <c r="AJ77" s="7" t="s">
        <v>696</v>
      </c>
      <c r="AK77" s="7" t="s">
        <v>773</v>
      </c>
      <c r="AL77" s="7" t="s">
        <v>774</v>
      </c>
      <c r="AM77" s="7" t="s">
        <v>803</v>
      </c>
      <c r="AN77" s="7" t="s">
        <v>804</v>
      </c>
      <c r="AO77" s="7" t="s">
        <v>805</v>
      </c>
      <c r="AP77" s="7" t="s">
        <v>806</v>
      </c>
      <c r="AQ77" s="7" t="s">
        <v>807</v>
      </c>
      <c r="AR77" s="7" t="s">
        <v>808</v>
      </c>
      <c r="AS77" s="7" t="s">
        <v>809</v>
      </c>
    </row>
    <row r="78" spans="1:45" ht="78" customHeight="1" x14ac:dyDescent="0.4">
      <c r="A78" s="67" t="s">
        <v>324</v>
      </c>
      <c r="B78" t="e">
        <f>_xlfn.XLOOKUP(A78,'Product info'!A:A,'Product info'!C:C,,2)</f>
        <v>#N/A</v>
      </c>
      <c r="C78" s="69" t="s">
        <v>688</v>
      </c>
      <c r="D78" s="7" t="s">
        <v>689</v>
      </c>
      <c r="E78" s="7" t="s">
        <v>747</v>
      </c>
      <c r="F78" s="7" t="s">
        <v>696</v>
      </c>
      <c r="G78" s="7" t="s">
        <v>773</v>
      </c>
      <c r="H78" s="7" t="s">
        <v>774</v>
      </c>
      <c r="I78" s="7" t="s">
        <v>803</v>
      </c>
      <c r="J78" s="7" t="s">
        <v>804</v>
      </c>
      <c r="K78" s="7" t="s">
        <v>805</v>
      </c>
      <c r="L78" s="7" t="s">
        <v>806</v>
      </c>
      <c r="M78" s="7" t="s">
        <v>807</v>
      </c>
      <c r="N78" s="7" t="s">
        <v>808</v>
      </c>
      <c r="O78" s="7" t="s">
        <v>809</v>
      </c>
    </row>
    <row r="79" spans="1:45" ht="78" customHeight="1" x14ac:dyDescent="0.4">
      <c r="A79" s="67" t="s">
        <v>316</v>
      </c>
      <c r="B79" t="e">
        <f>_xlfn.XLOOKUP(A79,'Product info'!A:A,'Product info'!C:C,,2)</f>
        <v>#N/A</v>
      </c>
      <c r="C79" s="69" t="s">
        <v>688</v>
      </c>
      <c r="D79" s="7" t="s">
        <v>689</v>
      </c>
      <c r="E79" s="7" t="s">
        <v>690</v>
      </c>
      <c r="F79" s="7" t="s">
        <v>691</v>
      </c>
      <c r="G79" s="7" t="s">
        <v>692</v>
      </c>
      <c r="H79" s="7" t="s">
        <v>693</v>
      </c>
      <c r="I79" s="7" t="s">
        <v>694</v>
      </c>
      <c r="J79" s="7" t="s">
        <v>695</v>
      </c>
      <c r="K79" s="7" t="s">
        <v>696</v>
      </c>
      <c r="L79" s="7" t="s">
        <v>697</v>
      </c>
      <c r="M79" s="7" t="s">
        <v>698</v>
      </c>
      <c r="N79" s="7" t="s">
        <v>699</v>
      </c>
      <c r="O79" s="7" t="s">
        <v>700</v>
      </c>
      <c r="P79" s="7" t="s">
        <v>701</v>
      </c>
      <c r="Q79" s="7" t="s">
        <v>702</v>
      </c>
      <c r="R79" s="7" t="s">
        <v>703</v>
      </c>
      <c r="S79" s="7" t="s">
        <v>704</v>
      </c>
      <c r="T79" s="7" t="s">
        <v>705</v>
      </c>
      <c r="U79" s="7" t="s">
        <v>706</v>
      </c>
      <c r="V79" s="7" t="s">
        <v>707</v>
      </c>
      <c r="W79" s="7" t="s">
        <v>708</v>
      </c>
      <c r="X79" s="7" t="s">
        <v>709</v>
      </c>
      <c r="Y79" s="7" t="s">
        <v>710</v>
      </c>
      <c r="Z79" s="7" t="s">
        <v>711</v>
      </c>
      <c r="AA79" s="7" t="s">
        <v>712</v>
      </c>
      <c r="AB79" s="7" t="s">
        <v>694</v>
      </c>
      <c r="AC79" s="7" t="s">
        <v>713</v>
      </c>
      <c r="AD79" s="7" t="s">
        <v>714</v>
      </c>
      <c r="AE79" s="7" t="s">
        <v>715</v>
      </c>
      <c r="AF79" s="7" t="s">
        <v>716</v>
      </c>
      <c r="AG79" s="7" t="s">
        <v>688</v>
      </c>
      <c r="AH79" s="7" t="s">
        <v>689</v>
      </c>
      <c r="AI79" s="7" t="s">
        <v>747</v>
      </c>
      <c r="AJ79" s="7" t="s">
        <v>696</v>
      </c>
      <c r="AK79" s="7" t="s">
        <v>773</v>
      </c>
      <c r="AL79" s="7" t="s">
        <v>774</v>
      </c>
      <c r="AM79" s="7" t="s">
        <v>803</v>
      </c>
      <c r="AN79" s="7" t="s">
        <v>804</v>
      </c>
      <c r="AO79" s="7" t="s">
        <v>805</v>
      </c>
      <c r="AP79" s="7" t="s">
        <v>806</v>
      </c>
      <c r="AQ79" s="7" t="s">
        <v>807</v>
      </c>
      <c r="AR79" s="7" t="s">
        <v>808</v>
      </c>
      <c r="AS79" s="7" t="s">
        <v>809</v>
      </c>
    </row>
    <row r="80" spans="1:45" ht="78" customHeight="1" x14ac:dyDescent="0.4">
      <c r="A80" s="67" t="s">
        <v>319</v>
      </c>
      <c r="B80" t="e">
        <f>_xlfn.XLOOKUP(A80,'Product info'!A:A,'Product info'!C:C,,2)</f>
        <v>#N/A</v>
      </c>
      <c r="C80" s="69" t="s">
        <v>688</v>
      </c>
      <c r="D80" s="7" t="s">
        <v>689</v>
      </c>
      <c r="E80" s="7" t="s">
        <v>690</v>
      </c>
      <c r="F80" s="7" t="s">
        <v>691</v>
      </c>
      <c r="G80" s="7" t="s">
        <v>692</v>
      </c>
      <c r="H80" s="7" t="s">
        <v>693</v>
      </c>
      <c r="I80" s="7" t="s">
        <v>694</v>
      </c>
      <c r="J80" s="7" t="s">
        <v>695</v>
      </c>
      <c r="K80" s="7" t="s">
        <v>696</v>
      </c>
      <c r="L80" s="7" t="s">
        <v>697</v>
      </c>
      <c r="M80" s="7" t="s">
        <v>698</v>
      </c>
      <c r="N80" s="7" t="s">
        <v>699</v>
      </c>
      <c r="O80" s="7" t="s">
        <v>700</v>
      </c>
      <c r="P80" s="7" t="s">
        <v>701</v>
      </c>
      <c r="Q80" s="7" t="s">
        <v>702</v>
      </c>
      <c r="R80" s="7" t="s">
        <v>703</v>
      </c>
      <c r="S80" s="7" t="s">
        <v>704</v>
      </c>
      <c r="T80" s="7" t="s">
        <v>705</v>
      </c>
      <c r="U80" s="7" t="s">
        <v>706</v>
      </c>
      <c r="V80" s="7" t="s">
        <v>707</v>
      </c>
      <c r="W80" s="7" t="s">
        <v>708</v>
      </c>
      <c r="X80" s="7" t="s">
        <v>709</v>
      </c>
      <c r="Y80" s="7" t="s">
        <v>710</v>
      </c>
      <c r="Z80" s="7" t="s">
        <v>711</v>
      </c>
      <c r="AA80" s="7" t="s">
        <v>712</v>
      </c>
      <c r="AB80" s="7" t="s">
        <v>694</v>
      </c>
      <c r="AC80" s="7" t="s">
        <v>713</v>
      </c>
      <c r="AD80" s="7" t="s">
        <v>714</v>
      </c>
      <c r="AE80" s="7" t="s">
        <v>715</v>
      </c>
      <c r="AF80" s="7" t="s">
        <v>716</v>
      </c>
      <c r="AG80" s="7" t="s">
        <v>688</v>
      </c>
      <c r="AH80" s="7" t="s">
        <v>689</v>
      </c>
      <c r="AI80" s="7" t="s">
        <v>747</v>
      </c>
      <c r="AJ80" s="7" t="s">
        <v>696</v>
      </c>
      <c r="AK80" s="7" t="s">
        <v>773</v>
      </c>
      <c r="AL80" s="7" t="s">
        <v>774</v>
      </c>
      <c r="AM80" s="7" t="s">
        <v>803</v>
      </c>
      <c r="AN80" s="7" t="s">
        <v>804</v>
      </c>
      <c r="AO80" s="7" t="s">
        <v>805</v>
      </c>
      <c r="AP80" s="7" t="s">
        <v>806</v>
      </c>
      <c r="AQ80" s="7" t="s">
        <v>807</v>
      </c>
      <c r="AR80" s="7" t="s">
        <v>808</v>
      </c>
      <c r="AS80" s="7" t="s">
        <v>809</v>
      </c>
    </row>
    <row r="81" spans="1:52" ht="78" customHeight="1" x14ac:dyDescent="0.4">
      <c r="A81" s="67" t="s">
        <v>109</v>
      </c>
      <c r="B81" t="str">
        <f>_xlfn.XLOOKUP(A81,'Product info'!A:A,'Product info'!C:C,,2)</f>
        <v>Blanket blossom UK</v>
      </c>
      <c r="C81" s="69" t="s">
        <v>688</v>
      </c>
      <c r="D81" s="7" t="s">
        <v>689</v>
      </c>
      <c r="E81" s="7" t="s">
        <v>690</v>
      </c>
      <c r="F81" s="7" t="s">
        <v>691</v>
      </c>
      <c r="G81" s="7" t="s">
        <v>692</v>
      </c>
      <c r="H81" s="7" t="s">
        <v>693</v>
      </c>
      <c r="I81" s="7" t="s">
        <v>694</v>
      </c>
      <c r="J81" s="7" t="s">
        <v>695</v>
      </c>
      <c r="K81" s="7" t="s">
        <v>696</v>
      </c>
      <c r="L81" s="7" t="s">
        <v>697</v>
      </c>
      <c r="M81" s="7" t="s">
        <v>698</v>
      </c>
      <c r="N81" s="7" t="s">
        <v>699</v>
      </c>
      <c r="O81" s="7" t="s">
        <v>700</v>
      </c>
      <c r="P81" s="7" t="s">
        <v>701</v>
      </c>
      <c r="Q81" s="7" t="s">
        <v>702</v>
      </c>
      <c r="R81" s="7" t="s">
        <v>703</v>
      </c>
      <c r="S81" s="7" t="s">
        <v>704</v>
      </c>
      <c r="T81" s="7" t="s">
        <v>705</v>
      </c>
      <c r="U81" s="7" t="s">
        <v>706</v>
      </c>
      <c r="V81" s="7" t="s">
        <v>707</v>
      </c>
      <c r="W81" s="7" t="s">
        <v>708</v>
      </c>
      <c r="X81" s="7" t="s">
        <v>709</v>
      </c>
      <c r="Y81" s="7" t="s">
        <v>710</v>
      </c>
      <c r="Z81" s="7" t="s">
        <v>711</v>
      </c>
      <c r="AA81" s="7" t="s">
        <v>712</v>
      </c>
      <c r="AB81" s="7" t="s">
        <v>694</v>
      </c>
      <c r="AC81" s="7" t="s">
        <v>713</v>
      </c>
      <c r="AD81" s="7" t="s">
        <v>714</v>
      </c>
      <c r="AE81" s="7" t="s">
        <v>715</v>
      </c>
      <c r="AF81" s="7" t="s">
        <v>716</v>
      </c>
      <c r="AG81" s="7" t="s">
        <v>788</v>
      </c>
      <c r="AH81" s="7" t="s">
        <v>789</v>
      </c>
      <c r="AI81" s="7" t="s">
        <v>790</v>
      </c>
      <c r="AJ81" s="7" t="s">
        <v>791</v>
      </c>
      <c r="AK81" s="7" t="s">
        <v>810</v>
      </c>
      <c r="AL81" s="7" t="s">
        <v>793</v>
      </c>
      <c r="AM81" s="7" t="s">
        <v>747</v>
      </c>
      <c r="AN81" s="7" t="s">
        <v>696</v>
      </c>
      <c r="AO81" s="7" t="s">
        <v>773</v>
      </c>
      <c r="AP81" s="7" t="s">
        <v>811</v>
      </c>
    </row>
    <row r="82" spans="1:52" ht="78" customHeight="1" x14ac:dyDescent="0.4">
      <c r="A82" s="67" t="s">
        <v>138</v>
      </c>
      <c r="B82" t="e">
        <f>_xlfn.XLOOKUP(A82,'Product info'!A:A,'Product info'!C:C,,2)</f>
        <v>#N/A</v>
      </c>
      <c r="C82" s="69" t="s">
        <v>688</v>
      </c>
      <c r="D82" s="7" t="s">
        <v>689</v>
      </c>
      <c r="E82" s="7" t="s">
        <v>747</v>
      </c>
      <c r="F82" s="7" t="s">
        <v>696</v>
      </c>
      <c r="G82" s="7" t="s">
        <v>773</v>
      </c>
      <c r="H82" s="7" t="s">
        <v>774</v>
      </c>
      <c r="I82" s="7" t="s">
        <v>788</v>
      </c>
      <c r="J82" s="7" t="s">
        <v>789</v>
      </c>
      <c r="K82" s="7" t="s">
        <v>790</v>
      </c>
      <c r="L82" s="7" t="s">
        <v>791</v>
      </c>
      <c r="M82" s="7" t="s">
        <v>792</v>
      </c>
      <c r="N82" s="7" t="s">
        <v>793</v>
      </c>
    </row>
    <row r="83" spans="1:52" ht="78" customHeight="1" x14ac:dyDescent="0.4">
      <c r="A83" s="67" t="s">
        <v>134</v>
      </c>
      <c r="B83" t="e">
        <f>_xlfn.XLOOKUP(A83,'Product info'!A:A,'Product info'!C:C,,2)</f>
        <v>#N/A</v>
      </c>
      <c r="C83" s="69" t="s">
        <v>688</v>
      </c>
      <c r="D83" s="7" t="s">
        <v>689</v>
      </c>
      <c r="E83" s="7" t="s">
        <v>690</v>
      </c>
      <c r="F83" s="7" t="s">
        <v>691</v>
      </c>
      <c r="G83" s="7" t="s">
        <v>692</v>
      </c>
      <c r="H83" s="7" t="s">
        <v>693</v>
      </c>
      <c r="I83" s="7" t="s">
        <v>694</v>
      </c>
      <c r="J83" s="7" t="s">
        <v>695</v>
      </c>
      <c r="K83" s="7" t="s">
        <v>696</v>
      </c>
      <c r="L83" s="7" t="s">
        <v>697</v>
      </c>
      <c r="M83" s="7" t="s">
        <v>698</v>
      </c>
      <c r="N83" s="7" t="s">
        <v>699</v>
      </c>
      <c r="O83" s="7" t="s">
        <v>700</v>
      </c>
      <c r="P83" s="7" t="s">
        <v>701</v>
      </c>
      <c r="Q83" s="7" t="s">
        <v>702</v>
      </c>
      <c r="R83" s="7" t="s">
        <v>703</v>
      </c>
      <c r="S83" s="7" t="s">
        <v>704</v>
      </c>
      <c r="T83" s="7" t="s">
        <v>705</v>
      </c>
      <c r="U83" s="7" t="s">
        <v>706</v>
      </c>
      <c r="V83" s="7" t="s">
        <v>707</v>
      </c>
      <c r="W83" s="7" t="s">
        <v>708</v>
      </c>
      <c r="X83" s="7" t="s">
        <v>709</v>
      </c>
      <c r="Y83" s="7" t="s">
        <v>710</v>
      </c>
      <c r="Z83" s="7" t="s">
        <v>711</v>
      </c>
      <c r="AA83" s="7" t="s">
        <v>712</v>
      </c>
      <c r="AB83" s="7" t="s">
        <v>694</v>
      </c>
      <c r="AC83" s="7" t="s">
        <v>713</v>
      </c>
      <c r="AD83" s="7" t="s">
        <v>714</v>
      </c>
      <c r="AE83" s="7" t="s">
        <v>715</v>
      </c>
      <c r="AF83" s="7" t="s">
        <v>716</v>
      </c>
      <c r="AG83" s="7" t="s">
        <v>688</v>
      </c>
      <c r="AH83" s="7" t="s">
        <v>689</v>
      </c>
      <c r="AI83" s="7" t="s">
        <v>747</v>
      </c>
      <c r="AJ83" s="7" t="s">
        <v>696</v>
      </c>
      <c r="AK83" s="7" t="s">
        <v>773</v>
      </c>
      <c r="AL83" s="7" t="s">
        <v>774</v>
      </c>
      <c r="AM83" s="7" t="s">
        <v>788</v>
      </c>
      <c r="AN83" s="7" t="s">
        <v>789</v>
      </c>
      <c r="AO83" s="7" t="s">
        <v>790</v>
      </c>
      <c r="AP83" s="7" t="s">
        <v>791</v>
      </c>
      <c r="AQ83" s="7" t="s">
        <v>792</v>
      </c>
      <c r="AR83" s="7" t="s">
        <v>793</v>
      </c>
    </row>
    <row r="84" spans="1:52" ht="78" customHeight="1" x14ac:dyDescent="0.4">
      <c r="A84" s="67" t="s">
        <v>135</v>
      </c>
      <c r="B84" t="e">
        <f>_xlfn.XLOOKUP(A84,'Product info'!A:A,'Product info'!C:C,,2)</f>
        <v>#N/A</v>
      </c>
      <c r="C84" s="69" t="s">
        <v>688</v>
      </c>
      <c r="D84" s="7" t="s">
        <v>689</v>
      </c>
      <c r="E84" s="7" t="s">
        <v>690</v>
      </c>
      <c r="F84" s="7" t="s">
        <v>691</v>
      </c>
      <c r="G84" s="7" t="s">
        <v>692</v>
      </c>
      <c r="H84" s="7" t="s">
        <v>693</v>
      </c>
      <c r="I84" s="7" t="s">
        <v>694</v>
      </c>
      <c r="J84" s="7" t="s">
        <v>695</v>
      </c>
      <c r="K84" s="7" t="s">
        <v>696</v>
      </c>
      <c r="L84" s="7" t="s">
        <v>697</v>
      </c>
      <c r="M84" s="7" t="s">
        <v>698</v>
      </c>
      <c r="N84" s="7" t="s">
        <v>699</v>
      </c>
      <c r="O84" s="7" t="s">
        <v>700</v>
      </c>
      <c r="P84" s="7" t="s">
        <v>701</v>
      </c>
      <c r="Q84" s="7" t="s">
        <v>702</v>
      </c>
      <c r="R84" s="7" t="s">
        <v>703</v>
      </c>
      <c r="S84" s="7" t="s">
        <v>704</v>
      </c>
      <c r="T84" s="7" t="s">
        <v>705</v>
      </c>
      <c r="U84" s="7" t="s">
        <v>706</v>
      </c>
      <c r="V84" s="7" t="s">
        <v>707</v>
      </c>
      <c r="W84" s="7" t="s">
        <v>708</v>
      </c>
      <c r="X84" s="7" t="s">
        <v>709</v>
      </c>
      <c r="Y84" s="7" t="s">
        <v>710</v>
      </c>
      <c r="Z84" s="7" t="s">
        <v>711</v>
      </c>
      <c r="AA84" s="7" t="s">
        <v>712</v>
      </c>
      <c r="AB84" s="7" t="s">
        <v>694</v>
      </c>
      <c r="AC84" s="7" t="s">
        <v>713</v>
      </c>
      <c r="AD84" s="7" t="s">
        <v>714</v>
      </c>
      <c r="AE84" s="7" t="s">
        <v>715</v>
      </c>
      <c r="AF84" s="7" t="s">
        <v>716</v>
      </c>
      <c r="AG84" s="7" t="s">
        <v>688</v>
      </c>
      <c r="AH84" s="7" t="s">
        <v>689</v>
      </c>
      <c r="AI84" s="7" t="s">
        <v>747</v>
      </c>
      <c r="AJ84" s="7" t="s">
        <v>696</v>
      </c>
      <c r="AK84" s="7" t="s">
        <v>773</v>
      </c>
      <c r="AL84" s="7" t="s">
        <v>774</v>
      </c>
      <c r="AM84" s="7" t="s">
        <v>788</v>
      </c>
      <c r="AN84" s="7" t="s">
        <v>789</v>
      </c>
      <c r="AO84" s="7" t="s">
        <v>790</v>
      </c>
      <c r="AP84" s="7" t="s">
        <v>791</v>
      </c>
      <c r="AQ84" s="7" t="s">
        <v>792</v>
      </c>
      <c r="AR84" s="7" t="s">
        <v>793</v>
      </c>
    </row>
    <row r="85" spans="1:52" ht="78" customHeight="1" x14ac:dyDescent="0.4">
      <c r="A85" s="67" t="s">
        <v>175</v>
      </c>
      <c r="B85" t="e">
        <f>_xlfn.XLOOKUP(A85,'Product info'!A:A,'Product info'!C:C,,2)</f>
        <v>#N/A</v>
      </c>
      <c r="C85" s="69" t="s">
        <v>688</v>
      </c>
      <c r="D85" s="7" t="s">
        <v>689</v>
      </c>
      <c r="E85" s="7" t="s">
        <v>747</v>
      </c>
      <c r="F85" s="7" t="s">
        <v>696</v>
      </c>
      <c r="G85" s="7" t="s">
        <v>773</v>
      </c>
      <c r="H85" s="7" t="s">
        <v>812</v>
      </c>
      <c r="I85" s="7" t="s">
        <v>813</v>
      </c>
      <c r="J85" s="7" t="s">
        <v>814</v>
      </c>
      <c r="K85" s="7" t="s">
        <v>815</v>
      </c>
      <c r="L85" s="7" t="s">
        <v>816</v>
      </c>
      <c r="M85" s="7" t="s">
        <v>817</v>
      </c>
      <c r="N85" s="7" t="s">
        <v>818</v>
      </c>
      <c r="O85" s="7" t="s">
        <v>819</v>
      </c>
      <c r="P85" s="7" t="s">
        <v>820</v>
      </c>
      <c r="Q85" s="7" t="s">
        <v>821</v>
      </c>
      <c r="R85" s="7" t="s">
        <v>822</v>
      </c>
      <c r="S85" s="7" t="s">
        <v>823</v>
      </c>
    </row>
    <row r="86" spans="1:52" ht="78" customHeight="1" x14ac:dyDescent="0.4">
      <c r="A86" s="67" t="s">
        <v>561</v>
      </c>
      <c r="B86" t="e">
        <f>_xlfn.XLOOKUP(A86,'Product info'!A:A,'Product info'!C:C,,2)</f>
        <v>#N/A</v>
      </c>
      <c r="C86" s="69" t="s">
        <v>688</v>
      </c>
      <c r="D86" s="7" t="s">
        <v>689</v>
      </c>
      <c r="E86" s="7" t="s">
        <v>690</v>
      </c>
      <c r="F86" s="7" t="s">
        <v>691</v>
      </c>
      <c r="G86" s="7" t="s">
        <v>692</v>
      </c>
      <c r="H86" s="7" t="s">
        <v>693</v>
      </c>
      <c r="I86" s="7" t="s">
        <v>694</v>
      </c>
      <c r="J86" s="7" t="s">
        <v>695</v>
      </c>
      <c r="K86" s="7" t="s">
        <v>696</v>
      </c>
      <c r="L86" s="7" t="s">
        <v>697</v>
      </c>
      <c r="M86" s="7" t="s">
        <v>698</v>
      </c>
      <c r="N86" s="7" t="s">
        <v>699</v>
      </c>
      <c r="O86" s="7" t="s">
        <v>700</v>
      </c>
      <c r="P86" s="7" t="s">
        <v>701</v>
      </c>
      <c r="Q86" s="7" t="s">
        <v>702</v>
      </c>
      <c r="R86" s="7" t="s">
        <v>703</v>
      </c>
      <c r="S86" s="7" t="s">
        <v>704</v>
      </c>
      <c r="T86" s="7" t="s">
        <v>705</v>
      </c>
      <c r="U86" s="7" t="s">
        <v>706</v>
      </c>
      <c r="V86" s="7" t="s">
        <v>707</v>
      </c>
      <c r="W86" s="7" t="s">
        <v>708</v>
      </c>
      <c r="X86" s="7" t="s">
        <v>709</v>
      </c>
      <c r="Y86" s="7" t="s">
        <v>710</v>
      </c>
      <c r="Z86" s="7" t="s">
        <v>711</v>
      </c>
      <c r="AA86" s="7" t="s">
        <v>712</v>
      </c>
      <c r="AB86" s="7" t="s">
        <v>694</v>
      </c>
      <c r="AC86" s="7" t="s">
        <v>713</v>
      </c>
      <c r="AD86" s="7" t="s">
        <v>714</v>
      </c>
      <c r="AE86" s="7" t="s">
        <v>715</v>
      </c>
      <c r="AF86" s="7" t="s">
        <v>716</v>
      </c>
      <c r="AG86" s="7" t="s">
        <v>688</v>
      </c>
      <c r="AH86" s="7" t="s">
        <v>689</v>
      </c>
      <c r="AI86" s="7" t="s">
        <v>747</v>
      </c>
      <c r="AJ86" s="7" t="s">
        <v>696</v>
      </c>
      <c r="AK86" s="7" t="s">
        <v>773</v>
      </c>
      <c r="AL86" s="7" t="s">
        <v>824</v>
      </c>
      <c r="AM86" s="7" t="s">
        <v>825</v>
      </c>
      <c r="AN86" s="7" t="s">
        <v>826</v>
      </c>
      <c r="AO86" s="7" t="s">
        <v>827</v>
      </c>
      <c r="AP86" s="7" t="s">
        <v>828</v>
      </c>
      <c r="AQ86" s="7" t="s">
        <v>829</v>
      </c>
      <c r="AR86" s="7" t="s">
        <v>830</v>
      </c>
      <c r="AS86" s="7" t="s">
        <v>831</v>
      </c>
      <c r="AT86" s="7" t="s">
        <v>832</v>
      </c>
      <c r="AU86" s="7" t="s">
        <v>833</v>
      </c>
      <c r="AV86" s="7" t="s">
        <v>834</v>
      </c>
      <c r="AW86" s="7" t="s">
        <v>835</v>
      </c>
      <c r="AX86" s="7" t="s">
        <v>836</v>
      </c>
      <c r="AY86" s="7" t="s">
        <v>837</v>
      </c>
    </row>
    <row r="87" spans="1:52" ht="78" customHeight="1" x14ac:dyDescent="0.4">
      <c r="A87" s="67" t="s">
        <v>386</v>
      </c>
      <c r="B87" t="e">
        <f>_xlfn.XLOOKUP(A87,'Product info'!A:A,'Product info'!C:C,,2)</f>
        <v>#N/A</v>
      </c>
      <c r="C87" s="69" t="s">
        <v>688</v>
      </c>
      <c r="D87" s="7" t="s">
        <v>689</v>
      </c>
      <c r="E87" s="7" t="s">
        <v>690</v>
      </c>
      <c r="F87" s="7" t="s">
        <v>691</v>
      </c>
      <c r="G87" s="7" t="s">
        <v>692</v>
      </c>
      <c r="H87" s="7" t="s">
        <v>693</v>
      </c>
      <c r="I87" s="7" t="s">
        <v>694</v>
      </c>
      <c r="J87" s="7" t="s">
        <v>695</v>
      </c>
      <c r="K87" s="7" t="s">
        <v>696</v>
      </c>
      <c r="L87" s="7" t="s">
        <v>697</v>
      </c>
      <c r="M87" s="7" t="s">
        <v>698</v>
      </c>
      <c r="N87" s="7" t="s">
        <v>699</v>
      </c>
      <c r="O87" s="7" t="s">
        <v>700</v>
      </c>
      <c r="P87" s="7" t="s">
        <v>701</v>
      </c>
      <c r="Q87" s="7" t="s">
        <v>702</v>
      </c>
      <c r="R87" s="7" t="s">
        <v>703</v>
      </c>
      <c r="S87" s="7" t="s">
        <v>704</v>
      </c>
      <c r="T87" s="7" t="s">
        <v>705</v>
      </c>
      <c r="U87" s="7" t="s">
        <v>706</v>
      </c>
      <c r="V87" s="7" t="s">
        <v>707</v>
      </c>
      <c r="W87" s="7" t="s">
        <v>708</v>
      </c>
      <c r="X87" s="7" t="s">
        <v>709</v>
      </c>
      <c r="Y87" s="7" t="s">
        <v>710</v>
      </c>
      <c r="Z87" s="7" t="s">
        <v>711</v>
      </c>
      <c r="AA87" s="7" t="s">
        <v>712</v>
      </c>
      <c r="AB87" s="7" t="s">
        <v>694</v>
      </c>
      <c r="AC87" s="7" t="s">
        <v>713</v>
      </c>
      <c r="AD87" s="7" t="s">
        <v>714</v>
      </c>
      <c r="AE87" s="7" t="s">
        <v>715</v>
      </c>
      <c r="AF87" s="7" t="s">
        <v>716</v>
      </c>
      <c r="AG87" s="7" t="s">
        <v>688</v>
      </c>
      <c r="AH87" s="7" t="s">
        <v>689</v>
      </c>
      <c r="AI87" s="7" t="s">
        <v>747</v>
      </c>
      <c r="AJ87" s="7" t="s">
        <v>696</v>
      </c>
      <c r="AK87" s="7" t="s">
        <v>773</v>
      </c>
    </row>
    <row r="88" spans="1:52" ht="78" customHeight="1" x14ac:dyDescent="0.4">
      <c r="A88" s="67" t="s">
        <v>295</v>
      </c>
      <c r="B88" t="e">
        <f>_xlfn.XLOOKUP(A88,'Product info'!A:A,'Product info'!C:C,,2)</f>
        <v>#N/A</v>
      </c>
      <c r="C88" s="69" t="s">
        <v>688</v>
      </c>
      <c r="D88" s="7" t="s">
        <v>689</v>
      </c>
      <c r="E88" s="7" t="s">
        <v>690</v>
      </c>
      <c r="F88" s="7" t="s">
        <v>691</v>
      </c>
      <c r="G88" s="7" t="s">
        <v>692</v>
      </c>
      <c r="H88" s="7" t="s">
        <v>693</v>
      </c>
      <c r="I88" s="7" t="s">
        <v>694</v>
      </c>
      <c r="J88" s="7" t="s">
        <v>695</v>
      </c>
      <c r="K88" s="7" t="s">
        <v>696</v>
      </c>
      <c r="L88" s="7" t="s">
        <v>697</v>
      </c>
      <c r="M88" s="7" t="s">
        <v>698</v>
      </c>
      <c r="N88" s="7" t="s">
        <v>699</v>
      </c>
      <c r="O88" s="7" t="s">
        <v>700</v>
      </c>
      <c r="P88" s="7" t="s">
        <v>701</v>
      </c>
      <c r="Q88" s="7" t="s">
        <v>702</v>
      </c>
      <c r="R88" s="7" t="s">
        <v>703</v>
      </c>
      <c r="S88" s="7" t="s">
        <v>704</v>
      </c>
      <c r="T88" s="7" t="s">
        <v>705</v>
      </c>
      <c r="U88" s="7" t="s">
        <v>706</v>
      </c>
      <c r="V88" s="7" t="s">
        <v>707</v>
      </c>
      <c r="W88" s="7" t="s">
        <v>708</v>
      </c>
      <c r="X88" s="7" t="s">
        <v>709</v>
      </c>
      <c r="Y88" s="7" t="s">
        <v>710</v>
      </c>
      <c r="Z88" s="7" t="s">
        <v>711</v>
      </c>
      <c r="AA88" s="7" t="s">
        <v>712</v>
      </c>
      <c r="AB88" s="7" t="s">
        <v>694</v>
      </c>
      <c r="AC88" s="7" t="s">
        <v>713</v>
      </c>
      <c r="AD88" s="7" t="s">
        <v>714</v>
      </c>
      <c r="AE88" s="7" t="s">
        <v>715</v>
      </c>
      <c r="AF88" s="7" t="s">
        <v>716</v>
      </c>
      <c r="AG88" s="7" t="s">
        <v>688</v>
      </c>
      <c r="AH88" s="7" t="s">
        <v>689</v>
      </c>
      <c r="AI88" s="7" t="s">
        <v>747</v>
      </c>
      <c r="AJ88" s="7" t="s">
        <v>696</v>
      </c>
      <c r="AK88" s="7" t="s">
        <v>773</v>
      </c>
      <c r="AL88" s="7" t="s">
        <v>838</v>
      </c>
      <c r="AM88" s="7" t="s">
        <v>839</v>
      </c>
      <c r="AN88" s="7" t="s">
        <v>840</v>
      </c>
      <c r="AO88" s="7" t="s">
        <v>841</v>
      </c>
      <c r="AP88" s="7" t="s">
        <v>842</v>
      </c>
      <c r="AQ88" s="7" t="s">
        <v>843</v>
      </c>
    </row>
    <row r="89" spans="1:52" ht="78" customHeight="1" x14ac:dyDescent="0.4">
      <c r="A89" s="67" t="s">
        <v>503</v>
      </c>
      <c r="B89" t="e">
        <f>_xlfn.XLOOKUP(A89,'Product info'!A:A,'Product info'!C:C,,2)</f>
        <v>#N/A</v>
      </c>
      <c r="C89" s="69" t="s">
        <v>688</v>
      </c>
      <c r="D89" s="7" t="s">
        <v>689</v>
      </c>
      <c r="E89" s="7" t="s">
        <v>690</v>
      </c>
      <c r="F89" s="7" t="s">
        <v>691</v>
      </c>
      <c r="G89" s="7" t="s">
        <v>692</v>
      </c>
      <c r="H89" s="7" t="s">
        <v>693</v>
      </c>
      <c r="I89" s="7" t="s">
        <v>694</v>
      </c>
      <c r="J89" s="7" t="s">
        <v>695</v>
      </c>
      <c r="K89" s="7" t="s">
        <v>696</v>
      </c>
      <c r="L89" s="7" t="s">
        <v>697</v>
      </c>
      <c r="M89" s="7" t="s">
        <v>698</v>
      </c>
      <c r="N89" s="7" t="s">
        <v>699</v>
      </c>
      <c r="O89" s="7" t="s">
        <v>700</v>
      </c>
      <c r="P89" s="7" t="s">
        <v>701</v>
      </c>
      <c r="Q89" s="7" t="s">
        <v>702</v>
      </c>
      <c r="R89" s="7" t="s">
        <v>703</v>
      </c>
      <c r="S89" s="7" t="s">
        <v>704</v>
      </c>
      <c r="T89" s="7" t="s">
        <v>705</v>
      </c>
      <c r="U89" s="7" t="s">
        <v>706</v>
      </c>
      <c r="V89" s="7" t="s">
        <v>707</v>
      </c>
      <c r="W89" s="7" t="s">
        <v>708</v>
      </c>
      <c r="X89" s="7" t="s">
        <v>709</v>
      </c>
      <c r="Y89" s="7" t="s">
        <v>710</v>
      </c>
      <c r="Z89" s="7" t="s">
        <v>711</v>
      </c>
      <c r="AA89" s="7" t="s">
        <v>712</v>
      </c>
      <c r="AB89" s="7" t="s">
        <v>694</v>
      </c>
      <c r="AC89" s="7" t="s">
        <v>713</v>
      </c>
      <c r="AD89" s="7" t="s">
        <v>714</v>
      </c>
      <c r="AE89" s="7" t="s">
        <v>715</v>
      </c>
      <c r="AF89" s="7" t="s">
        <v>716</v>
      </c>
      <c r="AG89" s="7" t="s">
        <v>688</v>
      </c>
      <c r="AH89" s="7" t="s">
        <v>689</v>
      </c>
      <c r="AI89" s="7" t="s">
        <v>747</v>
      </c>
      <c r="AJ89" s="7" t="s">
        <v>696</v>
      </c>
      <c r="AK89" s="7" t="s">
        <v>773</v>
      </c>
      <c r="AL89" s="7" t="s">
        <v>844</v>
      </c>
      <c r="AM89" s="7" t="s">
        <v>845</v>
      </c>
      <c r="AN89" s="7" t="s">
        <v>846</v>
      </c>
      <c r="AO89" s="7" t="s">
        <v>847</v>
      </c>
      <c r="AP89" s="7" t="s">
        <v>848</v>
      </c>
      <c r="AQ89" s="7" t="s">
        <v>849</v>
      </c>
      <c r="AR89" s="7" t="s">
        <v>850</v>
      </c>
      <c r="AS89" s="7" t="s">
        <v>851</v>
      </c>
      <c r="AT89" s="7" t="s">
        <v>852</v>
      </c>
      <c r="AU89" s="7" t="s">
        <v>853</v>
      </c>
      <c r="AV89" s="7" t="s">
        <v>854</v>
      </c>
      <c r="AW89" s="7" t="s">
        <v>855</v>
      </c>
      <c r="AX89" s="7" t="s">
        <v>856</v>
      </c>
      <c r="AY89" s="7" t="s">
        <v>857</v>
      </c>
      <c r="AZ89" s="7" t="s">
        <v>858</v>
      </c>
    </row>
    <row r="90" spans="1:52" ht="78" customHeight="1" x14ac:dyDescent="0.4">
      <c r="A90" s="67" t="s">
        <v>291</v>
      </c>
      <c r="B90" t="e">
        <f>_xlfn.XLOOKUP(A90,'Product info'!A:A,'Product info'!C:C,,2)</f>
        <v>#N/A</v>
      </c>
      <c r="C90" s="69" t="s">
        <v>688</v>
      </c>
      <c r="D90" s="7" t="s">
        <v>689</v>
      </c>
      <c r="E90" s="7" t="s">
        <v>690</v>
      </c>
      <c r="F90" s="7" t="s">
        <v>691</v>
      </c>
      <c r="G90" s="7" t="s">
        <v>692</v>
      </c>
      <c r="H90" s="7" t="s">
        <v>693</v>
      </c>
      <c r="I90" s="7" t="s">
        <v>694</v>
      </c>
      <c r="J90" s="7" t="s">
        <v>695</v>
      </c>
      <c r="K90" s="7" t="s">
        <v>696</v>
      </c>
      <c r="L90" s="7" t="s">
        <v>697</v>
      </c>
      <c r="M90" s="7" t="s">
        <v>698</v>
      </c>
      <c r="N90" s="7" t="s">
        <v>699</v>
      </c>
      <c r="O90" s="7" t="s">
        <v>700</v>
      </c>
      <c r="P90" s="7" t="s">
        <v>701</v>
      </c>
      <c r="Q90" s="7" t="s">
        <v>702</v>
      </c>
      <c r="R90" s="7" t="s">
        <v>703</v>
      </c>
      <c r="S90" s="7" t="s">
        <v>704</v>
      </c>
      <c r="T90" s="7" t="s">
        <v>705</v>
      </c>
      <c r="U90" s="7" t="s">
        <v>706</v>
      </c>
      <c r="V90" s="7" t="s">
        <v>707</v>
      </c>
      <c r="W90" s="7" t="s">
        <v>708</v>
      </c>
      <c r="X90" s="7" t="s">
        <v>709</v>
      </c>
      <c r="Y90" s="7" t="s">
        <v>710</v>
      </c>
      <c r="Z90" s="7" t="s">
        <v>711</v>
      </c>
      <c r="AA90" s="7" t="s">
        <v>712</v>
      </c>
      <c r="AB90" s="7" t="s">
        <v>694</v>
      </c>
      <c r="AC90" s="7" t="s">
        <v>713</v>
      </c>
      <c r="AD90" s="7" t="s">
        <v>714</v>
      </c>
      <c r="AE90" s="7" t="s">
        <v>715</v>
      </c>
      <c r="AF90" s="7" t="s">
        <v>716</v>
      </c>
      <c r="AG90" s="7" t="s">
        <v>688</v>
      </c>
      <c r="AH90" s="7" t="s">
        <v>689</v>
      </c>
      <c r="AI90" s="7" t="s">
        <v>747</v>
      </c>
      <c r="AJ90" s="7" t="s">
        <v>696</v>
      </c>
      <c r="AK90" s="7" t="s">
        <v>773</v>
      </c>
      <c r="AL90" s="7" t="s">
        <v>838</v>
      </c>
      <c r="AM90" s="7" t="s">
        <v>839</v>
      </c>
      <c r="AN90" s="7" t="s">
        <v>840</v>
      </c>
      <c r="AO90" s="7" t="s">
        <v>841</v>
      </c>
      <c r="AP90" s="7" t="s">
        <v>842</v>
      </c>
      <c r="AQ90" s="7" t="s">
        <v>843</v>
      </c>
    </row>
    <row r="91" spans="1:52" ht="78" customHeight="1" x14ac:dyDescent="0.4">
      <c r="A91" s="67" t="s">
        <v>293</v>
      </c>
      <c r="B91" t="e">
        <f>_xlfn.XLOOKUP(A91,'Product info'!A:A,'Product info'!C:C,,2)</f>
        <v>#N/A</v>
      </c>
      <c r="C91" s="69" t="s">
        <v>688</v>
      </c>
      <c r="D91" s="7" t="s">
        <v>689</v>
      </c>
      <c r="E91" s="7" t="s">
        <v>690</v>
      </c>
      <c r="F91" s="7" t="s">
        <v>691</v>
      </c>
      <c r="G91" s="7" t="s">
        <v>692</v>
      </c>
      <c r="H91" s="7" t="s">
        <v>693</v>
      </c>
      <c r="I91" s="7" t="s">
        <v>694</v>
      </c>
      <c r="J91" s="7" t="s">
        <v>695</v>
      </c>
      <c r="K91" s="7" t="s">
        <v>696</v>
      </c>
      <c r="L91" s="7" t="s">
        <v>697</v>
      </c>
      <c r="M91" s="7" t="s">
        <v>698</v>
      </c>
      <c r="N91" s="7" t="s">
        <v>699</v>
      </c>
      <c r="O91" s="7" t="s">
        <v>700</v>
      </c>
      <c r="P91" s="7" t="s">
        <v>701</v>
      </c>
      <c r="Q91" s="7" t="s">
        <v>702</v>
      </c>
      <c r="R91" s="7" t="s">
        <v>703</v>
      </c>
      <c r="S91" s="7" t="s">
        <v>704</v>
      </c>
      <c r="T91" s="7" t="s">
        <v>705</v>
      </c>
      <c r="U91" s="7" t="s">
        <v>706</v>
      </c>
      <c r="V91" s="7" t="s">
        <v>707</v>
      </c>
      <c r="W91" s="7" t="s">
        <v>708</v>
      </c>
      <c r="X91" s="7" t="s">
        <v>709</v>
      </c>
      <c r="Y91" s="7" t="s">
        <v>710</v>
      </c>
      <c r="Z91" s="7" t="s">
        <v>711</v>
      </c>
      <c r="AA91" s="7" t="s">
        <v>712</v>
      </c>
      <c r="AB91" s="7" t="s">
        <v>694</v>
      </c>
      <c r="AC91" s="7" t="s">
        <v>713</v>
      </c>
      <c r="AD91" s="7" t="s">
        <v>714</v>
      </c>
      <c r="AE91" s="7" t="s">
        <v>715</v>
      </c>
      <c r="AF91" s="7" t="s">
        <v>716</v>
      </c>
      <c r="AG91" s="7" t="s">
        <v>688</v>
      </c>
      <c r="AH91" s="7" t="s">
        <v>689</v>
      </c>
      <c r="AI91" s="7" t="s">
        <v>747</v>
      </c>
      <c r="AJ91" s="7" t="s">
        <v>696</v>
      </c>
      <c r="AK91" s="7" t="s">
        <v>773</v>
      </c>
      <c r="AL91" s="7" t="s">
        <v>838</v>
      </c>
      <c r="AM91" s="7" t="s">
        <v>839</v>
      </c>
      <c r="AN91" s="7" t="s">
        <v>840</v>
      </c>
      <c r="AO91" s="7" t="s">
        <v>841</v>
      </c>
      <c r="AP91" s="7" t="s">
        <v>859</v>
      </c>
      <c r="AQ91" s="7" t="s">
        <v>843</v>
      </c>
    </row>
    <row r="92" spans="1:52" ht="78" customHeight="1" x14ac:dyDescent="0.4">
      <c r="A92" s="67" t="s">
        <v>292</v>
      </c>
      <c r="B92" t="e">
        <f>_xlfn.XLOOKUP(A92,'Product info'!A:A,'Product info'!C:C,,2)</f>
        <v>#N/A</v>
      </c>
      <c r="C92" s="69" t="s">
        <v>688</v>
      </c>
      <c r="D92" s="7" t="s">
        <v>689</v>
      </c>
      <c r="E92" s="7" t="s">
        <v>690</v>
      </c>
      <c r="F92" s="7" t="s">
        <v>691</v>
      </c>
      <c r="G92" s="7" t="s">
        <v>692</v>
      </c>
      <c r="H92" s="7" t="s">
        <v>693</v>
      </c>
      <c r="I92" s="7" t="s">
        <v>694</v>
      </c>
      <c r="J92" s="7" t="s">
        <v>695</v>
      </c>
      <c r="K92" s="7" t="s">
        <v>696</v>
      </c>
      <c r="L92" s="7" t="s">
        <v>697</v>
      </c>
      <c r="M92" s="7" t="s">
        <v>698</v>
      </c>
      <c r="N92" s="7" t="s">
        <v>699</v>
      </c>
      <c r="O92" s="7" t="s">
        <v>700</v>
      </c>
      <c r="P92" s="7" t="s">
        <v>701</v>
      </c>
      <c r="Q92" s="7" t="s">
        <v>702</v>
      </c>
      <c r="R92" s="7" t="s">
        <v>703</v>
      </c>
      <c r="S92" s="7" t="s">
        <v>704</v>
      </c>
      <c r="T92" s="7" t="s">
        <v>705</v>
      </c>
      <c r="U92" s="7" t="s">
        <v>706</v>
      </c>
      <c r="V92" s="7" t="s">
        <v>707</v>
      </c>
      <c r="W92" s="7" t="s">
        <v>708</v>
      </c>
      <c r="X92" s="7" t="s">
        <v>709</v>
      </c>
      <c r="Y92" s="7" t="s">
        <v>710</v>
      </c>
      <c r="Z92" s="7" t="s">
        <v>711</v>
      </c>
      <c r="AA92" s="7" t="s">
        <v>712</v>
      </c>
      <c r="AB92" s="7" t="s">
        <v>694</v>
      </c>
      <c r="AC92" s="7" t="s">
        <v>713</v>
      </c>
      <c r="AD92" s="7" t="s">
        <v>714</v>
      </c>
      <c r="AE92" s="7" t="s">
        <v>715</v>
      </c>
      <c r="AF92" s="7" t="s">
        <v>716</v>
      </c>
      <c r="AG92" s="7" t="s">
        <v>688</v>
      </c>
      <c r="AH92" s="7" t="s">
        <v>689</v>
      </c>
      <c r="AI92" s="7" t="s">
        <v>747</v>
      </c>
      <c r="AJ92" s="7" t="s">
        <v>696</v>
      </c>
      <c r="AK92" s="7" t="s">
        <v>773</v>
      </c>
      <c r="AL92" s="7" t="s">
        <v>838</v>
      </c>
      <c r="AM92" s="7" t="s">
        <v>839</v>
      </c>
      <c r="AN92" s="7" t="s">
        <v>840</v>
      </c>
      <c r="AO92" s="7" t="s">
        <v>841</v>
      </c>
      <c r="AP92" s="7" t="s">
        <v>842</v>
      </c>
      <c r="AQ92" s="7" t="s">
        <v>843</v>
      </c>
    </row>
    <row r="93" spans="1:52" ht="78" customHeight="1" x14ac:dyDescent="0.4">
      <c r="A93" s="67" t="s">
        <v>294</v>
      </c>
      <c r="B93" t="e">
        <f>_xlfn.XLOOKUP(A93,'Product info'!A:A,'Product info'!C:C,,2)</f>
        <v>#N/A</v>
      </c>
      <c r="C93" s="69" t="s">
        <v>688</v>
      </c>
      <c r="D93" s="7" t="s">
        <v>689</v>
      </c>
      <c r="E93" s="7" t="s">
        <v>690</v>
      </c>
      <c r="F93" s="7" t="s">
        <v>691</v>
      </c>
      <c r="G93" s="7" t="s">
        <v>692</v>
      </c>
      <c r="H93" s="7" t="s">
        <v>693</v>
      </c>
      <c r="I93" s="7" t="s">
        <v>694</v>
      </c>
      <c r="J93" s="7" t="s">
        <v>695</v>
      </c>
      <c r="K93" s="7" t="s">
        <v>696</v>
      </c>
      <c r="L93" s="7" t="s">
        <v>697</v>
      </c>
      <c r="M93" s="7" t="s">
        <v>698</v>
      </c>
      <c r="N93" s="7" t="s">
        <v>699</v>
      </c>
      <c r="O93" s="7" t="s">
        <v>700</v>
      </c>
      <c r="P93" s="7" t="s">
        <v>701</v>
      </c>
      <c r="Q93" s="7" t="s">
        <v>702</v>
      </c>
      <c r="R93" s="7" t="s">
        <v>703</v>
      </c>
      <c r="S93" s="7" t="s">
        <v>704</v>
      </c>
      <c r="T93" s="7" t="s">
        <v>705</v>
      </c>
      <c r="U93" s="7" t="s">
        <v>706</v>
      </c>
      <c r="V93" s="7" t="s">
        <v>707</v>
      </c>
      <c r="W93" s="7" t="s">
        <v>708</v>
      </c>
      <c r="X93" s="7" t="s">
        <v>709</v>
      </c>
      <c r="Y93" s="7" t="s">
        <v>710</v>
      </c>
      <c r="Z93" s="7" t="s">
        <v>711</v>
      </c>
      <c r="AA93" s="7" t="s">
        <v>712</v>
      </c>
      <c r="AB93" s="7" t="s">
        <v>694</v>
      </c>
      <c r="AC93" s="7" t="s">
        <v>713</v>
      </c>
      <c r="AD93" s="7" t="s">
        <v>714</v>
      </c>
      <c r="AE93" s="7" t="s">
        <v>715</v>
      </c>
      <c r="AF93" s="7" t="s">
        <v>716</v>
      </c>
      <c r="AG93" s="7" t="s">
        <v>688</v>
      </c>
      <c r="AH93" s="7" t="s">
        <v>689</v>
      </c>
      <c r="AI93" s="7" t="s">
        <v>747</v>
      </c>
      <c r="AJ93" s="7" t="s">
        <v>696</v>
      </c>
      <c r="AK93" s="7" t="s">
        <v>773</v>
      </c>
      <c r="AL93" s="7" t="s">
        <v>838</v>
      </c>
      <c r="AM93" s="7" t="s">
        <v>839</v>
      </c>
      <c r="AN93" s="7" t="s">
        <v>840</v>
      </c>
      <c r="AO93" s="7" t="s">
        <v>841</v>
      </c>
      <c r="AP93" s="7" t="s">
        <v>842</v>
      </c>
      <c r="AQ93" s="7" t="s">
        <v>843</v>
      </c>
    </row>
    <row r="94" spans="1:52" ht="78" customHeight="1" x14ac:dyDescent="0.4">
      <c r="A94" s="67" t="s">
        <v>308</v>
      </c>
      <c r="B94" t="e">
        <f>_xlfn.XLOOKUP(A94,'Product info'!A:A,'Product info'!C:C,,2)</f>
        <v>#N/A</v>
      </c>
      <c r="C94" s="69" t="s">
        <v>688</v>
      </c>
      <c r="D94" s="7" t="s">
        <v>689</v>
      </c>
      <c r="E94" s="7" t="s">
        <v>747</v>
      </c>
      <c r="F94" s="7" t="s">
        <v>696</v>
      </c>
      <c r="G94" s="7" t="s">
        <v>773</v>
      </c>
      <c r="H94" s="7" t="s">
        <v>774</v>
      </c>
      <c r="I94" s="7" t="s">
        <v>788</v>
      </c>
      <c r="J94" s="7" t="s">
        <v>789</v>
      </c>
      <c r="K94" s="7" t="s">
        <v>790</v>
      </c>
      <c r="L94" s="7" t="s">
        <v>791</v>
      </c>
      <c r="M94" s="7" t="s">
        <v>792</v>
      </c>
      <c r="N94" s="7" t="s">
        <v>793</v>
      </c>
    </row>
    <row r="95" spans="1:52" ht="78" customHeight="1" x14ac:dyDescent="0.4">
      <c r="A95" s="67" t="s">
        <v>305</v>
      </c>
      <c r="B95" t="e">
        <f>_xlfn.XLOOKUP(A95,'Product info'!A:A,'Product info'!C:C,,2)</f>
        <v>#N/A</v>
      </c>
      <c r="C95" s="69" t="s">
        <v>688</v>
      </c>
      <c r="D95" s="7" t="s">
        <v>689</v>
      </c>
      <c r="E95" s="7" t="s">
        <v>690</v>
      </c>
      <c r="F95" s="7" t="s">
        <v>691</v>
      </c>
      <c r="G95" s="7" t="s">
        <v>692</v>
      </c>
      <c r="H95" s="7" t="s">
        <v>693</v>
      </c>
      <c r="I95" s="7" t="s">
        <v>694</v>
      </c>
      <c r="J95" s="7" t="s">
        <v>695</v>
      </c>
      <c r="K95" s="7" t="s">
        <v>696</v>
      </c>
      <c r="L95" s="7" t="s">
        <v>697</v>
      </c>
      <c r="M95" s="7" t="s">
        <v>698</v>
      </c>
      <c r="N95" s="7" t="s">
        <v>699</v>
      </c>
      <c r="O95" s="7" t="s">
        <v>700</v>
      </c>
      <c r="P95" s="7" t="s">
        <v>701</v>
      </c>
      <c r="Q95" s="7" t="s">
        <v>702</v>
      </c>
      <c r="R95" s="7" t="s">
        <v>703</v>
      </c>
      <c r="S95" s="7" t="s">
        <v>704</v>
      </c>
      <c r="T95" s="7" t="s">
        <v>705</v>
      </c>
      <c r="U95" s="7" t="s">
        <v>706</v>
      </c>
      <c r="V95" s="7" t="s">
        <v>707</v>
      </c>
      <c r="W95" s="7" t="s">
        <v>708</v>
      </c>
      <c r="X95" s="7" t="s">
        <v>709</v>
      </c>
      <c r="Y95" s="7" t="s">
        <v>710</v>
      </c>
      <c r="Z95" s="7" t="s">
        <v>711</v>
      </c>
      <c r="AA95" s="7" t="s">
        <v>712</v>
      </c>
      <c r="AB95" s="7" t="s">
        <v>694</v>
      </c>
      <c r="AC95" s="7" t="s">
        <v>713</v>
      </c>
      <c r="AD95" s="7" t="s">
        <v>714</v>
      </c>
      <c r="AE95" s="7" t="s">
        <v>715</v>
      </c>
      <c r="AF95" s="7" t="s">
        <v>716</v>
      </c>
      <c r="AG95" s="7" t="s">
        <v>688</v>
      </c>
      <c r="AH95" s="7" t="s">
        <v>689</v>
      </c>
      <c r="AI95" s="7" t="s">
        <v>747</v>
      </c>
      <c r="AJ95" s="7" t="s">
        <v>696</v>
      </c>
      <c r="AK95" s="7" t="s">
        <v>773</v>
      </c>
      <c r="AL95" s="7" t="s">
        <v>774</v>
      </c>
      <c r="AM95" s="7" t="s">
        <v>788</v>
      </c>
      <c r="AN95" s="7" t="s">
        <v>789</v>
      </c>
      <c r="AO95" s="7" t="s">
        <v>790</v>
      </c>
      <c r="AP95" s="7" t="s">
        <v>791</v>
      </c>
      <c r="AQ95" s="7" t="s">
        <v>792</v>
      </c>
      <c r="AR95" s="7" t="s">
        <v>793</v>
      </c>
    </row>
    <row r="96" spans="1:52" ht="78" customHeight="1" x14ac:dyDescent="0.4">
      <c r="A96" s="67" t="s">
        <v>307</v>
      </c>
      <c r="B96" t="e">
        <f>_xlfn.XLOOKUP(A96,'Product info'!A:A,'Product info'!C:C,,2)</f>
        <v>#N/A</v>
      </c>
      <c r="C96" s="69" t="s">
        <v>688</v>
      </c>
      <c r="D96" s="7" t="s">
        <v>689</v>
      </c>
      <c r="E96" s="7" t="s">
        <v>690</v>
      </c>
      <c r="F96" s="7" t="s">
        <v>691</v>
      </c>
      <c r="G96" s="7" t="s">
        <v>692</v>
      </c>
      <c r="H96" s="7" t="s">
        <v>693</v>
      </c>
      <c r="I96" s="7" t="s">
        <v>694</v>
      </c>
      <c r="J96" s="7" t="s">
        <v>695</v>
      </c>
      <c r="K96" s="7" t="s">
        <v>696</v>
      </c>
      <c r="L96" s="7" t="s">
        <v>697</v>
      </c>
      <c r="M96" s="7" t="s">
        <v>698</v>
      </c>
      <c r="N96" s="7" t="s">
        <v>699</v>
      </c>
      <c r="O96" s="7" t="s">
        <v>700</v>
      </c>
      <c r="P96" s="7" t="s">
        <v>701</v>
      </c>
      <c r="Q96" s="7" t="s">
        <v>702</v>
      </c>
      <c r="R96" s="7" t="s">
        <v>703</v>
      </c>
      <c r="S96" s="7" t="s">
        <v>704</v>
      </c>
      <c r="T96" s="7" t="s">
        <v>705</v>
      </c>
      <c r="U96" s="7" t="s">
        <v>706</v>
      </c>
      <c r="V96" s="7" t="s">
        <v>707</v>
      </c>
      <c r="W96" s="7" t="s">
        <v>708</v>
      </c>
      <c r="X96" s="7" t="s">
        <v>709</v>
      </c>
      <c r="Y96" s="7" t="s">
        <v>710</v>
      </c>
      <c r="Z96" s="7" t="s">
        <v>711</v>
      </c>
      <c r="AA96" s="7" t="s">
        <v>712</v>
      </c>
      <c r="AB96" s="7" t="s">
        <v>694</v>
      </c>
      <c r="AC96" s="7" t="s">
        <v>713</v>
      </c>
      <c r="AD96" s="7" t="s">
        <v>714</v>
      </c>
      <c r="AE96" s="7" t="s">
        <v>715</v>
      </c>
      <c r="AF96" s="7" t="s">
        <v>716</v>
      </c>
      <c r="AG96" s="7" t="s">
        <v>688</v>
      </c>
      <c r="AH96" s="7" t="s">
        <v>689</v>
      </c>
      <c r="AI96" s="7" t="s">
        <v>747</v>
      </c>
      <c r="AJ96" s="7" t="s">
        <v>696</v>
      </c>
      <c r="AK96" s="7" t="s">
        <v>773</v>
      </c>
      <c r="AL96" s="7" t="s">
        <v>774</v>
      </c>
      <c r="AM96" s="7" t="s">
        <v>788</v>
      </c>
      <c r="AN96" s="7" t="s">
        <v>789</v>
      </c>
      <c r="AO96" s="7" t="s">
        <v>790</v>
      </c>
      <c r="AP96" s="7" t="s">
        <v>791</v>
      </c>
      <c r="AQ96" s="7" t="s">
        <v>792</v>
      </c>
      <c r="AR96" s="7" t="s">
        <v>793</v>
      </c>
    </row>
    <row r="97" spans="1:44" ht="78" customHeight="1" x14ac:dyDescent="0.4">
      <c r="A97" s="67" t="s">
        <v>304</v>
      </c>
      <c r="B97" t="e">
        <f>_xlfn.XLOOKUP(A97,'Product info'!A:A,'Product info'!C:C,,2)</f>
        <v>#N/A</v>
      </c>
      <c r="C97" s="69" t="s">
        <v>688</v>
      </c>
      <c r="D97" s="7" t="s">
        <v>689</v>
      </c>
      <c r="E97" s="7" t="s">
        <v>690</v>
      </c>
      <c r="F97" s="7" t="s">
        <v>691</v>
      </c>
      <c r="G97" s="7" t="s">
        <v>692</v>
      </c>
      <c r="H97" s="7" t="s">
        <v>693</v>
      </c>
      <c r="I97" s="7" t="s">
        <v>694</v>
      </c>
      <c r="J97" s="7" t="s">
        <v>695</v>
      </c>
      <c r="K97" s="7" t="s">
        <v>696</v>
      </c>
      <c r="L97" s="7" t="s">
        <v>697</v>
      </c>
      <c r="M97" s="7" t="s">
        <v>698</v>
      </c>
      <c r="N97" s="7" t="s">
        <v>699</v>
      </c>
      <c r="O97" s="7" t="s">
        <v>700</v>
      </c>
      <c r="P97" s="7" t="s">
        <v>701</v>
      </c>
      <c r="Q97" s="7" t="s">
        <v>702</v>
      </c>
      <c r="R97" s="7" t="s">
        <v>703</v>
      </c>
      <c r="S97" s="7" t="s">
        <v>704</v>
      </c>
      <c r="T97" s="7" t="s">
        <v>705</v>
      </c>
      <c r="U97" s="7" t="s">
        <v>706</v>
      </c>
      <c r="V97" s="7" t="s">
        <v>707</v>
      </c>
      <c r="W97" s="7" t="s">
        <v>708</v>
      </c>
      <c r="X97" s="7" t="s">
        <v>709</v>
      </c>
      <c r="Y97" s="7" t="s">
        <v>710</v>
      </c>
      <c r="Z97" s="7" t="s">
        <v>711</v>
      </c>
      <c r="AA97" s="7" t="s">
        <v>712</v>
      </c>
      <c r="AB97" s="7" t="s">
        <v>694</v>
      </c>
      <c r="AC97" s="7" t="s">
        <v>713</v>
      </c>
      <c r="AD97" s="7" t="s">
        <v>714</v>
      </c>
      <c r="AE97" s="7" t="s">
        <v>715</v>
      </c>
      <c r="AF97" s="7" t="s">
        <v>716</v>
      </c>
      <c r="AG97" s="7" t="s">
        <v>688</v>
      </c>
      <c r="AH97" s="7" t="s">
        <v>689</v>
      </c>
      <c r="AI97" s="7" t="s">
        <v>747</v>
      </c>
      <c r="AJ97" s="7" t="s">
        <v>696</v>
      </c>
      <c r="AK97" s="7" t="s">
        <v>773</v>
      </c>
      <c r="AL97" s="7" t="s">
        <v>774</v>
      </c>
      <c r="AM97" s="7" t="s">
        <v>788</v>
      </c>
      <c r="AN97" s="7" t="s">
        <v>789</v>
      </c>
      <c r="AO97" s="7" t="s">
        <v>790</v>
      </c>
      <c r="AP97" s="7" t="s">
        <v>791</v>
      </c>
      <c r="AQ97" s="7" t="s">
        <v>792</v>
      </c>
      <c r="AR97" s="7" t="s">
        <v>793</v>
      </c>
    </row>
    <row r="98" spans="1:44" ht="78" customHeight="1" x14ac:dyDescent="0.4">
      <c r="A98" s="67" t="s">
        <v>306</v>
      </c>
      <c r="B98" t="e">
        <f>_xlfn.XLOOKUP(A98,'Product info'!A:A,'Product info'!C:C,,2)</f>
        <v>#N/A</v>
      </c>
      <c r="C98" s="69" t="s">
        <v>688</v>
      </c>
      <c r="D98" s="7" t="s">
        <v>689</v>
      </c>
      <c r="E98" s="7" t="s">
        <v>690</v>
      </c>
      <c r="F98" s="7" t="s">
        <v>691</v>
      </c>
      <c r="G98" s="7" t="s">
        <v>692</v>
      </c>
      <c r="H98" s="7" t="s">
        <v>693</v>
      </c>
      <c r="I98" s="7" t="s">
        <v>694</v>
      </c>
      <c r="J98" s="7" t="s">
        <v>695</v>
      </c>
      <c r="K98" s="7" t="s">
        <v>696</v>
      </c>
      <c r="L98" s="7" t="s">
        <v>697</v>
      </c>
      <c r="M98" s="7" t="s">
        <v>698</v>
      </c>
      <c r="N98" s="7" t="s">
        <v>699</v>
      </c>
      <c r="O98" s="7" t="s">
        <v>700</v>
      </c>
      <c r="P98" s="7" t="s">
        <v>701</v>
      </c>
      <c r="Q98" s="7" t="s">
        <v>702</v>
      </c>
      <c r="R98" s="7" t="s">
        <v>703</v>
      </c>
      <c r="S98" s="7" t="s">
        <v>704</v>
      </c>
      <c r="T98" s="7" t="s">
        <v>705</v>
      </c>
      <c r="U98" s="7" t="s">
        <v>706</v>
      </c>
      <c r="V98" s="7" t="s">
        <v>707</v>
      </c>
      <c r="W98" s="7" t="s">
        <v>708</v>
      </c>
      <c r="X98" s="7" t="s">
        <v>709</v>
      </c>
      <c r="Y98" s="7" t="s">
        <v>710</v>
      </c>
      <c r="Z98" s="7" t="s">
        <v>711</v>
      </c>
      <c r="AA98" s="7" t="s">
        <v>712</v>
      </c>
      <c r="AB98" s="7" t="s">
        <v>694</v>
      </c>
      <c r="AC98" s="7" t="s">
        <v>713</v>
      </c>
      <c r="AD98" s="7" t="s">
        <v>714</v>
      </c>
      <c r="AE98" s="7" t="s">
        <v>715</v>
      </c>
      <c r="AF98" s="7" t="s">
        <v>716</v>
      </c>
      <c r="AG98" s="7" t="s">
        <v>688</v>
      </c>
      <c r="AH98" s="7" t="s">
        <v>689</v>
      </c>
      <c r="AI98" s="7" t="s">
        <v>747</v>
      </c>
      <c r="AJ98" s="7" t="s">
        <v>696</v>
      </c>
      <c r="AK98" s="7" t="s">
        <v>773</v>
      </c>
      <c r="AL98" s="7" t="s">
        <v>774</v>
      </c>
      <c r="AM98" s="7" t="s">
        <v>788</v>
      </c>
      <c r="AN98" s="7" t="s">
        <v>789</v>
      </c>
      <c r="AO98" s="7" t="s">
        <v>790</v>
      </c>
      <c r="AP98" s="7" t="s">
        <v>791</v>
      </c>
      <c r="AQ98" s="7" t="s">
        <v>792</v>
      </c>
      <c r="AR98" s="7" t="s">
        <v>793</v>
      </c>
    </row>
    <row r="99" spans="1:44" ht="78" customHeight="1" x14ac:dyDescent="0.4">
      <c r="A99" s="67" t="s">
        <v>370</v>
      </c>
      <c r="B99" t="e">
        <f>_xlfn.XLOOKUP(A99,'Product info'!A:A,'Product info'!C:C,,2)</f>
        <v>#N/A</v>
      </c>
      <c r="C99" s="69" t="s">
        <v>688</v>
      </c>
      <c r="D99" s="7" t="s">
        <v>689</v>
      </c>
      <c r="E99" s="7" t="s">
        <v>747</v>
      </c>
      <c r="F99" s="7" t="s">
        <v>696</v>
      </c>
      <c r="G99" s="7" t="s">
        <v>773</v>
      </c>
      <c r="H99" s="7" t="s">
        <v>860</v>
      </c>
    </row>
    <row r="100" spans="1:44" ht="78" customHeight="1" x14ac:dyDescent="0.4">
      <c r="A100" s="67" t="s">
        <v>374</v>
      </c>
      <c r="B100" t="e">
        <f>_xlfn.XLOOKUP(A100,'Product info'!A:A,'Product info'!C:C,,2)</f>
        <v>#N/A</v>
      </c>
      <c r="C100" s="69" t="s">
        <v>688</v>
      </c>
      <c r="D100" s="7" t="s">
        <v>689</v>
      </c>
      <c r="E100" s="7" t="s">
        <v>747</v>
      </c>
      <c r="F100" s="7" t="s">
        <v>696</v>
      </c>
      <c r="G100" s="7" t="s">
        <v>773</v>
      </c>
      <c r="H100" s="7" t="s">
        <v>749</v>
      </c>
      <c r="I100" s="7" t="s">
        <v>861</v>
      </c>
      <c r="J100" s="7" t="s">
        <v>752</v>
      </c>
      <c r="K100" s="7" t="s">
        <v>862</v>
      </c>
      <c r="L100" s="7" t="s">
        <v>754</v>
      </c>
      <c r="M100" s="7" t="s">
        <v>755</v>
      </c>
      <c r="N100" s="7" t="s">
        <v>863</v>
      </c>
      <c r="O100" s="7" t="s">
        <v>864</v>
      </c>
      <c r="P100" s="7" t="s">
        <v>865</v>
      </c>
      <c r="Q100" s="7" t="s">
        <v>758</v>
      </c>
      <c r="R100" s="7" t="s">
        <v>759</v>
      </c>
      <c r="S100" s="7" t="s">
        <v>760</v>
      </c>
      <c r="T100" s="7" t="s">
        <v>866</v>
      </c>
      <c r="U100" s="7" t="s">
        <v>867</v>
      </c>
      <c r="V100" s="7" t="s">
        <v>868</v>
      </c>
      <c r="W100" s="7" t="s">
        <v>869</v>
      </c>
      <c r="X100" s="7" t="s">
        <v>870</v>
      </c>
    </row>
    <row r="101" spans="1:44" ht="78" customHeight="1" x14ac:dyDescent="0.4">
      <c r="A101" s="67" t="s">
        <v>87</v>
      </c>
      <c r="B101" t="e">
        <f>_xlfn.XLOOKUP(A101,'Product info'!A:A,'Product info'!C:C,,2)</f>
        <v>#N/A</v>
      </c>
      <c r="C101" s="69" t="s">
        <v>688</v>
      </c>
      <c r="D101" s="7" t="s">
        <v>689</v>
      </c>
      <c r="E101" s="7" t="s">
        <v>690</v>
      </c>
      <c r="F101" s="7" t="s">
        <v>691</v>
      </c>
      <c r="G101" s="7" t="s">
        <v>692</v>
      </c>
      <c r="H101" s="7" t="s">
        <v>693</v>
      </c>
      <c r="I101" s="7" t="s">
        <v>694</v>
      </c>
      <c r="J101" s="7" t="s">
        <v>695</v>
      </c>
      <c r="K101" s="7" t="s">
        <v>696</v>
      </c>
      <c r="L101" s="7" t="s">
        <v>697</v>
      </c>
      <c r="M101" s="7" t="s">
        <v>698</v>
      </c>
      <c r="N101" s="7" t="s">
        <v>699</v>
      </c>
      <c r="O101" s="7" t="s">
        <v>700</v>
      </c>
      <c r="P101" s="7" t="s">
        <v>701</v>
      </c>
      <c r="Q101" s="7" t="s">
        <v>702</v>
      </c>
      <c r="R101" s="7" t="s">
        <v>703</v>
      </c>
      <c r="S101" s="7" t="s">
        <v>704</v>
      </c>
      <c r="T101" s="7" t="s">
        <v>705</v>
      </c>
      <c r="U101" s="7" t="s">
        <v>706</v>
      </c>
      <c r="V101" s="7" t="s">
        <v>707</v>
      </c>
      <c r="W101" s="7" t="s">
        <v>708</v>
      </c>
      <c r="X101" s="7" t="s">
        <v>709</v>
      </c>
      <c r="Y101" s="7" t="s">
        <v>710</v>
      </c>
      <c r="Z101" s="7" t="s">
        <v>711</v>
      </c>
      <c r="AA101" s="7" t="s">
        <v>712</v>
      </c>
      <c r="AB101" s="7" t="s">
        <v>694</v>
      </c>
      <c r="AC101" s="7" t="s">
        <v>713</v>
      </c>
      <c r="AD101" s="7" t="s">
        <v>714</v>
      </c>
      <c r="AE101" s="7" t="s">
        <v>715</v>
      </c>
      <c r="AF101" s="7" t="s">
        <v>716</v>
      </c>
      <c r="AG101" s="7" t="s">
        <v>688</v>
      </c>
      <c r="AH101" s="7" t="s">
        <v>689</v>
      </c>
      <c r="AI101" s="7" t="s">
        <v>747</v>
      </c>
      <c r="AJ101" s="7" t="s">
        <v>696</v>
      </c>
      <c r="AK101" s="7" t="s">
        <v>773</v>
      </c>
    </row>
    <row r="102" spans="1:44" ht="78" customHeight="1" x14ac:dyDescent="0.4">
      <c r="A102" s="67" t="s">
        <v>131</v>
      </c>
      <c r="B102" t="e">
        <f>_xlfn.XLOOKUP(A102,'Product info'!A:A,'Product info'!C:C,,2)</f>
        <v>#N/A</v>
      </c>
      <c r="C102" s="69" t="s">
        <v>688</v>
      </c>
      <c r="D102" s="7" t="s">
        <v>689</v>
      </c>
      <c r="E102" s="7" t="s">
        <v>747</v>
      </c>
      <c r="F102" s="7" t="s">
        <v>696</v>
      </c>
      <c r="G102" s="7" t="s">
        <v>773</v>
      </c>
    </row>
    <row r="103" spans="1:44" ht="78" customHeight="1" x14ac:dyDescent="0.4">
      <c r="A103" s="67" t="s">
        <v>132</v>
      </c>
      <c r="B103" t="e">
        <f>_xlfn.XLOOKUP(A103,'Product info'!A:A,'Product info'!C:C,,2)</f>
        <v>#N/A</v>
      </c>
      <c r="C103" s="69" t="s">
        <v>688</v>
      </c>
      <c r="D103" s="7" t="s">
        <v>689</v>
      </c>
      <c r="E103" s="7" t="s">
        <v>747</v>
      </c>
      <c r="F103" s="7" t="s">
        <v>696</v>
      </c>
      <c r="G103" s="7" t="s">
        <v>773</v>
      </c>
    </row>
    <row r="104" spans="1:44" ht="78" customHeight="1" x14ac:dyDescent="0.4">
      <c r="A104" s="67" t="s">
        <v>161</v>
      </c>
      <c r="B104" t="e">
        <f>_xlfn.XLOOKUP(A104,'Product info'!A:A,'Product info'!C:C,,2)</f>
        <v>#N/A</v>
      </c>
      <c r="C104" s="69" t="s">
        <v>688</v>
      </c>
      <c r="D104" s="7" t="s">
        <v>689</v>
      </c>
      <c r="E104" s="7" t="s">
        <v>747</v>
      </c>
      <c r="F104" s="7" t="s">
        <v>696</v>
      </c>
      <c r="G104" s="7" t="s">
        <v>773</v>
      </c>
    </row>
    <row r="105" spans="1:44" ht="78" customHeight="1" x14ac:dyDescent="0.4">
      <c r="A105" s="67" t="s">
        <v>130</v>
      </c>
      <c r="B105" t="e">
        <f>_xlfn.XLOOKUP(A105,'Product info'!A:A,'Product info'!C:C,,2)</f>
        <v>#N/A</v>
      </c>
      <c r="C105" s="69" t="s">
        <v>688</v>
      </c>
      <c r="D105" s="7" t="s">
        <v>689</v>
      </c>
      <c r="E105" s="7" t="s">
        <v>747</v>
      </c>
      <c r="F105" s="7" t="s">
        <v>696</v>
      </c>
      <c r="G105" s="7" t="s">
        <v>773</v>
      </c>
    </row>
    <row r="106" spans="1:44" ht="78" customHeight="1" x14ac:dyDescent="0.4">
      <c r="A106" s="67" t="s">
        <v>128</v>
      </c>
      <c r="B106" t="e">
        <f>_xlfn.XLOOKUP(A106,'Product info'!A:A,'Product info'!C:C,,2)</f>
        <v>#N/A</v>
      </c>
      <c r="C106" s="69" t="s">
        <v>688</v>
      </c>
      <c r="D106" s="7" t="s">
        <v>689</v>
      </c>
      <c r="E106" s="7" t="s">
        <v>747</v>
      </c>
      <c r="F106" s="7" t="s">
        <v>696</v>
      </c>
      <c r="G106" s="7" t="s">
        <v>773</v>
      </c>
    </row>
    <row r="107" spans="1:44" ht="78" customHeight="1" x14ac:dyDescent="0.4">
      <c r="A107" s="67" t="s">
        <v>129</v>
      </c>
      <c r="B107" t="e">
        <f>_xlfn.XLOOKUP(A107,'Product info'!A:A,'Product info'!C:C,,2)</f>
        <v>#N/A</v>
      </c>
      <c r="C107" s="69" t="s">
        <v>688</v>
      </c>
      <c r="D107" s="7" t="s">
        <v>689</v>
      </c>
      <c r="E107" s="7" t="s">
        <v>747</v>
      </c>
      <c r="F107" s="7" t="s">
        <v>696</v>
      </c>
      <c r="G107" s="7" t="s">
        <v>773</v>
      </c>
    </row>
    <row r="108" spans="1:44" ht="78" customHeight="1" x14ac:dyDescent="0.4">
      <c r="A108" s="67" t="s">
        <v>127</v>
      </c>
      <c r="B108" t="e">
        <f>_xlfn.XLOOKUP(A108,'Product info'!A:A,'Product info'!C:C,,2)</f>
        <v>#N/A</v>
      </c>
      <c r="C108" s="69" t="s">
        <v>688</v>
      </c>
      <c r="D108" s="7" t="s">
        <v>689</v>
      </c>
      <c r="E108" s="7" t="s">
        <v>747</v>
      </c>
      <c r="F108" s="7" t="s">
        <v>696</v>
      </c>
      <c r="G108" s="7" t="s">
        <v>773</v>
      </c>
    </row>
    <row r="109" spans="1:44" ht="78" customHeight="1" x14ac:dyDescent="0.4">
      <c r="A109" s="67" t="s">
        <v>133</v>
      </c>
      <c r="B109" t="e">
        <f>_xlfn.XLOOKUP(A109,'Product info'!A:A,'Product info'!C:C,,2)</f>
        <v>#N/A</v>
      </c>
      <c r="C109" s="69" t="s">
        <v>688</v>
      </c>
      <c r="D109" s="7" t="s">
        <v>689</v>
      </c>
      <c r="E109" s="7" t="s">
        <v>747</v>
      </c>
      <c r="F109" s="7" t="s">
        <v>696</v>
      </c>
      <c r="G109" s="7" t="s">
        <v>773</v>
      </c>
    </row>
    <row r="110" spans="1:44" ht="78" customHeight="1" x14ac:dyDescent="0.4">
      <c r="A110" s="67" t="s">
        <v>168</v>
      </c>
      <c r="B110" t="e">
        <f>_xlfn.XLOOKUP(A110,'Product info'!A:A,'Product info'!C:C,,2)</f>
        <v>#N/A</v>
      </c>
      <c r="C110" s="69" t="s">
        <v>688</v>
      </c>
      <c r="D110" s="7" t="s">
        <v>689</v>
      </c>
      <c r="E110" s="7" t="s">
        <v>747</v>
      </c>
      <c r="F110" s="7" t="s">
        <v>696</v>
      </c>
      <c r="G110" s="7" t="s">
        <v>773</v>
      </c>
    </row>
    <row r="111" spans="1:44" ht="78" customHeight="1" x14ac:dyDescent="0.4">
      <c r="A111" s="67" t="s">
        <v>98</v>
      </c>
      <c r="B111" t="e">
        <f>_xlfn.XLOOKUP(A111,'Product info'!A:A,'Product info'!C:C,,2)</f>
        <v>#N/A</v>
      </c>
      <c r="C111" s="69" t="s">
        <v>688</v>
      </c>
      <c r="D111" s="7" t="s">
        <v>689</v>
      </c>
      <c r="E111" s="7" t="s">
        <v>747</v>
      </c>
      <c r="F111" s="7" t="s">
        <v>696</v>
      </c>
      <c r="G111" s="7" t="s">
        <v>773</v>
      </c>
    </row>
    <row r="112" spans="1:44" ht="78" customHeight="1" x14ac:dyDescent="0.4">
      <c r="A112" s="67" t="s">
        <v>155</v>
      </c>
      <c r="B112" t="e">
        <f>_xlfn.XLOOKUP(A112,'Product info'!A:A,'Product info'!C:C,,2)</f>
        <v>#N/A</v>
      </c>
      <c r="C112" s="69" t="s">
        <v>688</v>
      </c>
      <c r="D112" s="7" t="s">
        <v>689</v>
      </c>
      <c r="E112" s="7" t="s">
        <v>747</v>
      </c>
      <c r="F112" s="7" t="s">
        <v>696</v>
      </c>
      <c r="G112" s="7" t="s">
        <v>773</v>
      </c>
    </row>
    <row r="113" spans="1:37" ht="78" customHeight="1" x14ac:dyDescent="0.4">
      <c r="A113" s="67" t="s">
        <v>99</v>
      </c>
      <c r="B113" t="e">
        <f>_xlfn.XLOOKUP(A113,'Product info'!A:A,'Product info'!C:C,,2)</f>
        <v>#N/A</v>
      </c>
      <c r="C113" s="69" t="s">
        <v>688</v>
      </c>
      <c r="D113" s="7" t="s">
        <v>689</v>
      </c>
      <c r="E113" s="7" t="s">
        <v>747</v>
      </c>
      <c r="F113" s="7" t="s">
        <v>696</v>
      </c>
      <c r="G113" s="7" t="s">
        <v>773</v>
      </c>
    </row>
    <row r="114" spans="1:37" ht="78" customHeight="1" x14ac:dyDescent="0.4">
      <c r="A114" s="67" t="s">
        <v>159</v>
      </c>
      <c r="B114" t="e">
        <f>_xlfn.XLOOKUP(A114,'Product info'!A:A,'Product info'!C:C,,2)</f>
        <v>#N/A</v>
      </c>
      <c r="C114" s="69" t="s">
        <v>688</v>
      </c>
      <c r="D114" s="7" t="s">
        <v>689</v>
      </c>
      <c r="E114" s="7" t="s">
        <v>747</v>
      </c>
      <c r="F114" s="7" t="s">
        <v>696</v>
      </c>
      <c r="G114" s="7" t="s">
        <v>773</v>
      </c>
    </row>
    <row r="115" spans="1:37" ht="78" customHeight="1" x14ac:dyDescent="0.4">
      <c r="A115" s="67" t="s">
        <v>167</v>
      </c>
      <c r="B115" t="e">
        <f>_xlfn.XLOOKUP(A115,'Product info'!A:A,'Product info'!C:C,,2)</f>
        <v>#N/A</v>
      </c>
      <c r="C115" s="69" t="s">
        <v>688</v>
      </c>
      <c r="D115" s="7" t="s">
        <v>689</v>
      </c>
      <c r="E115" s="7" t="s">
        <v>747</v>
      </c>
      <c r="F115" s="7" t="s">
        <v>696</v>
      </c>
      <c r="G115" s="7" t="s">
        <v>773</v>
      </c>
    </row>
    <row r="116" spans="1:37" ht="78" customHeight="1" x14ac:dyDescent="0.4">
      <c r="A116" s="67" t="s">
        <v>157</v>
      </c>
      <c r="B116" t="e">
        <f>_xlfn.XLOOKUP(A116,'Product info'!A:A,'Product info'!C:C,,2)</f>
        <v>#N/A</v>
      </c>
      <c r="C116" s="69" t="s">
        <v>688</v>
      </c>
      <c r="D116" s="7" t="s">
        <v>689</v>
      </c>
      <c r="E116" s="7" t="s">
        <v>747</v>
      </c>
      <c r="F116" s="7" t="s">
        <v>696</v>
      </c>
      <c r="G116" s="7" t="s">
        <v>773</v>
      </c>
    </row>
    <row r="117" spans="1:37" ht="78" customHeight="1" x14ac:dyDescent="0.4">
      <c r="A117" s="67" t="s">
        <v>165</v>
      </c>
      <c r="B117" t="e">
        <f>_xlfn.XLOOKUP(A117,'Product info'!A:A,'Product info'!C:C,,2)</f>
        <v>#N/A</v>
      </c>
      <c r="C117" s="69" t="s">
        <v>688</v>
      </c>
      <c r="D117" s="7" t="s">
        <v>689</v>
      </c>
      <c r="E117" s="7" t="s">
        <v>747</v>
      </c>
      <c r="F117" s="7" t="s">
        <v>696</v>
      </c>
      <c r="G117" s="7" t="s">
        <v>773</v>
      </c>
    </row>
    <row r="118" spans="1:37" ht="78" customHeight="1" x14ac:dyDescent="0.4">
      <c r="A118" s="67" t="s">
        <v>154</v>
      </c>
      <c r="B118" t="e">
        <f>_xlfn.XLOOKUP(A118,'Product info'!A:A,'Product info'!C:C,,2)</f>
        <v>#N/A</v>
      </c>
      <c r="C118" s="69" t="s">
        <v>688</v>
      </c>
      <c r="D118" s="7" t="s">
        <v>689</v>
      </c>
      <c r="E118" s="7" t="s">
        <v>747</v>
      </c>
      <c r="F118" s="7" t="s">
        <v>696</v>
      </c>
      <c r="G118" s="7" t="s">
        <v>773</v>
      </c>
    </row>
    <row r="119" spans="1:37" ht="78" customHeight="1" x14ac:dyDescent="0.4">
      <c r="A119" s="67" t="s">
        <v>97</v>
      </c>
      <c r="B119" t="e">
        <f>_xlfn.XLOOKUP(A119,'Product info'!A:A,'Product info'!C:C,,2)</f>
        <v>#N/A</v>
      </c>
      <c r="C119" s="69" t="s">
        <v>688</v>
      </c>
      <c r="D119" s="7" t="s">
        <v>689</v>
      </c>
      <c r="E119" s="7" t="s">
        <v>747</v>
      </c>
      <c r="F119" s="7" t="s">
        <v>696</v>
      </c>
      <c r="G119" s="7" t="s">
        <v>773</v>
      </c>
    </row>
    <row r="120" spans="1:37" ht="78" customHeight="1" x14ac:dyDescent="0.4">
      <c r="A120" s="67" t="s">
        <v>153</v>
      </c>
      <c r="B120" t="e">
        <f>_xlfn.XLOOKUP(A120,'Product info'!A:A,'Product info'!C:C,,2)</f>
        <v>#N/A</v>
      </c>
      <c r="C120" s="69" t="s">
        <v>688</v>
      </c>
      <c r="D120" s="7" t="s">
        <v>689</v>
      </c>
      <c r="E120" s="7" t="s">
        <v>747</v>
      </c>
      <c r="F120" s="7" t="s">
        <v>696</v>
      </c>
      <c r="G120" s="7" t="s">
        <v>773</v>
      </c>
    </row>
    <row r="121" spans="1:37" ht="78" customHeight="1" x14ac:dyDescent="0.4">
      <c r="A121" s="67" t="s">
        <v>158</v>
      </c>
      <c r="B121" t="e">
        <f>_xlfn.XLOOKUP(A121,'Product info'!A:A,'Product info'!C:C,,2)</f>
        <v>#N/A</v>
      </c>
      <c r="C121" s="69" t="s">
        <v>688</v>
      </c>
      <c r="D121" s="7" t="s">
        <v>689</v>
      </c>
      <c r="E121" s="7" t="s">
        <v>747</v>
      </c>
      <c r="F121" s="7" t="s">
        <v>696</v>
      </c>
      <c r="G121" s="7" t="s">
        <v>773</v>
      </c>
    </row>
    <row r="122" spans="1:37" ht="78" customHeight="1" x14ac:dyDescent="0.4">
      <c r="A122" s="67" t="s">
        <v>156</v>
      </c>
      <c r="B122" t="e">
        <f>_xlfn.XLOOKUP(A122,'Product info'!A:A,'Product info'!C:C,,2)</f>
        <v>#N/A</v>
      </c>
      <c r="C122" s="69" t="s">
        <v>688</v>
      </c>
      <c r="D122" s="7" t="s">
        <v>689</v>
      </c>
      <c r="E122" s="7" t="s">
        <v>690</v>
      </c>
      <c r="F122" s="7" t="s">
        <v>691</v>
      </c>
      <c r="G122" s="7" t="s">
        <v>692</v>
      </c>
      <c r="H122" s="7" t="s">
        <v>693</v>
      </c>
      <c r="I122" s="7" t="s">
        <v>694</v>
      </c>
      <c r="J122" s="7" t="s">
        <v>695</v>
      </c>
      <c r="K122" s="7" t="s">
        <v>696</v>
      </c>
      <c r="L122" s="7" t="s">
        <v>697</v>
      </c>
      <c r="M122" s="7" t="s">
        <v>698</v>
      </c>
      <c r="N122" s="7" t="s">
        <v>699</v>
      </c>
      <c r="O122" s="7" t="s">
        <v>700</v>
      </c>
      <c r="P122" s="7" t="s">
        <v>701</v>
      </c>
      <c r="Q122" s="7" t="s">
        <v>702</v>
      </c>
      <c r="R122" s="7" t="s">
        <v>703</v>
      </c>
      <c r="S122" s="7" t="s">
        <v>704</v>
      </c>
      <c r="T122" s="7" t="s">
        <v>705</v>
      </c>
      <c r="U122" s="7" t="s">
        <v>706</v>
      </c>
      <c r="V122" s="7" t="s">
        <v>707</v>
      </c>
      <c r="W122" s="7" t="s">
        <v>708</v>
      </c>
      <c r="X122" s="7" t="s">
        <v>709</v>
      </c>
      <c r="Y122" s="7" t="s">
        <v>710</v>
      </c>
      <c r="Z122" s="7" t="s">
        <v>711</v>
      </c>
      <c r="AA122" s="7" t="s">
        <v>712</v>
      </c>
      <c r="AB122" s="7" t="s">
        <v>694</v>
      </c>
      <c r="AC122" s="7" t="s">
        <v>713</v>
      </c>
      <c r="AD122" s="7" t="s">
        <v>714</v>
      </c>
      <c r="AE122" s="7" t="s">
        <v>715</v>
      </c>
      <c r="AF122" s="7" t="s">
        <v>716</v>
      </c>
      <c r="AG122" s="7" t="s">
        <v>688</v>
      </c>
      <c r="AH122" s="7" t="s">
        <v>689</v>
      </c>
      <c r="AI122" s="7" t="s">
        <v>747</v>
      </c>
      <c r="AJ122" s="7" t="s">
        <v>696</v>
      </c>
      <c r="AK122" s="7" t="s">
        <v>773</v>
      </c>
    </row>
    <row r="123" spans="1:37" ht="78" customHeight="1" x14ac:dyDescent="0.4">
      <c r="A123" s="67" t="s">
        <v>95</v>
      </c>
      <c r="B123" t="e">
        <f>_xlfn.XLOOKUP(A123,'Product info'!A:A,'Product info'!C:C,,2)</f>
        <v>#N/A</v>
      </c>
      <c r="C123" s="69" t="s">
        <v>688</v>
      </c>
      <c r="D123" s="7" t="s">
        <v>689</v>
      </c>
      <c r="E123" s="7" t="s">
        <v>747</v>
      </c>
      <c r="F123" s="7" t="s">
        <v>696</v>
      </c>
      <c r="G123" s="7" t="s">
        <v>773</v>
      </c>
    </row>
    <row r="124" spans="1:37" ht="78" customHeight="1" x14ac:dyDescent="0.4">
      <c r="A124" s="67" t="s">
        <v>315</v>
      </c>
      <c r="B124" t="e">
        <f>_xlfn.XLOOKUP(A124,'Product info'!A:A,'Product info'!C:C,,2)</f>
        <v>#N/A</v>
      </c>
    </row>
    <row r="125" spans="1:37" ht="78" customHeight="1" x14ac:dyDescent="0.4">
      <c r="A125" s="67" t="s">
        <v>314</v>
      </c>
      <c r="B125" t="e">
        <f>_xlfn.XLOOKUP(A125,'Product info'!A:A,'Product info'!C:C,,2)</f>
        <v>#N/A</v>
      </c>
    </row>
    <row r="126" spans="1:37" ht="78" customHeight="1" x14ac:dyDescent="0.4">
      <c r="A126" s="67" t="s">
        <v>124</v>
      </c>
      <c r="B126" t="str">
        <f>_xlfn.XLOOKUP(A126,'Product info'!A:A,'Product info'!C:C,,2)</f>
        <v>Blanket Leaves DE</v>
      </c>
    </row>
    <row r="127" spans="1:37" ht="78" customHeight="1" x14ac:dyDescent="0.4">
      <c r="A127" s="67" t="s">
        <v>144</v>
      </c>
      <c r="B127" t="e">
        <f>_xlfn.XLOOKUP(A127,'Product info'!A:A,'Product info'!C:C,,2)</f>
        <v>#N/A</v>
      </c>
      <c r="C127" s="69" t="s">
        <v>688</v>
      </c>
      <c r="D127" s="7" t="s">
        <v>689</v>
      </c>
      <c r="E127" s="7" t="s">
        <v>747</v>
      </c>
      <c r="F127" s="7" t="s">
        <v>696</v>
      </c>
      <c r="G127" s="7" t="s">
        <v>773</v>
      </c>
    </row>
    <row r="128" spans="1:37" ht="78" customHeight="1" x14ac:dyDescent="0.4">
      <c r="A128" s="67" t="s">
        <v>145</v>
      </c>
      <c r="B128" t="e">
        <f>_xlfn.XLOOKUP(A128,'Product info'!A:A,'Product info'!C:C,,2)</f>
        <v>#N/A</v>
      </c>
      <c r="C128" s="69" t="s">
        <v>688</v>
      </c>
      <c r="D128" s="7" t="s">
        <v>689</v>
      </c>
      <c r="E128" s="7" t="s">
        <v>690</v>
      </c>
      <c r="F128" s="7" t="s">
        <v>691</v>
      </c>
      <c r="G128" s="7" t="s">
        <v>692</v>
      </c>
      <c r="H128" s="7" t="s">
        <v>693</v>
      </c>
      <c r="I128" s="7" t="s">
        <v>694</v>
      </c>
      <c r="J128" s="7" t="s">
        <v>695</v>
      </c>
      <c r="K128" s="7" t="s">
        <v>696</v>
      </c>
      <c r="L128" s="7" t="s">
        <v>697</v>
      </c>
      <c r="M128" s="7" t="s">
        <v>698</v>
      </c>
      <c r="N128" s="7" t="s">
        <v>699</v>
      </c>
      <c r="O128" s="7" t="s">
        <v>700</v>
      </c>
      <c r="P128" s="7" t="s">
        <v>701</v>
      </c>
      <c r="Q128" s="7" t="s">
        <v>702</v>
      </c>
      <c r="R128" s="7" t="s">
        <v>703</v>
      </c>
      <c r="S128" s="7" t="s">
        <v>704</v>
      </c>
      <c r="T128" s="7" t="s">
        <v>705</v>
      </c>
      <c r="U128" s="7" t="s">
        <v>706</v>
      </c>
      <c r="V128" s="7" t="s">
        <v>707</v>
      </c>
      <c r="W128" s="7" t="s">
        <v>708</v>
      </c>
      <c r="X128" s="7" t="s">
        <v>709</v>
      </c>
      <c r="Y128" s="7" t="s">
        <v>710</v>
      </c>
      <c r="Z128" s="7" t="s">
        <v>711</v>
      </c>
      <c r="AA128" s="7" t="s">
        <v>712</v>
      </c>
      <c r="AB128" s="7" t="s">
        <v>694</v>
      </c>
      <c r="AC128" s="7" t="s">
        <v>713</v>
      </c>
      <c r="AD128" s="7" t="s">
        <v>714</v>
      </c>
      <c r="AE128" s="7" t="s">
        <v>715</v>
      </c>
      <c r="AF128" s="7" t="s">
        <v>716</v>
      </c>
      <c r="AG128" s="7" t="s">
        <v>688</v>
      </c>
      <c r="AH128" s="7" t="s">
        <v>689</v>
      </c>
      <c r="AI128" s="7" t="s">
        <v>747</v>
      </c>
      <c r="AJ128" s="7" t="s">
        <v>696</v>
      </c>
      <c r="AK128" s="7" t="s">
        <v>773</v>
      </c>
    </row>
    <row r="129" spans="1:51" ht="78" customHeight="1" x14ac:dyDescent="0.4">
      <c r="A129" s="67" t="s">
        <v>143</v>
      </c>
      <c r="B129" t="e">
        <f>_xlfn.XLOOKUP(A129,'Product info'!A:A,'Product info'!C:C,,2)</f>
        <v>#N/A</v>
      </c>
      <c r="C129" s="69" t="s">
        <v>688</v>
      </c>
      <c r="D129" s="7" t="s">
        <v>689</v>
      </c>
      <c r="E129" s="7" t="s">
        <v>747</v>
      </c>
      <c r="F129" s="7" t="s">
        <v>696</v>
      </c>
      <c r="G129" s="7" t="s">
        <v>773</v>
      </c>
    </row>
    <row r="130" spans="1:51" ht="78" customHeight="1" x14ac:dyDescent="0.4">
      <c r="A130" s="67" t="s">
        <v>162</v>
      </c>
      <c r="B130" t="e">
        <f>_xlfn.XLOOKUP(A130,'Product info'!A:A,'Product info'!C:C,,2)</f>
        <v>#N/A</v>
      </c>
      <c r="C130" s="69" t="s">
        <v>688</v>
      </c>
      <c r="D130" s="7" t="s">
        <v>689</v>
      </c>
      <c r="E130" s="7" t="s">
        <v>690</v>
      </c>
      <c r="F130" s="7" t="s">
        <v>691</v>
      </c>
      <c r="G130" s="7" t="s">
        <v>692</v>
      </c>
      <c r="H130" s="7" t="s">
        <v>693</v>
      </c>
      <c r="I130" s="7" t="s">
        <v>694</v>
      </c>
      <c r="J130" s="7" t="s">
        <v>695</v>
      </c>
      <c r="K130" s="7" t="s">
        <v>696</v>
      </c>
      <c r="L130" s="7" t="s">
        <v>697</v>
      </c>
      <c r="M130" s="7" t="s">
        <v>698</v>
      </c>
      <c r="N130" s="7" t="s">
        <v>699</v>
      </c>
      <c r="O130" s="7" t="s">
        <v>700</v>
      </c>
      <c r="P130" s="7" t="s">
        <v>701</v>
      </c>
      <c r="Q130" s="7" t="s">
        <v>702</v>
      </c>
      <c r="R130" s="7" t="s">
        <v>703</v>
      </c>
      <c r="S130" s="7" t="s">
        <v>704</v>
      </c>
      <c r="T130" s="7" t="s">
        <v>705</v>
      </c>
      <c r="U130" s="7" t="s">
        <v>706</v>
      </c>
      <c r="V130" s="7" t="s">
        <v>707</v>
      </c>
      <c r="W130" s="7" t="s">
        <v>708</v>
      </c>
      <c r="X130" s="7" t="s">
        <v>709</v>
      </c>
      <c r="Y130" s="7" t="s">
        <v>710</v>
      </c>
      <c r="Z130" s="7" t="s">
        <v>711</v>
      </c>
      <c r="AA130" s="7" t="s">
        <v>712</v>
      </c>
      <c r="AB130" s="7" t="s">
        <v>694</v>
      </c>
      <c r="AC130" s="7" t="s">
        <v>713</v>
      </c>
      <c r="AD130" s="7" t="s">
        <v>714</v>
      </c>
      <c r="AE130" s="7" t="s">
        <v>715</v>
      </c>
      <c r="AF130" s="7" t="s">
        <v>716</v>
      </c>
      <c r="AG130" s="7" t="s">
        <v>688</v>
      </c>
      <c r="AH130" s="7" t="s">
        <v>689</v>
      </c>
      <c r="AI130" s="7" t="s">
        <v>747</v>
      </c>
      <c r="AJ130" s="7" t="s">
        <v>696</v>
      </c>
      <c r="AK130" s="7" t="s">
        <v>773</v>
      </c>
    </row>
    <row r="131" spans="1:51" ht="78" customHeight="1" x14ac:dyDescent="0.4">
      <c r="A131" s="67" t="s">
        <v>146</v>
      </c>
      <c r="B131" t="e">
        <f>_xlfn.XLOOKUP(A131,'Product info'!A:A,'Product info'!C:C,,2)</f>
        <v>#N/A</v>
      </c>
      <c r="C131" s="69" t="s">
        <v>688</v>
      </c>
      <c r="D131" s="7" t="s">
        <v>689</v>
      </c>
      <c r="E131" s="7" t="s">
        <v>690</v>
      </c>
      <c r="F131" s="7" t="s">
        <v>691</v>
      </c>
      <c r="G131" s="7" t="s">
        <v>692</v>
      </c>
      <c r="H131" s="7" t="s">
        <v>693</v>
      </c>
      <c r="I131" s="7" t="s">
        <v>694</v>
      </c>
      <c r="J131" s="7" t="s">
        <v>695</v>
      </c>
      <c r="K131" s="7" t="s">
        <v>696</v>
      </c>
      <c r="L131" s="7" t="s">
        <v>697</v>
      </c>
      <c r="M131" s="7" t="s">
        <v>698</v>
      </c>
      <c r="N131" s="7" t="s">
        <v>699</v>
      </c>
      <c r="O131" s="7" t="s">
        <v>700</v>
      </c>
      <c r="P131" s="7" t="s">
        <v>701</v>
      </c>
      <c r="Q131" s="7" t="s">
        <v>702</v>
      </c>
      <c r="R131" s="7" t="s">
        <v>703</v>
      </c>
      <c r="S131" s="7" t="s">
        <v>704</v>
      </c>
      <c r="T131" s="7" t="s">
        <v>705</v>
      </c>
      <c r="U131" s="7" t="s">
        <v>706</v>
      </c>
      <c r="V131" s="7" t="s">
        <v>707</v>
      </c>
      <c r="W131" s="7" t="s">
        <v>708</v>
      </c>
      <c r="X131" s="7" t="s">
        <v>709</v>
      </c>
      <c r="Y131" s="7" t="s">
        <v>710</v>
      </c>
      <c r="Z131" s="7" t="s">
        <v>711</v>
      </c>
      <c r="AA131" s="7" t="s">
        <v>712</v>
      </c>
      <c r="AB131" s="7" t="s">
        <v>694</v>
      </c>
      <c r="AC131" s="7" t="s">
        <v>713</v>
      </c>
      <c r="AD131" s="7" t="s">
        <v>714</v>
      </c>
      <c r="AE131" s="7" t="s">
        <v>715</v>
      </c>
      <c r="AF131" s="7" t="s">
        <v>716</v>
      </c>
      <c r="AG131" s="7" t="s">
        <v>688</v>
      </c>
      <c r="AH131" s="7" t="s">
        <v>689</v>
      </c>
      <c r="AI131" s="7" t="s">
        <v>747</v>
      </c>
      <c r="AJ131" s="7" t="s">
        <v>696</v>
      </c>
      <c r="AK131" s="7" t="s">
        <v>773</v>
      </c>
    </row>
    <row r="132" spans="1:51" ht="78" customHeight="1" x14ac:dyDescent="0.4">
      <c r="A132" s="67" t="s">
        <v>515</v>
      </c>
      <c r="B132" t="e">
        <f>_xlfn.XLOOKUP(A132,'Product info'!A:A,'Product info'!C:C,,2)</f>
        <v>#N/A</v>
      </c>
      <c r="C132" s="69" t="s">
        <v>688</v>
      </c>
      <c r="D132" s="7" t="s">
        <v>689</v>
      </c>
      <c r="E132" s="7" t="s">
        <v>690</v>
      </c>
      <c r="F132" s="7" t="s">
        <v>691</v>
      </c>
      <c r="G132" s="7" t="s">
        <v>692</v>
      </c>
      <c r="H132" s="7" t="s">
        <v>693</v>
      </c>
      <c r="I132" s="7" t="s">
        <v>694</v>
      </c>
      <c r="J132" s="7" t="s">
        <v>695</v>
      </c>
      <c r="K132" s="7" t="s">
        <v>696</v>
      </c>
      <c r="L132" s="7" t="s">
        <v>697</v>
      </c>
      <c r="M132" s="7" t="s">
        <v>698</v>
      </c>
      <c r="N132" s="7" t="s">
        <v>699</v>
      </c>
      <c r="O132" s="7" t="s">
        <v>700</v>
      </c>
      <c r="P132" s="7" t="s">
        <v>701</v>
      </c>
      <c r="Q132" s="7" t="s">
        <v>702</v>
      </c>
      <c r="R132" s="7" t="s">
        <v>703</v>
      </c>
      <c r="S132" s="7" t="s">
        <v>704</v>
      </c>
      <c r="T132" s="7" t="s">
        <v>705</v>
      </c>
      <c r="U132" s="7" t="s">
        <v>706</v>
      </c>
      <c r="V132" s="7" t="s">
        <v>707</v>
      </c>
      <c r="W132" s="7" t="s">
        <v>708</v>
      </c>
      <c r="X132" s="7" t="s">
        <v>709</v>
      </c>
      <c r="Y132" s="7" t="s">
        <v>710</v>
      </c>
      <c r="Z132" s="7" t="s">
        <v>711</v>
      </c>
      <c r="AA132" s="7" t="s">
        <v>712</v>
      </c>
      <c r="AB132" s="7" t="s">
        <v>694</v>
      </c>
      <c r="AC132" s="7" t="s">
        <v>713</v>
      </c>
      <c r="AD132" s="7" t="s">
        <v>714</v>
      </c>
      <c r="AE132" s="7" t="s">
        <v>715</v>
      </c>
      <c r="AF132" s="7" t="s">
        <v>716</v>
      </c>
      <c r="AG132" s="7" t="s">
        <v>688</v>
      </c>
      <c r="AH132" s="7" t="s">
        <v>689</v>
      </c>
      <c r="AI132" s="7" t="s">
        <v>747</v>
      </c>
      <c r="AJ132" s="7" t="s">
        <v>696</v>
      </c>
      <c r="AK132" s="7" t="s">
        <v>773</v>
      </c>
      <c r="AL132" s="7" t="s">
        <v>871</v>
      </c>
      <c r="AM132" s="7" t="s">
        <v>872</v>
      </c>
      <c r="AN132" s="7" t="s">
        <v>873</v>
      </c>
    </row>
    <row r="133" spans="1:51" ht="78" customHeight="1" x14ac:dyDescent="0.4">
      <c r="A133" s="67" t="s">
        <v>513</v>
      </c>
      <c r="B133" t="e">
        <f>_xlfn.XLOOKUP(A133,'Product info'!A:A,'Product info'!C:C,,2)</f>
        <v>#N/A</v>
      </c>
      <c r="C133" s="69" t="s">
        <v>688</v>
      </c>
      <c r="D133" s="7" t="s">
        <v>689</v>
      </c>
      <c r="E133" s="7" t="s">
        <v>690</v>
      </c>
      <c r="F133" s="7" t="s">
        <v>691</v>
      </c>
      <c r="G133" s="7" t="s">
        <v>692</v>
      </c>
      <c r="H133" s="7" t="s">
        <v>693</v>
      </c>
      <c r="I133" s="7" t="s">
        <v>694</v>
      </c>
      <c r="J133" s="7" t="s">
        <v>695</v>
      </c>
      <c r="K133" s="7" t="s">
        <v>696</v>
      </c>
      <c r="L133" s="7" t="s">
        <v>697</v>
      </c>
      <c r="M133" s="7" t="s">
        <v>698</v>
      </c>
      <c r="N133" s="7" t="s">
        <v>699</v>
      </c>
      <c r="O133" s="7" t="s">
        <v>700</v>
      </c>
      <c r="P133" s="7" t="s">
        <v>701</v>
      </c>
      <c r="Q133" s="7" t="s">
        <v>702</v>
      </c>
      <c r="R133" s="7" t="s">
        <v>703</v>
      </c>
      <c r="S133" s="7" t="s">
        <v>704</v>
      </c>
      <c r="T133" s="7" t="s">
        <v>705</v>
      </c>
      <c r="U133" s="7" t="s">
        <v>706</v>
      </c>
      <c r="V133" s="7" t="s">
        <v>707</v>
      </c>
      <c r="W133" s="7" t="s">
        <v>708</v>
      </c>
      <c r="X133" s="7" t="s">
        <v>709</v>
      </c>
      <c r="Y133" s="7" t="s">
        <v>710</v>
      </c>
      <c r="Z133" s="7" t="s">
        <v>711</v>
      </c>
      <c r="AA133" s="7" t="s">
        <v>712</v>
      </c>
      <c r="AB133" s="7" t="s">
        <v>694</v>
      </c>
      <c r="AC133" s="7" t="s">
        <v>713</v>
      </c>
      <c r="AD133" s="7" t="s">
        <v>714</v>
      </c>
      <c r="AE133" s="7" t="s">
        <v>715</v>
      </c>
      <c r="AF133" s="7" t="s">
        <v>716</v>
      </c>
      <c r="AG133" s="7" t="s">
        <v>688</v>
      </c>
      <c r="AH133" s="7" t="s">
        <v>689</v>
      </c>
      <c r="AI133" s="7" t="s">
        <v>747</v>
      </c>
      <c r="AJ133" s="7" t="s">
        <v>696</v>
      </c>
      <c r="AK133" s="7" t="s">
        <v>773</v>
      </c>
      <c r="AL133" s="7" t="s">
        <v>871</v>
      </c>
      <c r="AM133" s="7" t="s">
        <v>872</v>
      </c>
      <c r="AN133" s="7" t="s">
        <v>873</v>
      </c>
    </row>
    <row r="134" spans="1:51" ht="78" customHeight="1" x14ac:dyDescent="0.4">
      <c r="A134" s="67" t="s">
        <v>514</v>
      </c>
      <c r="B134" t="e">
        <f>_xlfn.XLOOKUP(A134,'Product info'!A:A,'Product info'!C:C,,2)</f>
        <v>#N/A</v>
      </c>
      <c r="C134" s="69" t="s">
        <v>688</v>
      </c>
      <c r="D134" s="7" t="s">
        <v>689</v>
      </c>
      <c r="E134" s="7" t="s">
        <v>690</v>
      </c>
      <c r="F134" s="7" t="s">
        <v>691</v>
      </c>
      <c r="G134" s="7" t="s">
        <v>692</v>
      </c>
      <c r="H134" s="7" t="s">
        <v>693</v>
      </c>
      <c r="I134" s="7" t="s">
        <v>694</v>
      </c>
      <c r="J134" s="7" t="s">
        <v>695</v>
      </c>
      <c r="K134" s="7" t="s">
        <v>696</v>
      </c>
      <c r="L134" s="7" t="s">
        <v>697</v>
      </c>
      <c r="M134" s="7" t="s">
        <v>698</v>
      </c>
      <c r="N134" s="7" t="s">
        <v>699</v>
      </c>
      <c r="O134" s="7" t="s">
        <v>700</v>
      </c>
      <c r="P134" s="7" t="s">
        <v>701</v>
      </c>
      <c r="Q134" s="7" t="s">
        <v>702</v>
      </c>
      <c r="R134" s="7" t="s">
        <v>703</v>
      </c>
      <c r="S134" s="7" t="s">
        <v>704</v>
      </c>
      <c r="T134" s="7" t="s">
        <v>705</v>
      </c>
      <c r="U134" s="7" t="s">
        <v>706</v>
      </c>
      <c r="V134" s="7" t="s">
        <v>707</v>
      </c>
      <c r="W134" s="7" t="s">
        <v>708</v>
      </c>
      <c r="X134" s="7" t="s">
        <v>709</v>
      </c>
      <c r="Y134" s="7" t="s">
        <v>710</v>
      </c>
      <c r="Z134" s="7" t="s">
        <v>711</v>
      </c>
      <c r="AA134" s="7" t="s">
        <v>712</v>
      </c>
      <c r="AB134" s="7" t="s">
        <v>694</v>
      </c>
      <c r="AC134" s="7" t="s">
        <v>713</v>
      </c>
      <c r="AD134" s="7" t="s">
        <v>714</v>
      </c>
      <c r="AE134" s="7" t="s">
        <v>715</v>
      </c>
      <c r="AF134" s="7" t="s">
        <v>716</v>
      </c>
      <c r="AG134" s="7" t="s">
        <v>688</v>
      </c>
      <c r="AH134" s="7" t="s">
        <v>689</v>
      </c>
      <c r="AI134" s="7" t="s">
        <v>747</v>
      </c>
      <c r="AJ134" s="7" t="s">
        <v>696</v>
      </c>
      <c r="AK134" s="7" t="s">
        <v>773</v>
      </c>
      <c r="AL134" s="7" t="s">
        <v>871</v>
      </c>
      <c r="AM134" s="7" t="s">
        <v>872</v>
      </c>
      <c r="AN134" s="7" t="s">
        <v>873</v>
      </c>
    </row>
    <row r="135" spans="1:51" ht="78" customHeight="1" x14ac:dyDescent="0.4">
      <c r="A135" s="67" t="s">
        <v>301</v>
      </c>
      <c r="B135" t="e">
        <f>_xlfn.XLOOKUP(A135,'Product info'!A:A,'Product info'!C:C,,2)</f>
        <v>#N/A</v>
      </c>
      <c r="C135" s="69" t="s">
        <v>688</v>
      </c>
      <c r="D135" s="7" t="s">
        <v>689</v>
      </c>
      <c r="E135" s="7" t="s">
        <v>747</v>
      </c>
      <c r="F135" s="7" t="s">
        <v>696</v>
      </c>
      <c r="G135" s="7" t="s">
        <v>773</v>
      </c>
      <c r="H135" s="7" t="s">
        <v>874</v>
      </c>
      <c r="I135" s="7" t="s">
        <v>875</v>
      </c>
      <c r="J135" s="7" t="s">
        <v>876</v>
      </c>
    </row>
    <row r="136" spans="1:51" ht="78" customHeight="1" x14ac:dyDescent="0.4">
      <c r="A136" s="67" t="s">
        <v>465</v>
      </c>
      <c r="B136" t="e">
        <f>_xlfn.XLOOKUP(A136,'Product info'!A:A,'Product info'!C:C,,2)</f>
        <v>#N/A</v>
      </c>
      <c r="C136" s="69" t="s">
        <v>688</v>
      </c>
      <c r="D136" s="7" t="s">
        <v>689</v>
      </c>
      <c r="E136" s="7" t="s">
        <v>690</v>
      </c>
      <c r="F136" s="7" t="s">
        <v>691</v>
      </c>
      <c r="G136" s="7" t="s">
        <v>692</v>
      </c>
      <c r="H136" s="7" t="s">
        <v>693</v>
      </c>
      <c r="I136" s="7" t="s">
        <v>694</v>
      </c>
      <c r="J136" s="7" t="s">
        <v>695</v>
      </c>
      <c r="K136" s="7" t="s">
        <v>696</v>
      </c>
      <c r="L136" s="7" t="s">
        <v>697</v>
      </c>
      <c r="M136" s="7" t="s">
        <v>698</v>
      </c>
      <c r="N136" s="7" t="s">
        <v>699</v>
      </c>
      <c r="O136" s="7" t="s">
        <v>700</v>
      </c>
      <c r="P136" s="7" t="s">
        <v>701</v>
      </c>
      <c r="Q136" s="7" t="s">
        <v>702</v>
      </c>
      <c r="R136" s="7" t="s">
        <v>703</v>
      </c>
      <c r="S136" s="7" t="s">
        <v>704</v>
      </c>
      <c r="T136" s="7" t="s">
        <v>705</v>
      </c>
      <c r="U136" s="7" t="s">
        <v>706</v>
      </c>
      <c r="V136" s="7" t="s">
        <v>707</v>
      </c>
      <c r="W136" s="7" t="s">
        <v>708</v>
      </c>
      <c r="X136" s="7" t="s">
        <v>709</v>
      </c>
      <c r="Y136" s="7" t="s">
        <v>710</v>
      </c>
      <c r="Z136" s="7" t="s">
        <v>711</v>
      </c>
      <c r="AA136" s="7" t="s">
        <v>712</v>
      </c>
      <c r="AB136" s="7" t="s">
        <v>694</v>
      </c>
      <c r="AC136" s="7" t="s">
        <v>713</v>
      </c>
      <c r="AD136" s="7" t="s">
        <v>714</v>
      </c>
      <c r="AE136" s="7" t="s">
        <v>715</v>
      </c>
      <c r="AF136" s="7" t="s">
        <v>716</v>
      </c>
      <c r="AG136" s="7" t="s">
        <v>688</v>
      </c>
      <c r="AH136" s="7" t="s">
        <v>689</v>
      </c>
      <c r="AI136" s="7" t="s">
        <v>747</v>
      </c>
      <c r="AJ136" s="7" t="s">
        <v>696</v>
      </c>
      <c r="AK136" s="7" t="s">
        <v>773</v>
      </c>
      <c r="AL136" s="7" t="s">
        <v>877</v>
      </c>
      <c r="AM136" s="7" t="s">
        <v>878</v>
      </c>
      <c r="AN136" s="7" t="s">
        <v>879</v>
      </c>
      <c r="AO136" s="7" t="s">
        <v>880</v>
      </c>
      <c r="AP136" s="7" t="s">
        <v>881</v>
      </c>
      <c r="AQ136" s="7" t="s">
        <v>882</v>
      </c>
      <c r="AR136" s="7" t="s">
        <v>883</v>
      </c>
    </row>
    <row r="137" spans="1:51" ht="78" customHeight="1" x14ac:dyDescent="0.4">
      <c r="A137" s="67" t="s">
        <v>210</v>
      </c>
      <c r="B137" t="e">
        <f>_xlfn.XLOOKUP(A137,'Product info'!A:A,'Product info'!C:C,,2)</f>
        <v>#N/A</v>
      </c>
      <c r="C137" s="69" t="s">
        <v>688</v>
      </c>
      <c r="D137" s="7" t="s">
        <v>689</v>
      </c>
      <c r="E137" s="7" t="s">
        <v>690</v>
      </c>
      <c r="F137" s="7" t="s">
        <v>691</v>
      </c>
      <c r="G137" s="7" t="s">
        <v>692</v>
      </c>
      <c r="H137" s="7" t="s">
        <v>693</v>
      </c>
      <c r="I137" s="7" t="s">
        <v>694</v>
      </c>
      <c r="J137" s="7" t="s">
        <v>695</v>
      </c>
      <c r="K137" s="7" t="s">
        <v>696</v>
      </c>
      <c r="L137" s="7" t="s">
        <v>697</v>
      </c>
      <c r="M137" s="7" t="s">
        <v>698</v>
      </c>
      <c r="N137" s="7" t="s">
        <v>699</v>
      </c>
      <c r="O137" s="7" t="s">
        <v>700</v>
      </c>
      <c r="P137" s="7" t="s">
        <v>701</v>
      </c>
      <c r="Q137" s="7" t="s">
        <v>702</v>
      </c>
      <c r="R137" s="7" t="s">
        <v>703</v>
      </c>
      <c r="S137" s="7" t="s">
        <v>704</v>
      </c>
      <c r="T137" s="7" t="s">
        <v>705</v>
      </c>
      <c r="U137" s="7" t="s">
        <v>706</v>
      </c>
      <c r="V137" s="7" t="s">
        <v>707</v>
      </c>
      <c r="W137" s="7" t="s">
        <v>708</v>
      </c>
      <c r="X137" s="7" t="s">
        <v>709</v>
      </c>
      <c r="Y137" s="7" t="s">
        <v>710</v>
      </c>
      <c r="Z137" s="7" t="s">
        <v>711</v>
      </c>
      <c r="AA137" s="7" t="s">
        <v>712</v>
      </c>
      <c r="AB137" s="7" t="s">
        <v>694</v>
      </c>
      <c r="AC137" s="7" t="s">
        <v>713</v>
      </c>
      <c r="AD137" s="7" t="s">
        <v>714</v>
      </c>
      <c r="AE137" s="7" t="s">
        <v>715</v>
      </c>
      <c r="AF137" s="7" t="s">
        <v>716</v>
      </c>
      <c r="AG137" s="7" t="s">
        <v>688</v>
      </c>
      <c r="AH137" s="7" t="s">
        <v>689</v>
      </c>
      <c r="AI137" s="7" t="s">
        <v>747</v>
      </c>
      <c r="AJ137" s="7" t="s">
        <v>696</v>
      </c>
      <c r="AK137" s="7" t="s">
        <v>773</v>
      </c>
      <c r="AL137" s="7" t="s">
        <v>884</v>
      </c>
      <c r="AM137" s="7" t="s">
        <v>885</v>
      </c>
      <c r="AN137" s="7" t="s">
        <v>886</v>
      </c>
      <c r="AO137" s="7" t="s">
        <v>887</v>
      </c>
      <c r="AP137" s="7" t="s">
        <v>888</v>
      </c>
      <c r="AQ137" s="7" t="s">
        <v>889</v>
      </c>
      <c r="AR137" s="7" t="s">
        <v>890</v>
      </c>
      <c r="AS137" s="7" t="s">
        <v>891</v>
      </c>
      <c r="AT137" s="7" t="s">
        <v>892</v>
      </c>
      <c r="AU137" s="7" t="s">
        <v>893</v>
      </c>
      <c r="AV137" s="7" t="s">
        <v>894</v>
      </c>
      <c r="AW137" s="7" t="s">
        <v>895</v>
      </c>
    </row>
    <row r="138" spans="1:51" ht="78" customHeight="1" x14ac:dyDescent="0.4">
      <c r="A138" s="67" t="s">
        <v>209</v>
      </c>
      <c r="B138" t="e">
        <f>_xlfn.XLOOKUP(A138,'Product info'!A:A,'Product info'!C:C,,2)</f>
        <v>#N/A</v>
      </c>
      <c r="C138" s="69" t="s">
        <v>688</v>
      </c>
      <c r="D138" s="7" t="s">
        <v>689</v>
      </c>
      <c r="E138" s="7" t="s">
        <v>690</v>
      </c>
      <c r="F138" s="7" t="s">
        <v>691</v>
      </c>
      <c r="G138" s="7" t="s">
        <v>692</v>
      </c>
      <c r="H138" s="7" t="s">
        <v>693</v>
      </c>
      <c r="I138" s="7" t="s">
        <v>694</v>
      </c>
      <c r="J138" s="7" t="s">
        <v>695</v>
      </c>
      <c r="K138" s="7" t="s">
        <v>696</v>
      </c>
      <c r="L138" s="7" t="s">
        <v>697</v>
      </c>
      <c r="M138" s="7" t="s">
        <v>698</v>
      </c>
      <c r="N138" s="7" t="s">
        <v>699</v>
      </c>
      <c r="O138" s="7" t="s">
        <v>700</v>
      </c>
      <c r="P138" s="7" t="s">
        <v>701</v>
      </c>
      <c r="Q138" s="7" t="s">
        <v>702</v>
      </c>
      <c r="R138" s="7" t="s">
        <v>703</v>
      </c>
      <c r="S138" s="7" t="s">
        <v>704</v>
      </c>
      <c r="T138" s="7" t="s">
        <v>705</v>
      </c>
      <c r="U138" s="7" t="s">
        <v>706</v>
      </c>
      <c r="V138" s="7" t="s">
        <v>707</v>
      </c>
      <c r="W138" s="7" t="s">
        <v>708</v>
      </c>
      <c r="X138" s="7" t="s">
        <v>709</v>
      </c>
      <c r="Y138" s="7" t="s">
        <v>710</v>
      </c>
      <c r="Z138" s="7" t="s">
        <v>711</v>
      </c>
      <c r="AA138" s="7" t="s">
        <v>712</v>
      </c>
      <c r="AB138" s="7" t="s">
        <v>694</v>
      </c>
      <c r="AC138" s="7" t="s">
        <v>713</v>
      </c>
      <c r="AD138" s="7" t="s">
        <v>714</v>
      </c>
      <c r="AE138" s="7" t="s">
        <v>715</v>
      </c>
      <c r="AF138" s="7" t="s">
        <v>716</v>
      </c>
      <c r="AG138" s="7" t="s">
        <v>688</v>
      </c>
      <c r="AH138" s="7" t="s">
        <v>689</v>
      </c>
      <c r="AI138" s="7" t="s">
        <v>747</v>
      </c>
      <c r="AJ138" s="7" t="s">
        <v>696</v>
      </c>
      <c r="AK138" s="7" t="s">
        <v>773</v>
      </c>
      <c r="AL138" s="7" t="s">
        <v>884</v>
      </c>
      <c r="AM138" s="7" t="s">
        <v>885</v>
      </c>
      <c r="AN138" s="7" t="s">
        <v>886</v>
      </c>
      <c r="AO138" s="7" t="s">
        <v>887</v>
      </c>
      <c r="AP138" s="7" t="s">
        <v>888</v>
      </c>
      <c r="AQ138" s="7" t="s">
        <v>889</v>
      </c>
      <c r="AR138" s="7" t="s">
        <v>890</v>
      </c>
      <c r="AS138" s="7" t="s">
        <v>891</v>
      </c>
      <c r="AT138" s="7" t="s">
        <v>892</v>
      </c>
      <c r="AU138" s="7" t="s">
        <v>893</v>
      </c>
      <c r="AV138" s="7" t="s">
        <v>894</v>
      </c>
      <c r="AW138" s="7" t="s">
        <v>895</v>
      </c>
    </row>
    <row r="139" spans="1:51" ht="78" customHeight="1" x14ac:dyDescent="0.4">
      <c r="A139" s="67" t="s">
        <v>67</v>
      </c>
      <c r="B139" t="e">
        <f>_xlfn.XLOOKUP(A139,'Product info'!A:A,'Product info'!C:C,,2)</f>
        <v>#N/A</v>
      </c>
      <c r="C139" s="69" t="s">
        <v>688</v>
      </c>
      <c r="D139" s="7" t="s">
        <v>689</v>
      </c>
      <c r="E139" s="7" t="s">
        <v>747</v>
      </c>
      <c r="F139" s="7" t="s">
        <v>696</v>
      </c>
      <c r="G139" s="7" t="s">
        <v>773</v>
      </c>
      <c r="H139" s="7" t="s">
        <v>896</v>
      </c>
      <c r="I139" s="7" t="s">
        <v>897</v>
      </c>
      <c r="J139" s="7" t="s">
        <v>898</v>
      </c>
      <c r="K139" s="7" t="s">
        <v>899</v>
      </c>
      <c r="L139" s="7" t="s">
        <v>900</v>
      </c>
      <c r="M139" s="7" t="s">
        <v>901</v>
      </c>
      <c r="N139" s="7" t="s">
        <v>902</v>
      </c>
    </row>
    <row r="140" spans="1:51" ht="78" customHeight="1" x14ac:dyDescent="0.4">
      <c r="A140" s="67" t="s">
        <v>371</v>
      </c>
      <c r="B140" t="e">
        <f>_xlfn.XLOOKUP(A140,'Product info'!A:A,'Product info'!C:C,,2)</f>
        <v>#N/A</v>
      </c>
      <c r="C140" s="69" t="s">
        <v>688</v>
      </c>
      <c r="D140" s="7" t="s">
        <v>689</v>
      </c>
      <c r="E140" s="7" t="s">
        <v>747</v>
      </c>
      <c r="F140" s="7" t="s">
        <v>696</v>
      </c>
      <c r="G140" s="7" t="s">
        <v>773</v>
      </c>
    </row>
    <row r="141" spans="1:51" ht="78" customHeight="1" x14ac:dyDescent="0.4">
      <c r="A141" s="67" t="s">
        <v>444</v>
      </c>
      <c r="B141" t="e">
        <f>_xlfn.XLOOKUP(A141,'Product info'!A:A,'Product info'!C:C,,2)</f>
        <v>#N/A</v>
      </c>
      <c r="C141" s="69" t="s">
        <v>688</v>
      </c>
      <c r="D141" s="7" t="s">
        <v>689</v>
      </c>
      <c r="E141" s="7" t="s">
        <v>690</v>
      </c>
      <c r="F141" s="7" t="s">
        <v>691</v>
      </c>
      <c r="G141" s="7" t="s">
        <v>692</v>
      </c>
      <c r="H141" s="7" t="s">
        <v>693</v>
      </c>
      <c r="I141" s="7" t="s">
        <v>694</v>
      </c>
      <c r="J141" s="7" t="s">
        <v>695</v>
      </c>
      <c r="K141" s="7" t="s">
        <v>696</v>
      </c>
      <c r="L141" s="7" t="s">
        <v>697</v>
      </c>
      <c r="M141" s="7" t="s">
        <v>698</v>
      </c>
      <c r="N141" s="7" t="s">
        <v>699</v>
      </c>
      <c r="O141" s="7" t="s">
        <v>700</v>
      </c>
      <c r="P141" s="7" t="s">
        <v>701</v>
      </c>
      <c r="Q141" s="7" t="s">
        <v>702</v>
      </c>
      <c r="R141" s="7" t="s">
        <v>703</v>
      </c>
      <c r="S141" s="7" t="s">
        <v>704</v>
      </c>
      <c r="T141" s="7" t="s">
        <v>705</v>
      </c>
      <c r="U141" s="7" t="s">
        <v>706</v>
      </c>
      <c r="V141" s="7" t="s">
        <v>707</v>
      </c>
      <c r="W141" s="7" t="s">
        <v>708</v>
      </c>
      <c r="X141" s="7" t="s">
        <v>709</v>
      </c>
      <c r="Y141" s="7" t="s">
        <v>710</v>
      </c>
      <c r="Z141" s="7" t="s">
        <v>711</v>
      </c>
      <c r="AA141" s="7" t="s">
        <v>712</v>
      </c>
      <c r="AB141" s="7" t="s">
        <v>694</v>
      </c>
      <c r="AC141" s="7" t="s">
        <v>713</v>
      </c>
      <c r="AD141" s="7" t="s">
        <v>714</v>
      </c>
      <c r="AE141" s="7" t="s">
        <v>715</v>
      </c>
      <c r="AF141" s="7" t="s">
        <v>716</v>
      </c>
      <c r="AG141" s="7" t="s">
        <v>903</v>
      </c>
      <c r="AH141" s="7" t="s">
        <v>904</v>
      </c>
      <c r="AI141" s="7" t="s">
        <v>905</v>
      </c>
      <c r="AJ141" s="7" t="s">
        <v>906</v>
      </c>
      <c r="AK141" s="7" t="s">
        <v>907</v>
      </c>
      <c r="AL141" s="7" t="s">
        <v>908</v>
      </c>
      <c r="AM141" s="7" t="s">
        <v>909</v>
      </c>
      <c r="AN141" s="7" t="s">
        <v>910</v>
      </c>
      <c r="AO141" s="7" t="s">
        <v>911</v>
      </c>
      <c r="AP141" s="7" t="s">
        <v>912</v>
      </c>
      <c r="AQ141" s="7" t="s">
        <v>913</v>
      </c>
      <c r="AR141" s="7" t="s">
        <v>914</v>
      </c>
      <c r="AS141" s="7" t="s">
        <v>915</v>
      </c>
      <c r="AT141" s="7" t="s">
        <v>916</v>
      </c>
    </row>
    <row r="142" spans="1:51" ht="78" customHeight="1" x14ac:dyDescent="0.4">
      <c r="A142" s="67" t="s">
        <v>66</v>
      </c>
      <c r="B142" t="e">
        <f>_xlfn.XLOOKUP(A142,'Product info'!A:A,'Product info'!C:C,,2)</f>
        <v>#N/A</v>
      </c>
      <c r="C142" s="69" t="s">
        <v>688</v>
      </c>
      <c r="D142" s="7" t="s">
        <v>689</v>
      </c>
      <c r="E142" s="7" t="s">
        <v>747</v>
      </c>
      <c r="F142" s="7" t="s">
        <v>696</v>
      </c>
      <c r="G142" s="7" t="s">
        <v>773</v>
      </c>
      <c r="H142" s="7" t="s">
        <v>917</v>
      </c>
      <c r="I142" s="7" t="s">
        <v>918</v>
      </c>
      <c r="J142" s="7" t="s">
        <v>919</v>
      </c>
      <c r="K142" s="7" t="s">
        <v>920</v>
      </c>
      <c r="L142" s="7" t="s">
        <v>921</v>
      </c>
      <c r="M142" s="7" t="s">
        <v>922</v>
      </c>
      <c r="N142" s="7" t="s">
        <v>923</v>
      </c>
      <c r="O142" s="7" t="s">
        <v>924</v>
      </c>
      <c r="P142" s="7" t="s">
        <v>925</v>
      </c>
    </row>
    <row r="143" spans="1:51" ht="78" customHeight="1" x14ac:dyDescent="0.4">
      <c r="A143" s="67" t="s">
        <v>224</v>
      </c>
      <c r="B143" t="e">
        <f>_xlfn.XLOOKUP(A143,'Product info'!A:A,'Product info'!C:C,,2)</f>
        <v>#N/A</v>
      </c>
      <c r="C143" s="69" t="s">
        <v>688</v>
      </c>
      <c r="D143" s="7" t="s">
        <v>689</v>
      </c>
      <c r="E143" s="7" t="s">
        <v>690</v>
      </c>
      <c r="F143" s="7" t="s">
        <v>691</v>
      </c>
      <c r="G143" s="7" t="s">
        <v>692</v>
      </c>
      <c r="H143" s="7" t="s">
        <v>693</v>
      </c>
      <c r="I143" s="7" t="s">
        <v>694</v>
      </c>
      <c r="J143" s="7" t="s">
        <v>695</v>
      </c>
      <c r="K143" s="7" t="s">
        <v>696</v>
      </c>
      <c r="L143" s="7" t="s">
        <v>697</v>
      </c>
      <c r="M143" s="7" t="s">
        <v>698</v>
      </c>
      <c r="N143" s="7" t="s">
        <v>699</v>
      </c>
      <c r="O143" s="7" t="s">
        <v>700</v>
      </c>
      <c r="P143" s="7" t="s">
        <v>701</v>
      </c>
      <c r="Q143" s="7" t="s">
        <v>702</v>
      </c>
      <c r="R143" s="7" t="s">
        <v>703</v>
      </c>
      <c r="S143" s="7" t="s">
        <v>704</v>
      </c>
      <c r="T143" s="7" t="s">
        <v>705</v>
      </c>
      <c r="U143" s="7" t="s">
        <v>706</v>
      </c>
      <c r="V143" s="7" t="s">
        <v>707</v>
      </c>
      <c r="W143" s="7" t="s">
        <v>708</v>
      </c>
      <c r="X143" s="7" t="s">
        <v>709</v>
      </c>
      <c r="Y143" s="7" t="s">
        <v>710</v>
      </c>
      <c r="Z143" s="7" t="s">
        <v>711</v>
      </c>
      <c r="AA143" s="7" t="s">
        <v>712</v>
      </c>
      <c r="AB143" s="7" t="s">
        <v>694</v>
      </c>
      <c r="AC143" s="7" t="s">
        <v>713</v>
      </c>
      <c r="AD143" s="7" t="s">
        <v>714</v>
      </c>
      <c r="AE143" s="7" t="s">
        <v>715</v>
      </c>
      <c r="AF143" s="7" t="s">
        <v>716</v>
      </c>
      <c r="AG143" s="7" t="s">
        <v>688</v>
      </c>
      <c r="AH143" s="7" t="s">
        <v>689</v>
      </c>
      <c r="AI143" s="7" t="s">
        <v>747</v>
      </c>
      <c r="AJ143" s="7" t="s">
        <v>696</v>
      </c>
      <c r="AK143" s="7" t="s">
        <v>773</v>
      </c>
      <c r="AL143" s="7" t="s">
        <v>926</v>
      </c>
      <c r="AM143" s="7" t="s">
        <v>927</v>
      </c>
      <c r="AN143" s="7" t="s">
        <v>928</v>
      </c>
      <c r="AO143" s="7" t="s">
        <v>929</v>
      </c>
      <c r="AP143" s="7" t="s">
        <v>930</v>
      </c>
      <c r="AQ143" s="7" t="s">
        <v>931</v>
      </c>
      <c r="AR143" s="7" t="s">
        <v>932</v>
      </c>
      <c r="AS143" s="7" t="s">
        <v>933</v>
      </c>
      <c r="AT143" s="7" t="s">
        <v>934</v>
      </c>
      <c r="AU143" s="7" t="s">
        <v>935</v>
      </c>
      <c r="AV143" s="7" t="s">
        <v>936</v>
      </c>
      <c r="AW143" s="7" t="s">
        <v>937</v>
      </c>
      <c r="AX143" s="7" t="s">
        <v>938</v>
      </c>
      <c r="AY143" s="7" t="s">
        <v>939</v>
      </c>
    </row>
    <row r="144" spans="1:51" ht="78" customHeight="1" x14ac:dyDescent="0.4">
      <c r="A144" s="67" t="s">
        <v>551</v>
      </c>
      <c r="B144" t="e">
        <f>_xlfn.XLOOKUP(A144,'Product info'!A:A,'Product info'!C:C,,2)</f>
        <v>#N/A</v>
      </c>
      <c r="C144" s="69" t="s">
        <v>688</v>
      </c>
      <c r="D144" s="7" t="s">
        <v>689</v>
      </c>
      <c r="E144" s="7" t="s">
        <v>690</v>
      </c>
      <c r="F144" s="7" t="s">
        <v>691</v>
      </c>
      <c r="G144" s="7" t="s">
        <v>692</v>
      </c>
      <c r="H144" s="7" t="s">
        <v>693</v>
      </c>
      <c r="I144" s="7" t="s">
        <v>694</v>
      </c>
      <c r="J144" s="7" t="s">
        <v>695</v>
      </c>
      <c r="K144" s="7" t="s">
        <v>696</v>
      </c>
      <c r="L144" s="7" t="s">
        <v>697</v>
      </c>
      <c r="M144" s="7" t="s">
        <v>698</v>
      </c>
      <c r="N144" s="7" t="s">
        <v>699</v>
      </c>
      <c r="O144" s="7" t="s">
        <v>700</v>
      </c>
      <c r="P144" s="7" t="s">
        <v>701</v>
      </c>
      <c r="Q144" s="7" t="s">
        <v>702</v>
      </c>
      <c r="R144" s="7" t="s">
        <v>703</v>
      </c>
      <c r="S144" s="7" t="s">
        <v>704</v>
      </c>
      <c r="T144" s="7" t="s">
        <v>705</v>
      </c>
      <c r="U144" s="7" t="s">
        <v>706</v>
      </c>
      <c r="V144" s="7" t="s">
        <v>707</v>
      </c>
      <c r="W144" s="7" t="s">
        <v>708</v>
      </c>
      <c r="X144" s="7" t="s">
        <v>709</v>
      </c>
      <c r="Y144" s="7" t="s">
        <v>710</v>
      </c>
      <c r="Z144" s="7" t="s">
        <v>711</v>
      </c>
      <c r="AA144" s="7" t="s">
        <v>712</v>
      </c>
      <c r="AB144" s="7" t="s">
        <v>694</v>
      </c>
      <c r="AC144" s="7" t="s">
        <v>713</v>
      </c>
      <c r="AD144" s="7" t="s">
        <v>714</v>
      </c>
      <c r="AE144" s="7" t="s">
        <v>715</v>
      </c>
      <c r="AF144" s="7" t="s">
        <v>716</v>
      </c>
      <c r="AG144" s="7" t="s">
        <v>688</v>
      </c>
      <c r="AH144" s="7" t="s">
        <v>689</v>
      </c>
      <c r="AI144" s="7" t="s">
        <v>747</v>
      </c>
      <c r="AJ144" s="7" t="s">
        <v>696</v>
      </c>
      <c r="AK144" s="7" t="s">
        <v>773</v>
      </c>
      <c r="AL144" s="7" t="s">
        <v>926</v>
      </c>
      <c r="AM144" s="7" t="s">
        <v>927</v>
      </c>
      <c r="AN144" s="7" t="s">
        <v>928</v>
      </c>
      <c r="AO144" s="7" t="s">
        <v>929</v>
      </c>
      <c r="AP144" s="7" t="s">
        <v>930</v>
      </c>
      <c r="AQ144" s="7" t="s">
        <v>931</v>
      </c>
      <c r="AR144" s="7" t="s">
        <v>932</v>
      </c>
      <c r="AS144" s="7" t="s">
        <v>933</v>
      </c>
      <c r="AT144" s="7" t="s">
        <v>934</v>
      </c>
      <c r="AU144" s="7" t="s">
        <v>935</v>
      </c>
      <c r="AV144" s="7" t="s">
        <v>936</v>
      </c>
      <c r="AW144" s="7" t="s">
        <v>937</v>
      </c>
      <c r="AX144" s="7" t="s">
        <v>938</v>
      </c>
      <c r="AY144" s="7" t="s">
        <v>939</v>
      </c>
    </row>
    <row r="145" spans="1:51" ht="78" customHeight="1" x14ac:dyDescent="0.4">
      <c r="A145" s="67" t="s">
        <v>220</v>
      </c>
      <c r="B145" t="e">
        <f>_xlfn.XLOOKUP(A145,'Product info'!A:A,'Product info'!C:C,,2)</f>
        <v>#N/A</v>
      </c>
      <c r="C145" s="69" t="s">
        <v>688</v>
      </c>
      <c r="D145" s="7" t="s">
        <v>689</v>
      </c>
      <c r="E145" s="7" t="s">
        <v>690</v>
      </c>
      <c r="F145" s="7" t="s">
        <v>691</v>
      </c>
      <c r="G145" s="7" t="s">
        <v>692</v>
      </c>
      <c r="H145" s="7" t="s">
        <v>693</v>
      </c>
      <c r="I145" s="7" t="s">
        <v>694</v>
      </c>
      <c r="J145" s="7" t="s">
        <v>695</v>
      </c>
      <c r="K145" s="7" t="s">
        <v>696</v>
      </c>
      <c r="L145" s="7" t="s">
        <v>697</v>
      </c>
      <c r="M145" s="7" t="s">
        <v>698</v>
      </c>
      <c r="N145" s="7" t="s">
        <v>699</v>
      </c>
      <c r="O145" s="7" t="s">
        <v>700</v>
      </c>
      <c r="P145" s="7" t="s">
        <v>701</v>
      </c>
      <c r="Q145" s="7" t="s">
        <v>702</v>
      </c>
      <c r="R145" s="7" t="s">
        <v>703</v>
      </c>
      <c r="S145" s="7" t="s">
        <v>704</v>
      </c>
      <c r="T145" s="7" t="s">
        <v>705</v>
      </c>
      <c r="U145" s="7" t="s">
        <v>706</v>
      </c>
      <c r="V145" s="7" t="s">
        <v>707</v>
      </c>
      <c r="W145" s="7" t="s">
        <v>708</v>
      </c>
      <c r="X145" s="7" t="s">
        <v>709</v>
      </c>
      <c r="Y145" s="7" t="s">
        <v>710</v>
      </c>
      <c r="Z145" s="7" t="s">
        <v>711</v>
      </c>
      <c r="AA145" s="7" t="s">
        <v>712</v>
      </c>
      <c r="AB145" s="7" t="s">
        <v>694</v>
      </c>
      <c r="AC145" s="7" t="s">
        <v>713</v>
      </c>
      <c r="AD145" s="7" t="s">
        <v>714</v>
      </c>
      <c r="AE145" s="7" t="s">
        <v>715</v>
      </c>
      <c r="AF145" s="7" t="s">
        <v>716</v>
      </c>
      <c r="AG145" s="7" t="s">
        <v>688</v>
      </c>
      <c r="AH145" s="7" t="s">
        <v>689</v>
      </c>
      <c r="AI145" s="7" t="s">
        <v>747</v>
      </c>
      <c r="AJ145" s="7" t="s">
        <v>696</v>
      </c>
      <c r="AK145" s="7" t="s">
        <v>773</v>
      </c>
      <c r="AL145" s="7" t="s">
        <v>926</v>
      </c>
      <c r="AM145" s="7" t="s">
        <v>927</v>
      </c>
      <c r="AN145" s="7" t="s">
        <v>928</v>
      </c>
      <c r="AO145" s="7" t="s">
        <v>929</v>
      </c>
      <c r="AP145" s="7" t="s">
        <v>930</v>
      </c>
      <c r="AQ145" s="7" t="s">
        <v>931</v>
      </c>
      <c r="AR145" s="7" t="s">
        <v>932</v>
      </c>
      <c r="AS145" s="7" t="s">
        <v>933</v>
      </c>
      <c r="AT145" s="7" t="s">
        <v>934</v>
      </c>
      <c r="AU145" s="7" t="s">
        <v>935</v>
      </c>
      <c r="AV145" s="7" t="s">
        <v>936</v>
      </c>
      <c r="AW145" s="7" t="s">
        <v>937</v>
      </c>
      <c r="AX145" s="7" t="s">
        <v>938</v>
      </c>
      <c r="AY145" s="7" t="s">
        <v>939</v>
      </c>
    </row>
    <row r="146" spans="1:51" ht="78" customHeight="1" x14ac:dyDescent="0.4">
      <c r="A146" s="67" t="s">
        <v>552</v>
      </c>
      <c r="B146" t="e">
        <f>_xlfn.XLOOKUP(A146,'Product info'!A:A,'Product info'!C:C,,2)</f>
        <v>#N/A</v>
      </c>
      <c r="C146" s="69" t="s">
        <v>688</v>
      </c>
      <c r="D146" s="7" t="s">
        <v>689</v>
      </c>
      <c r="E146" s="7" t="s">
        <v>690</v>
      </c>
      <c r="F146" s="7" t="s">
        <v>691</v>
      </c>
      <c r="G146" s="7" t="s">
        <v>692</v>
      </c>
      <c r="H146" s="7" t="s">
        <v>693</v>
      </c>
      <c r="I146" s="7" t="s">
        <v>694</v>
      </c>
      <c r="J146" s="7" t="s">
        <v>695</v>
      </c>
      <c r="K146" s="7" t="s">
        <v>696</v>
      </c>
      <c r="L146" s="7" t="s">
        <v>697</v>
      </c>
      <c r="M146" s="7" t="s">
        <v>698</v>
      </c>
      <c r="N146" s="7" t="s">
        <v>699</v>
      </c>
      <c r="O146" s="7" t="s">
        <v>700</v>
      </c>
      <c r="P146" s="7" t="s">
        <v>701</v>
      </c>
      <c r="Q146" s="7" t="s">
        <v>702</v>
      </c>
      <c r="R146" s="7" t="s">
        <v>703</v>
      </c>
      <c r="S146" s="7" t="s">
        <v>704</v>
      </c>
      <c r="T146" s="7" t="s">
        <v>705</v>
      </c>
      <c r="U146" s="7" t="s">
        <v>706</v>
      </c>
      <c r="V146" s="7" t="s">
        <v>707</v>
      </c>
      <c r="W146" s="7" t="s">
        <v>708</v>
      </c>
      <c r="X146" s="7" t="s">
        <v>709</v>
      </c>
      <c r="Y146" s="7" t="s">
        <v>710</v>
      </c>
      <c r="Z146" s="7" t="s">
        <v>711</v>
      </c>
      <c r="AA146" s="7" t="s">
        <v>712</v>
      </c>
      <c r="AB146" s="7" t="s">
        <v>694</v>
      </c>
      <c r="AC146" s="7" t="s">
        <v>713</v>
      </c>
      <c r="AD146" s="7" t="s">
        <v>714</v>
      </c>
      <c r="AE146" s="7" t="s">
        <v>715</v>
      </c>
      <c r="AF146" s="7" t="s">
        <v>716</v>
      </c>
      <c r="AG146" s="7" t="s">
        <v>688</v>
      </c>
      <c r="AH146" s="7" t="s">
        <v>689</v>
      </c>
      <c r="AI146" s="7" t="s">
        <v>747</v>
      </c>
      <c r="AJ146" s="7" t="s">
        <v>696</v>
      </c>
      <c r="AK146" s="7" t="s">
        <v>773</v>
      </c>
      <c r="AL146" s="7" t="s">
        <v>926</v>
      </c>
      <c r="AM146" s="7" t="s">
        <v>927</v>
      </c>
      <c r="AN146" s="7" t="s">
        <v>928</v>
      </c>
      <c r="AO146" s="7" t="s">
        <v>929</v>
      </c>
      <c r="AP146" s="7" t="s">
        <v>930</v>
      </c>
      <c r="AQ146" s="7" t="s">
        <v>931</v>
      </c>
      <c r="AR146" s="7" t="s">
        <v>932</v>
      </c>
      <c r="AS146" s="7" t="s">
        <v>933</v>
      </c>
      <c r="AT146" s="7" t="s">
        <v>934</v>
      </c>
      <c r="AU146" s="7" t="s">
        <v>935</v>
      </c>
      <c r="AV146" s="7" t="s">
        <v>936</v>
      </c>
      <c r="AW146" s="7" t="s">
        <v>937</v>
      </c>
      <c r="AX146" s="7" t="s">
        <v>938</v>
      </c>
      <c r="AY146" s="7" t="s">
        <v>939</v>
      </c>
    </row>
    <row r="147" spans="1:51" ht="78" customHeight="1" x14ac:dyDescent="0.4">
      <c r="A147" s="67" t="s">
        <v>222</v>
      </c>
      <c r="B147" t="e">
        <f>_xlfn.XLOOKUP(A147,'Product info'!A:A,'Product info'!C:C,,2)</f>
        <v>#N/A</v>
      </c>
      <c r="C147" s="69" t="s">
        <v>688</v>
      </c>
      <c r="D147" s="7" t="s">
        <v>689</v>
      </c>
      <c r="E147" s="7" t="s">
        <v>690</v>
      </c>
      <c r="F147" s="7" t="s">
        <v>691</v>
      </c>
      <c r="G147" s="7" t="s">
        <v>692</v>
      </c>
      <c r="H147" s="7" t="s">
        <v>693</v>
      </c>
      <c r="I147" s="7" t="s">
        <v>694</v>
      </c>
      <c r="J147" s="7" t="s">
        <v>695</v>
      </c>
      <c r="K147" s="7" t="s">
        <v>696</v>
      </c>
      <c r="L147" s="7" t="s">
        <v>697</v>
      </c>
      <c r="M147" s="7" t="s">
        <v>698</v>
      </c>
      <c r="N147" s="7" t="s">
        <v>699</v>
      </c>
      <c r="O147" s="7" t="s">
        <v>700</v>
      </c>
      <c r="P147" s="7" t="s">
        <v>701</v>
      </c>
      <c r="Q147" s="7" t="s">
        <v>702</v>
      </c>
      <c r="R147" s="7" t="s">
        <v>703</v>
      </c>
      <c r="S147" s="7" t="s">
        <v>704</v>
      </c>
      <c r="T147" s="7" t="s">
        <v>705</v>
      </c>
      <c r="U147" s="7" t="s">
        <v>706</v>
      </c>
      <c r="V147" s="7" t="s">
        <v>707</v>
      </c>
      <c r="W147" s="7" t="s">
        <v>708</v>
      </c>
      <c r="X147" s="7" t="s">
        <v>709</v>
      </c>
      <c r="Y147" s="7" t="s">
        <v>710</v>
      </c>
      <c r="Z147" s="7" t="s">
        <v>711</v>
      </c>
      <c r="AA147" s="7" t="s">
        <v>712</v>
      </c>
      <c r="AB147" s="7" t="s">
        <v>694</v>
      </c>
      <c r="AC147" s="7" t="s">
        <v>713</v>
      </c>
      <c r="AD147" s="7" t="s">
        <v>714</v>
      </c>
      <c r="AE147" s="7" t="s">
        <v>715</v>
      </c>
      <c r="AF147" s="7" t="s">
        <v>716</v>
      </c>
      <c r="AG147" s="7" t="s">
        <v>688</v>
      </c>
      <c r="AH147" s="7" t="s">
        <v>689</v>
      </c>
      <c r="AI147" s="7" t="s">
        <v>747</v>
      </c>
      <c r="AJ147" s="7" t="s">
        <v>696</v>
      </c>
      <c r="AK147" s="7" t="s">
        <v>773</v>
      </c>
      <c r="AL147" s="7" t="s">
        <v>926</v>
      </c>
      <c r="AM147" s="7" t="s">
        <v>927</v>
      </c>
      <c r="AN147" s="7" t="s">
        <v>928</v>
      </c>
      <c r="AO147" s="7" t="s">
        <v>929</v>
      </c>
      <c r="AP147" s="7" t="s">
        <v>930</v>
      </c>
      <c r="AQ147" s="7" t="s">
        <v>931</v>
      </c>
      <c r="AR147" s="7" t="s">
        <v>932</v>
      </c>
      <c r="AS147" s="7" t="s">
        <v>933</v>
      </c>
      <c r="AT147" s="7" t="s">
        <v>934</v>
      </c>
      <c r="AU147" s="7" t="s">
        <v>935</v>
      </c>
      <c r="AV147" s="7" t="s">
        <v>936</v>
      </c>
      <c r="AW147" s="7" t="s">
        <v>937</v>
      </c>
      <c r="AX147" s="7" t="s">
        <v>938</v>
      </c>
      <c r="AY147" s="7" t="s">
        <v>939</v>
      </c>
    </row>
    <row r="148" spans="1:51" ht="78" customHeight="1" x14ac:dyDescent="0.4">
      <c r="A148" s="67" t="s">
        <v>553</v>
      </c>
      <c r="B148" t="e">
        <f>_xlfn.XLOOKUP(A148,'Product info'!A:A,'Product info'!C:C,,2)</f>
        <v>#N/A</v>
      </c>
      <c r="C148" s="69" t="s">
        <v>688</v>
      </c>
      <c r="D148" s="7" t="s">
        <v>689</v>
      </c>
      <c r="E148" s="7" t="s">
        <v>690</v>
      </c>
      <c r="F148" s="7" t="s">
        <v>691</v>
      </c>
      <c r="G148" s="7" t="s">
        <v>692</v>
      </c>
      <c r="H148" s="7" t="s">
        <v>693</v>
      </c>
      <c r="I148" s="7" t="s">
        <v>694</v>
      </c>
      <c r="J148" s="7" t="s">
        <v>695</v>
      </c>
      <c r="K148" s="7" t="s">
        <v>696</v>
      </c>
      <c r="L148" s="7" t="s">
        <v>697</v>
      </c>
      <c r="M148" s="7" t="s">
        <v>698</v>
      </c>
      <c r="N148" s="7" t="s">
        <v>699</v>
      </c>
      <c r="O148" s="7" t="s">
        <v>700</v>
      </c>
      <c r="P148" s="7" t="s">
        <v>701</v>
      </c>
      <c r="Q148" s="7" t="s">
        <v>702</v>
      </c>
      <c r="R148" s="7" t="s">
        <v>703</v>
      </c>
      <c r="S148" s="7" t="s">
        <v>704</v>
      </c>
      <c r="T148" s="7" t="s">
        <v>705</v>
      </c>
      <c r="U148" s="7" t="s">
        <v>706</v>
      </c>
      <c r="V148" s="7" t="s">
        <v>707</v>
      </c>
      <c r="W148" s="7" t="s">
        <v>708</v>
      </c>
      <c r="X148" s="7" t="s">
        <v>709</v>
      </c>
      <c r="Y148" s="7" t="s">
        <v>710</v>
      </c>
      <c r="Z148" s="7" t="s">
        <v>711</v>
      </c>
      <c r="AA148" s="7" t="s">
        <v>712</v>
      </c>
      <c r="AB148" s="7" t="s">
        <v>694</v>
      </c>
      <c r="AC148" s="7" t="s">
        <v>713</v>
      </c>
      <c r="AD148" s="7" t="s">
        <v>714</v>
      </c>
      <c r="AE148" s="7" t="s">
        <v>715</v>
      </c>
      <c r="AF148" s="7" t="s">
        <v>716</v>
      </c>
      <c r="AG148" s="7" t="s">
        <v>688</v>
      </c>
      <c r="AH148" s="7" t="s">
        <v>689</v>
      </c>
      <c r="AI148" s="7" t="s">
        <v>747</v>
      </c>
      <c r="AJ148" s="7" t="s">
        <v>696</v>
      </c>
      <c r="AK148" s="7" t="s">
        <v>773</v>
      </c>
      <c r="AL148" s="7" t="s">
        <v>926</v>
      </c>
      <c r="AM148" s="7" t="s">
        <v>927</v>
      </c>
      <c r="AN148" s="7" t="s">
        <v>928</v>
      </c>
      <c r="AO148" s="7" t="s">
        <v>929</v>
      </c>
      <c r="AP148" s="7" t="s">
        <v>930</v>
      </c>
      <c r="AQ148" s="7" t="s">
        <v>931</v>
      </c>
      <c r="AR148" s="7" t="s">
        <v>932</v>
      </c>
      <c r="AS148" s="7" t="s">
        <v>933</v>
      </c>
      <c r="AT148" s="7" t="s">
        <v>934</v>
      </c>
      <c r="AU148" s="7" t="s">
        <v>935</v>
      </c>
      <c r="AV148" s="7" t="s">
        <v>936</v>
      </c>
      <c r="AW148" s="7" t="s">
        <v>937</v>
      </c>
      <c r="AX148" s="7" t="s">
        <v>938</v>
      </c>
      <c r="AY148" s="7" t="s">
        <v>939</v>
      </c>
    </row>
    <row r="149" spans="1:51" ht="78" customHeight="1" x14ac:dyDescent="0.4">
      <c r="A149" s="67" t="s">
        <v>223</v>
      </c>
      <c r="B149" t="e">
        <f>_xlfn.XLOOKUP(A149,'Product info'!A:A,'Product info'!C:C,,2)</f>
        <v>#N/A</v>
      </c>
      <c r="C149" s="69" t="s">
        <v>688</v>
      </c>
      <c r="D149" s="7" t="s">
        <v>689</v>
      </c>
      <c r="E149" s="7" t="s">
        <v>690</v>
      </c>
      <c r="F149" s="7" t="s">
        <v>691</v>
      </c>
      <c r="G149" s="7" t="s">
        <v>692</v>
      </c>
      <c r="H149" s="7" t="s">
        <v>693</v>
      </c>
      <c r="I149" s="7" t="s">
        <v>694</v>
      </c>
      <c r="J149" s="7" t="s">
        <v>695</v>
      </c>
      <c r="K149" s="7" t="s">
        <v>696</v>
      </c>
      <c r="L149" s="7" t="s">
        <v>697</v>
      </c>
      <c r="M149" s="7" t="s">
        <v>698</v>
      </c>
      <c r="N149" s="7" t="s">
        <v>699</v>
      </c>
      <c r="O149" s="7" t="s">
        <v>700</v>
      </c>
      <c r="P149" s="7" t="s">
        <v>701</v>
      </c>
      <c r="Q149" s="7" t="s">
        <v>702</v>
      </c>
      <c r="R149" s="7" t="s">
        <v>703</v>
      </c>
      <c r="S149" s="7" t="s">
        <v>704</v>
      </c>
      <c r="T149" s="7" t="s">
        <v>705</v>
      </c>
      <c r="U149" s="7" t="s">
        <v>706</v>
      </c>
      <c r="V149" s="7" t="s">
        <v>707</v>
      </c>
      <c r="W149" s="7" t="s">
        <v>708</v>
      </c>
      <c r="X149" s="7" t="s">
        <v>709</v>
      </c>
      <c r="Y149" s="7" t="s">
        <v>710</v>
      </c>
      <c r="Z149" s="7" t="s">
        <v>711</v>
      </c>
      <c r="AA149" s="7" t="s">
        <v>712</v>
      </c>
      <c r="AB149" s="7" t="s">
        <v>694</v>
      </c>
      <c r="AC149" s="7" t="s">
        <v>713</v>
      </c>
      <c r="AD149" s="7" t="s">
        <v>714</v>
      </c>
      <c r="AE149" s="7" t="s">
        <v>715</v>
      </c>
      <c r="AF149" s="7" t="s">
        <v>716</v>
      </c>
      <c r="AG149" s="7" t="s">
        <v>688</v>
      </c>
      <c r="AH149" s="7" t="s">
        <v>689</v>
      </c>
      <c r="AI149" s="7" t="s">
        <v>747</v>
      </c>
      <c r="AJ149" s="7" t="s">
        <v>696</v>
      </c>
      <c r="AK149" s="7" t="s">
        <v>773</v>
      </c>
      <c r="AL149" s="7" t="s">
        <v>926</v>
      </c>
      <c r="AM149" s="7" t="s">
        <v>927</v>
      </c>
      <c r="AN149" s="7" t="s">
        <v>928</v>
      </c>
      <c r="AO149" s="7" t="s">
        <v>929</v>
      </c>
      <c r="AP149" s="7" t="s">
        <v>930</v>
      </c>
      <c r="AQ149" s="7" t="s">
        <v>931</v>
      </c>
      <c r="AR149" s="7" t="s">
        <v>932</v>
      </c>
      <c r="AS149" s="7" t="s">
        <v>933</v>
      </c>
      <c r="AT149" s="7" t="s">
        <v>934</v>
      </c>
      <c r="AU149" s="7" t="s">
        <v>935</v>
      </c>
      <c r="AV149" s="7" t="s">
        <v>936</v>
      </c>
      <c r="AW149" s="7" t="s">
        <v>937</v>
      </c>
      <c r="AX149" s="7" t="s">
        <v>938</v>
      </c>
      <c r="AY149" s="7" t="s">
        <v>939</v>
      </c>
    </row>
    <row r="150" spans="1:51" ht="78" customHeight="1" x14ac:dyDescent="0.4">
      <c r="A150" s="67" t="s">
        <v>554</v>
      </c>
      <c r="B150" t="e">
        <f>_xlfn.XLOOKUP(A150,'Product info'!A:A,'Product info'!C:C,,2)</f>
        <v>#N/A</v>
      </c>
      <c r="C150" s="69" t="s">
        <v>688</v>
      </c>
      <c r="D150" s="7" t="s">
        <v>689</v>
      </c>
      <c r="E150" s="7" t="s">
        <v>690</v>
      </c>
      <c r="F150" s="7" t="s">
        <v>691</v>
      </c>
      <c r="G150" s="7" t="s">
        <v>692</v>
      </c>
      <c r="H150" s="7" t="s">
        <v>693</v>
      </c>
      <c r="I150" s="7" t="s">
        <v>694</v>
      </c>
      <c r="J150" s="7" t="s">
        <v>695</v>
      </c>
      <c r="K150" s="7" t="s">
        <v>696</v>
      </c>
      <c r="L150" s="7" t="s">
        <v>697</v>
      </c>
      <c r="M150" s="7" t="s">
        <v>698</v>
      </c>
      <c r="N150" s="7" t="s">
        <v>699</v>
      </c>
      <c r="O150" s="7" t="s">
        <v>700</v>
      </c>
      <c r="P150" s="7" t="s">
        <v>701</v>
      </c>
      <c r="Q150" s="7" t="s">
        <v>702</v>
      </c>
      <c r="R150" s="7" t="s">
        <v>703</v>
      </c>
      <c r="S150" s="7" t="s">
        <v>704</v>
      </c>
      <c r="T150" s="7" t="s">
        <v>705</v>
      </c>
      <c r="U150" s="7" t="s">
        <v>706</v>
      </c>
      <c r="V150" s="7" t="s">
        <v>707</v>
      </c>
      <c r="W150" s="7" t="s">
        <v>708</v>
      </c>
      <c r="X150" s="7" t="s">
        <v>709</v>
      </c>
      <c r="Y150" s="7" t="s">
        <v>710</v>
      </c>
      <c r="Z150" s="7" t="s">
        <v>711</v>
      </c>
      <c r="AA150" s="7" t="s">
        <v>712</v>
      </c>
      <c r="AB150" s="7" t="s">
        <v>694</v>
      </c>
      <c r="AC150" s="7" t="s">
        <v>713</v>
      </c>
      <c r="AD150" s="7" t="s">
        <v>714</v>
      </c>
      <c r="AE150" s="7" t="s">
        <v>715</v>
      </c>
      <c r="AF150" s="7" t="s">
        <v>716</v>
      </c>
      <c r="AG150" s="7" t="s">
        <v>688</v>
      </c>
      <c r="AH150" s="7" t="s">
        <v>689</v>
      </c>
      <c r="AI150" s="7" t="s">
        <v>747</v>
      </c>
      <c r="AJ150" s="7" t="s">
        <v>696</v>
      </c>
      <c r="AK150" s="7" t="s">
        <v>773</v>
      </c>
      <c r="AL150" s="7" t="s">
        <v>926</v>
      </c>
      <c r="AM150" s="7" t="s">
        <v>927</v>
      </c>
      <c r="AN150" s="7" t="s">
        <v>928</v>
      </c>
      <c r="AO150" s="7" t="s">
        <v>929</v>
      </c>
      <c r="AP150" s="7" t="s">
        <v>930</v>
      </c>
      <c r="AQ150" s="7" t="s">
        <v>931</v>
      </c>
      <c r="AR150" s="7" t="s">
        <v>932</v>
      </c>
      <c r="AS150" s="7" t="s">
        <v>933</v>
      </c>
      <c r="AT150" s="7" t="s">
        <v>934</v>
      </c>
      <c r="AU150" s="7" t="s">
        <v>935</v>
      </c>
      <c r="AV150" s="7" t="s">
        <v>936</v>
      </c>
      <c r="AW150" s="7" t="s">
        <v>937</v>
      </c>
      <c r="AX150" s="7" t="s">
        <v>938</v>
      </c>
      <c r="AY150" s="7" t="s">
        <v>939</v>
      </c>
    </row>
    <row r="151" spans="1:51" ht="78" customHeight="1" x14ac:dyDescent="0.4">
      <c r="A151" s="67" t="s">
        <v>63</v>
      </c>
      <c r="B151" t="e">
        <f>_xlfn.XLOOKUP(A151,'Product info'!A:A,'Product info'!C:C,,2)</f>
        <v>#N/A</v>
      </c>
      <c r="C151" s="69" t="s">
        <v>688</v>
      </c>
      <c r="D151" s="7" t="s">
        <v>689</v>
      </c>
      <c r="E151" s="7" t="s">
        <v>690</v>
      </c>
      <c r="F151" s="7" t="s">
        <v>691</v>
      </c>
      <c r="G151" s="7" t="s">
        <v>692</v>
      </c>
      <c r="H151" s="7" t="s">
        <v>693</v>
      </c>
      <c r="I151" s="7" t="s">
        <v>694</v>
      </c>
      <c r="J151" s="7" t="s">
        <v>695</v>
      </c>
      <c r="K151" s="7" t="s">
        <v>696</v>
      </c>
      <c r="L151" s="7" t="s">
        <v>697</v>
      </c>
      <c r="M151" s="7" t="s">
        <v>698</v>
      </c>
      <c r="N151" s="7" t="s">
        <v>699</v>
      </c>
      <c r="O151" s="7" t="s">
        <v>700</v>
      </c>
      <c r="P151" s="7" t="s">
        <v>701</v>
      </c>
      <c r="Q151" s="7" t="s">
        <v>702</v>
      </c>
      <c r="R151" s="7" t="s">
        <v>703</v>
      </c>
      <c r="S151" s="7" t="s">
        <v>704</v>
      </c>
      <c r="T151" s="7" t="s">
        <v>705</v>
      </c>
      <c r="U151" s="7" t="s">
        <v>706</v>
      </c>
      <c r="V151" s="7" t="s">
        <v>707</v>
      </c>
      <c r="W151" s="7" t="s">
        <v>708</v>
      </c>
      <c r="X151" s="7" t="s">
        <v>709</v>
      </c>
      <c r="Y151" s="7" t="s">
        <v>710</v>
      </c>
      <c r="Z151" s="7" t="s">
        <v>711</v>
      </c>
      <c r="AA151" s="7" t="s">
        <v>712</v>
      </c>
      <c r="AB151" s="7" t="s">
        <v>694</v>
      </c>
      <c r="AC151" s="7" t="s">
        <v>713</v>
      </c>
      <c r="AD151" s="7" t="s">
        <v>714</v>
      </c>
      <c r="AE151" s="7" t="s">
        <v>715</v>
      </c>
      <c r="AF151" s="7" t="s">
        <v>716</v>
      </c>
      <c r="AG151" s="7" t="s">
        <v>688</v>
      </c>
      <c r="AH151" s="7" t="s">
        <v>689</v>
      </c>
      <c r="AI151" s="7" t="s">
        <v>747</v>
      </c>
      <c r="AJ151" s="7" t="s">
        <v>696</v>
      </c>
      <c r="AK151" s="7" t="s">
        <v>773</v>
      </c>
      <c r="AL151" s="7" t="s">
        <v>926</v>
      </c>
      <c r="AM151" s="7" t="s">
        <v>927</v>
      </c>
      <c r="AN151" s="7" t="s">
        <v>928</v>
      </c>
      <c r="AO151" s="7" t="s">
        <v>929</v>
      </c>
      <c r="AP151" s="7" t="s">
        <v>930</v>
      </c>
      <c r="AQ151" s="7" t="s">
        <v>931</v>
      </c>
      <c r="AR151" s="7" t="s">
        <v>932</v>
      </c>
      <c r="AS151" s="7" t="s">
        <v>933</v>
      </c>
      <c r="AT151" s="7" t="s">
        <v>934</v>
      </c>
      <c r="AU151" s="7" t="s">
        <v>935</v>
      </c>
      <c r="AV151" s="7" t="s">
        <v>936</v>
      </c>
      <c r="AW151" s="7" t="s">
        <v>937</v>
      </c>
      <c r="AX151" s="7" t="s">
        <v>938</v>
      </c>
      <c r="AY151" s="7" t="s">
        <v>939</v>
      </c>
    </row>
    <row r="152" spans="1:51" ht="78" customHeight="1" x14ac:dyDescent="0.4">
      <c r="A152" s="67" t="s">
        <v>225</v>
      </c>
      <c r="B152" t="e">
        <f>_xlfn.XLOOKUP(A152,'Product info'!A:A,'Product info'!C:C,,2)</f>
        <v>#N/A</v>
      </c>
      <c r="C152" s="69" t="s">
        <v>688</v>
      </c>
      <c r="D152" s="7" t="s">
        <v>689</v>
      </c>
      <c r="E152" s="7" t="s">
        <v>690</v>
      </c>
      <c r="F152" s="7" t="s">
        <v>691</v>
      </c>
      <c r="G152" s="7" t="s">
        <v>692</v>
      </c>
      <c r="H152" s="7" t="s">
        <v>693</v>
      </c>
      <c r="I152" s="7" t="s">
        <v>694</v>
      </c>
      <c r="J152" s="7" t="s">
        <v>695</v>
      </c>
      <c r="K152" s="7" t="s">
        <v>696</v>
      </c>
      <c r="L152" s="7" t="s">
        <v>697</v>
      </c>
      <c r="M152" s="7" t="s">
        <v>698</v>
      </c>
      <c r="N152" s="7" t="s">
        <v>699</v>
      </c>
      <c r="O152" s="7" t="s">
        <v>700</v>
      </c>
      <c r="P152" s="7" t="s">
        <v>701</v>
      </c>
      <c r="Q152" s="7" t="s">
        <v>702</v>
      </c>
      <c r="R152" s="7" t="s">
        <v>703</v>
      </c>
      <c r="S152" s="7" t="s">
        <v>704</v>
      </c>
      <c r="T152" s="7" t="s">
        <v>705</v>
      </c>
      <c r="U152" s="7" t="s">
        <v>706</v>
      </c>
      <c r="V152" s="7" t="s">
        <v>707</v>
      </c>
      <c r="W152" s="7" t="s">
        <v>708</v>
      </c>
      <c r="X152" s="7" t="s">
        <v>709</v>
      </c>
      <c r="Y152" s="7" t="s">
        <v>710</v>
      </c>
      <c r="Z152" s="7" t="s">
        <v>711</v>
      </c>
      <c r="AA152" s="7" t="s">
        <v>712</v>
      </c>
      <c r="AB152" s="7" t="s">
        <v>694</v>
      </c>
      <c r="AC152" s="7" t="s">
        <v>713</v>
      </c>
      <c r="AD152" s="7" t="s">
        <v>714</v>
      </c>
      <c r="AE152" s="7" t="s">
        <v>715</v>
      </c>
      <c r="AF152" s="7" t="s">
        <v>716</v>
      </c>
      <c r="AG152" s="7" t="s">
        <v>688</v>
      </c>
      <c r="AH152" s="7" t="s">
        <v>689</v>
      </c>
      <c r="AI152" s="7" t="s">
        <v>747</v>
      </c>
      <c r="AJ152" s="7" t="s">
        <v>696</v>
      </c>
      <c r="AK152" s="7" t="s">
        <v>773</v>
      </c>
      <c r="AL152" s="7" t="s">
        <v>926</v>
      </c>
      <c r="AM152" s="7" t="s">
        <v>927</v>
      </c>
      <c r="AN152" s="7" t="s">
        <v>928</v>
      </c>
      <c r="AO152" s="7" t="s">
        <v>929</v>
      </c>
      <c r="AP152" s="7" t="s">
        <v>930</v>
      </c>
      <c r="AQ152" s="7" t="s">
        <v>931</v>
      </c>
      <c r="AR152" s="7" t="s">
        <v>932</v>
      </c>
      <c r="AS152" s="7" t="s">
        <v>933</v>
      </c>
      <c r="AT152" s="7" t="s">
        <v>934</v>
      </c>
      <c r="AU152" s="7" t="s">
        <v>935</v>
      </c>
      <c r="AV152" s="7" t="s">
        <v>936</v>
      </c>
      <c r="AW152" s="7" t="s">
        <v>937</v>
      </c>
      <c r="AX152" s="7" t="s">
        <v>938</v>
      </c>
      <c r="AY152" s="7" t="s">
        <v>939</v>
      </c>
    </row>
    <row r="153" spans="1:51" ht="78" customHeight="1" x14ac:dyDescent="0.4">
      <c r="A153" s="67" t="s">
        <v>64</v>
      </c>
      <c r="B153" t="e">
        <f>_xlfn.XLOOKUP(A153,'Product info'!A:A,'Product info'!C:C,,2)</f>
        <v>#N/A</v>
      </c>
      <c r="C153" s="69" t="s">
        <v>688</v>
      </c>
      <c r="D153" s="7" t="s">
        <v>689</v>
      </c>
      <c r="E153" s="7" t="s">
        <v>690</v>
      </c>
      <c r="F153" s="7" t="s">
        <v>691</v>
      </c>
      <c r="G153" s="7" t="s">
        <v>692</v>
      </c>
      <c r="H153" s="7" t="s">
        <v>693</v>
      </c>
      <c r="I153" s="7" t="s">
        <v>694</v>
      </c>
      <c r="J153" s="7" t="s">
        <v>695</v>
      </c>
      <c r="K153" s="7" t="s">
        <v>696</v>
      </c>
      <c r="L153" s="7" t="s">
        <v>697</v>
      </c>
      <c r="M153" s="7" t="s">
        <v>698</v>
      </c>
      <c r="N153" s="7" t="s">
        <v>699</v>
      </c>
      <c r="O153" s="7" t="s">
        <v>700</v>
      </c>
      <c r="P153" s="7" t="s">
        <v>701</v>
      </c>
      <c r="Q153" s="7" t="s">
        <v>702</v>
      </c>
      <c r="R153" s="7" t="s">
        <v>703</v>
      </c>
      <c r="S153" s="7" t="s">
        <v>704</v>
      </c>
      <c r="T153" s="7" t="s">
        <v>705</v>
      </c>
      <c r="U153" s="7" t="s">
        <v>706</v>
      </c>
      <c r="V153" s="7" t="s">
        <v>707</v>
      </c>
      <c r="W153" s="7" t="s">
        <v>708</v>
      </c>
      <c r="X153" s="7" t="s">
        <v>709</v>
      </c>
      <c r="Y153" s="7" t="s">
        <v>710</v>
      </c>
      <c r="Z153" s="7" t="s">
        <v>711</v>
      </c>
      <c r="AA153" s="7" t="s">
        <v>712</v>
      </c>
      <c r="AB153" s="7" t="s">
        <v>694</v>
      </c>
      <c r="AC153" s="7" t="s">
        <v>713</v>
      </c>
      <c r="AD153" s="7" t="s">
        <v>714</v>
      </c>
      <c r="AE153" s="7" t="s">
        <v>715</v>
      </c>
      <c r="AF153" s="7" t="s">
        <v>716</v>
      </c>
      <c r="AG153" s="7" t="s">
        <v>688</v>
      </c>
      <c r="AH153" s="7" t="s">
        <v>689</v>
      </c>
      <c r="AI153" s="7" t="s">
        <v>747</v>
      </c>
      <c r="AJ153" s="7" t="s">
        <v>696</v>
      </c>
      <c r="AK153" s="7" t="s">
        <v>773</v>
      </c>
      <c r="AL153" s="7" t="s">
        <v>926</v>
      </c>
      <c r="AM153" s="7" t="s">
        <v>927</v>
      </c>
      <c r="AN153" s="7" t="s">
        <v>928</v>
      </c>
      <c r="AO153" s="7" t="s">
        <v>929</v>
      </c>
      <c r="AP153" s="7" t="s">
        <v>930</v>
      </c>
      <c r="AQ153" s="7" t="s">
        <v>931</v>
      </c>
      <c r="AR153" s="7" t="s">
        <v>932</v>
      </c>
      <c r="AS153" s="7" t="s">
        <v>933</v>
      </c>
      <c r="AT153" s="7" t="s">
        <v>934</v>
      </c>
      <c r="AU153" s="7" t="s">
        <v>935</v>
      </c>
      <c r="AV153" s="7" t="s">
        <v>936</v>
      </c>
      <c r="AW153" s="7" t="s">
        <v>937</v>
      </c>
      <c r="AX153" s="7" t="s">
        <v>938</v>
      </c>
      <c r="AY153" s="7" t="s">
        <v>939</v>
      </c>
    </row>
    <row r="154" spans="1:51" ht="78" customHeight="1" x14ac:dyDescent="0.4">
      <c r="A154" s="67" t="s">
        <v>221</v>
      </c>
      <c r="B154" t="e">
        <f>_xlfn.XLOOKUP(A154,'Product info'!A:A,'Product info'!C:C,,2)</f>
        <v>#N/A</v>
      </c>
      <c r="C154" s="69" t="s">
        <v>688</v>
      </c>
      <c r="D154" s="7" t="s">
        <v>689</v>
      </c>
      <c r="E154" s="7" t="s">
        <v>690</v>
      </c>
      <c r="F154" s="7" t="s">
        <v>691</v>
      </c>
      <c r="G154" s="7" t="s">
        <v>692</v>
      </c>
      <c r="H154" s="7" t="s">
        <v>693</v>
      </c>
      <c r="I154" s="7" t="s">
        <v>694</v>
      </c>
      <c r="J154" s="7" t="s">
        <v>695</v>
      </c>
      <c r="K154" s="7" t="s">
        <v>696</v>
      </c>
      <c r="L154" s="7" t="s">
        <v>697</v>
      </c>
      <c r="M154" s="7" t="s">
        <v>698</v>
      </c>
      <c r="N154" s="7" t="s">
        <v>699</v>
      </c>
      <c r="O154" s="7" t="s">
        <v>700</v>
      </c>
      <c r="P154" s="7" t="s">
        <v>701</v>
      </c>
      <c r="Q154" s="7" t="s">
        <v>702</v>
      </c>
      <c r="R154" s="7" t="s">
        <v>703</v>
      </c>
      <c r="S154" s="7" t="s">
        <v>704</v>
      </c>
      <c r="T154" s="7" t="s">
        <v>705</v>
      </c>
      <c r="U154" s="7" t="s">
        <v>706</v>
      </c>
      <c r="V154" s="7" t="s">
        <v>707</v>
      </c>
      <c r="W154" s="7" t="s">
        <v>708</v>
      </c>
      <c r="X154" s="7" t="s">
        <v>709</v>
      </c>
      <c r="Y154" s="7" t="s">
        <v>710</v>
      </c>
      <c r="Z154" s="7" t="s">
        <v>711</v>
      </c>
      <c r="AA154" s="7" t="s">
        <v>712</v>
      </c>
      <c r="AB154" s="7" t="s">
        <v>694</v>
      </c>
      <c r="AC154" s="7" t="s">
        <v>713</v>
      </c>
      <c r="AD154" s="7" t="s">
        <v>714</v>
      </c>
      <c r="AE154" s="7" t="s">
        <v>715</v>
      </c>
      <c r="AF154" s="7" t="s">
        <v>716</v>
      </c>
      <c r="AG154" s="7" t="s">
        <v>688</v>
      </c>
      <c r="AH154" s="7" t="s">
        <v>689</v>
      </c>
      <c r="AI154" s="7" t="s">
        <v>747</v>
      </c>
      <c r="AJ154" s="7" t="s">
        <v>696</v>
      </c>
      <c r="AK154" s="7" t="s">
        <v>773</v>
      </c>
      <c r="AL154" s="7" t="s">
        <v>926</v>
      </c>
      <c r="AM154" s="7" t="s">
        <v>927</v>
      </c>
      <c r="AN154" s="7" t="s">
        <v>928</v>
      </c>
      <c r="AO154" s="7" t="s">
        <v>929</v>
      </c>
      <c r="AP154" s="7" t="s">
        <v>930</v>
      </c>
      <c r="AQ154" s="7" t="s">
        <v>931</v>
      </c>
      <c r="AR154" s="7" t="s">
        <v>932</v>
      </c>
      <c r="AS154" s="7" t="s">
        <v>933</v>
      </c>
      <c r="AT154" s="7" t="s">
        <v>934</v>
      </c>
      <c r="AU154" s="7" t="s">
        <v>935</v>
      </c>
      <c r="AV154" s="7" t="s">
        <v>936</v>
      </c>
      <c r="AW154" s="7" t="s">
        <v>937</v>
      </c>
      <c r="AX154" s="7" t="s">
        <v>938</v>
      </c>
      <c r="AY154" s="7" t="s">
        <v>939</v>
      </c>
    </row>
    <row r="155" spans="1:51" ht="78" customHeight="1" x14ac:dyDescent="0.4">
      <c r="A155" s="67" t="s">
        <v>517</v>
      </c>
      <c r="B155" t="e">
        <f>_xlfn.XLOOKUP(A155,'Product info'!A:A,'Product info'!C:C,,2)</f>
        <v>#N/A</v>
      </c>
      <c r="C155" s="69" t="s">
        <v>688</v>
      </c>
      <c r="D155" s="7" t="s">
        <v>689</v>
      </c>
      <c r="E155" s="7" t="s">
        <v>690</v>
      </c>
      <c r="F155" s="7" t="s">
        <v>691</v>
      </c>
      <c r="G155" s="7" t="s">
        <v>692</v>
      </c>
      <c r="H155" s="7" t="s">
        <v>693</v>
      </c>
      <c r="I155" s="7" t="s">
        <v>694</v>
      </c>
      <c r="J155" s="7" t="s">
        <v>695</v>
      </c>
      <c r="K155" s="7" t="s">
        <v>696</v>
      </c>
      <c r="L155" s="7" t="s">
        <v>697</v>
      </c>
      <c r="M155" s="7" t="s">
        <v>698</v>
      </c>
      <c r="N155" s="7" t="s">
        <v>699</v>
      </c>
      <c r="O155" s="7" t="s">
        <v>700</v>
      </c>
      <c r="P155" s="7" t="s">
        <v>701</v>
      </c>
      <c r="Q155" s="7" t="s">
        <v>702</v>
      </c>
      <c r="R155" s="7" t="s">
        <v>703</v>
      </c>
      <c r="S155" s="7" t="s">
        <v>704</v>
      </c>
      <c r="T155" s="7" t="s">
        <v>705</v>
      </c>
      <c r="U155" s="7" t="s">
        <v>706</v>
      </c>
      <c r="V155" s="7" t="s">
        <v>707</v>
      </c>
      <c r="W155" s="7" t="s">
        <v>708</v>
      </c>
      <c r="X155" s="7" t="s">
        <v>709</v>
      </c>
      <c r="Y155" s="7" t="s">
        <v>710</v>
      </c>
      <c r="Z155" s="7" t="s">
        <v>711</v>
      </c>
      <c r="AA155" s="7" t="s">
        <v>712</v>
      </c>
      <c r="AB155" s="7" t="s">
        <v>694</v>
      </c>
      <c r="AC155" s="7" t="s">
        <v>713</v>
      </c>
      <c r="AD155" s="7" t="s">
        <v>714</v>
      </c>
      <c r="AE155" s="7" t="s">
        <v>715</v>
      </c>
      <c r="AF155" s="7" t="s">
        <v>716</v>
      </c>
      <c r="AG155" s="7" t="s">
        <v>688</v>
      </c>
      <c r="AH155" s="7" t="s">
        <v>689</v>
      </c>
      <c r="AI155" s="7" t="s">
        <v>747</v>
      </c>
      <c r="AJ155" s="7" t="s">
        <v>696</v>
      </c>
      <c r="AK155" s="7" t="s">
        <v>773</v>
      </c>
      <c r="AL155" s="7" t="s">
        <v>940</v>
      </c>
      <c r="AM155" s="7" t="s">
        <v>941</v>
      </c>
      <c r="AN155" s="7" t="s">
        <v>942</v>
      </c>
      <c r="AO155" s="7" t="s">
        <v>943</v>
      </c>
      <c r="AP155" s="7" t="s">
        <v>944</v>
      </c>
      <c r="AQ155" s="7" t="s">
        <v>945</v>
      </c>
      <c r="AR155" s="7" t="s">
        <v>946</v>
      </c>
      <c r="AS155" s="7" t="s">
        <v>947</v>
      </c>
      <c r="AT155" s="7" t="s">
        <v>948</v>
      </c>
      <c r="AU155" s="7" t="s">
        <v>949</v>
      </c>
      <c r="AV155" s="7" t="s">
        <v>950</v>
      </c>
      <c r="AW155" s="7" t="s">
        <v>951</v>
      </c>
    </row>
    <row r="156" spans="1:51" ht="78" customHeight="1" x14ac:dyDescent="0.4">
      <c r="A156" s="67" t="s">
        <v>518</v>
      </c>
      <c r="B156" t="e">
        <f>_xlfn.XLOOKUP(A156,'Product info'!A:A,'Product info'!C:C,,2)</f>
        <v>#N/A</v>
      </c>
      <c r="C156" s="69" t="s">
        <v>688</v>
      </c>
      <c r="D156" s="7" t="s">
        <v>689</v>
      </c>
      <c r="E156" s="7" t="s">
        <v>690</v>
      </c>
      <c r="F156" s="7" t="s">
        <v>691</v>
      </c>
      <c r="G156" s="7" t="s">
        <v>692</v>
      </c>
      <c r="H156" s="7" t="s">
        <v>693</v>
      </c>
      <c r="I156" s="7" t="s">
        <v>694</v>
      </c>
      <c r="J156" s="7" t="s">
        <v>695</v>
      </c>
      <c r="K156" s="7" t="s">
        <v>696</v>
      </c>
      <c r="L156" s="7" t="s">
        <v>697</v>
      </c>
      <c r="M156" s="7" t="s">
        <v>698</v>
      </c>
      <c r="N156" s="7" t="s">
        <v>699</v>
      </c>
      <c r="O156" s="7" t="s">
        <v>700</v>
      </c>
      <c r="P156" s="7" t="s">
        <v>701</v>
      </c>
      <c r="Q156" s="7" t="s">
        <v>702</v>
      </c>
      <c r="R156" s="7" t="s">
        <v>703</v>
      </c>
      <c r="S156" s="7" t="s">
        <v>704</v>
      </c>
      <c r="T156" s="7" t="s">
        <v>705</v>
      </c>
      <c r="U156" s="7" t="s">
        <v>706</v>
      </c>
      <c r="V156" s="7" t="s">
        <v>707</v>
      </c>
      <c r="W156" s="7" t="s">
        <v>708</v>
      </c>
      <c r="X156" s="7" t="s">
        <v>709</v>
      </c>
      <c r="Y156" s="7" t="s">
        <v>710</v>
      </c>
      <c r="Z156" s="7" t="s">
        <v>711</v>
      </c>
      <c r="AA156" s="7" t="s">
        <v>712</v>
      </c>
      <c r="AB156" s="7" t="s">
        <v>694</v>
      </c>
      <c r="AC156" s="7" t="s">
        <v>713</v>
      </c>
      <c r="AD156" s="7" t="s">
        <v>714</v>
      </c>
      <c r="AE156" s="7" t="s">
        <v>715</v>
      </c>
      <c r="AF156" s="7" t="s">
        <v>716</v>
      </c>
      <c r="AG156" s="7" t="s">
        <v>688</v>
      </c>
      <c r="AH156" s="7" t="s">
        <v>689</v>
      </c>
      <c r="AI156" s="7" t="s">
        <v>747</v>
      </c>
      <c r="AJ156" s="7" t="s">
        <v>696</v>
      </c>
      <c r="AK156" s="7" t="s">
        <v>773</v>
      </c>
      <c r="AL156" s="7" t="s">
        <v>940</v>
      </c>
      <c r="AM156" s="7" t="s">
        <v>941</v>
      </c>
      <c r="AN156" s="7" t="s">
        <v>942</v>
      </c>
      <c r="AO156" s="7" t="s">
        <v>943</v>
      </c>
      <c r="AP156" s="7" t="s">
        <v>944</v>
      </c>
      <c r="AQ156" s="7" t="s">
        <v>945</v>
      </c>
      <c r="AR156" s="7" t="s">
        <v>946</v>
      </c>
      <c r="AS156" s="7" t="s">
        <v>947</v>
      </c>
      <c r="AT156" s="7" t="s">
        <v>948</v>
      </c>
      <c r="AU156" s="7" t="s">
        <v>949</v>
      </c>
      <c r="AV156" s="7" t="s">
        <v>950</v>
      </c>
      <c r="AW156" s="7" t="s">
        <v>951</v>
      </c>
      <c r="AX156" s="7" t="s">
        <v>952</v>
      </c>
    </row>
    <row r="157" spans="1:51" ht="78" customHeight="1" x14ac:dyDescent="0.4">
      <c r="A157" s="67" t="s">
        <v>303</v>
      </c>
      <c r="B157" t="e">
        <f>_xlfn.XLOOKUP(A157,'Product info'!A:A,'Product info'!C:C,,2)</f>
        <v>#N/A</v>
      </c>
      <c r="C157" s="69" t="s">
        <v>688</v>
      </c>
      <c r="D157" s="7" t="s">
        <v>689</v>
      </c>
      <c r="E157" s="7" t="s">
        <v>747</v>
      </c>
      <c r="F157" s="7" t="s">
        <v>696</v>
      </c>
      <c r="G157" s="7" t="s">
        <v>773</v>
      </c>
      <c r="H157" s="7" t="s">
        <v>953</v>
      </c>
      <c r="I157" s="7" t="s">
        <v>954</v>
      </c>
      <c r="J157" s="7" t="s">
        <v>955</v>
      </c>
      <c r="K157" s="7" t="s">
        <v>956</v>
      </c>
      <c r="L157" s="7" t="s">
        <v>957</v>
      </c>
      <c r="M157" s="7" t="s">
        <v>958</v>
      </c>
      <c r="N157" s="7" t="s">
        <v>959</v>
      </c>
      <c r="O157" s="7" t="s">
        <v>960</v>
      </c>
      <c r="P157" s="7" t="s">
        <v>961</v>
      </c>
      <c r="Q157" s="7" t="s">
        <v>962</v>
      </c>
      <c r="R157" s="7" t="s">
        <v>963</v>
      </c>
      <c r="S157" s="7" t="s">
        <v>964</v>
      </c>
    </row>
    <row r="158" spans="1:51" ht="78" customHeight="1" x14ac:dyDescent="0.4">
      <c r="A158" s="67" t="s">
        <v>302</v>
      </c>
      <c r="B158" t="e">
        <f>_xlfn.XLOOKUP(A158,'Product info'!A:A,'Product info'!C:C,,2)</f>
        <v>#N/A</v>
      </c>
      <c r="C158" s="69" t="s">
        <v>688</v>
      </c>
      <c r="D158" s="7" t="s">
        <v>689</v>
      </c>
      <c r="E158" s="7" t="s">
        <v>747</v>
      </c>
      <c r="F158" s="7" t="s">
        <v>696</v>
      </c>
      <c r="G158" s="7" t="s">
        <v>773</v>
      </c>
      <c r="H158" s="7" t="s">
        <v>773</v>
      </c>
      <c r="I158" s="7" t="s">
        <v>953</v>
      </c>
      <c r="J158" s="7" t="s">
        <v>954</v>
      </c>
      <c r="K158" s="7" t="s">
        <v>955</v>
      </c>
      <c r="L158" s="7" t="s">
        <v>965</v>
      </c>
    </row>
    <row r="159" spans="1:51" ht="78" customHeight="1" x14ac:dyDescent="0.4">
      <c r="A159" s="67" t="s">
        <v>437</v>
      </c>
      <c r="B159" t="e">
        <f>_xlfn.XLOOKUP(A159,'Product info'!A:A,'Product info'!C:C,,2)</f>
        <v>#N/A</v>
      </c>
      <c r="C159" s="69" t="s">
        <v>688</v>
      </c>
      <c r="D159" s="7" t="s">
        <v>689</v>
      </c>
      <c r="E159" s="7" t="s">
        <v>747</v>
      </c>
      <c r="F159" s="7" t="s">
        <v>696</v>
      </c>
      <c r="G159" s="7" t="s">
        <v>773</v>
      </c>
      <c r="H159" s="7" t="s">
        <v>966</v>
      </c>
      <c r="I159" s="7" t="s">
        <v>967</v>
      </c>
      <c r="J159" s="7" t="s">
        <v>968</v>
      </c>
      <c r="K159" s="7" t="s">
        <v>969</v>
      </c>
      <c r="L159" s="7" t="s">
        <v>970</v>
      </c>
      <c r="M159" s="7" t="s">
        <v>971</v>
      </c>
      <c r="N159" s="7" t="s">
        <v>972</v>
      </c>
      <c r="O159" s="7" t="s">
        <v>973</v>
      </c>
      <c r="P159" s="7" t="s">
        <v>940</v>
      </c>
      <c r="Q159" s="7" t="s">
        <v>941</v>
      </c>
      <c r="R159" s="7" t="s">
        <v>942</v>
      </c>
    </row>
    <row r="160" spans="1:51" ht="78" customHeight="1" x14ac:dyDescent="0.4">
      <c r="A160" s="67" t="s">
        <v>296</v>
      </c>
      <c r="B160" t="e">
        <f>_xlfn.XLOOKUP(A160,'Product info'!A:A,'Product info'!C:C,,2)</f>
        <v>#N/A</v>
      </c>
      <c r="C160" s="69" t="s">
        <v>688</v>
      </c>
      <c r="D160" s="7" t="s">
        <v>689</v>
      </c>
      <c r="E160" s="7" t="s">
        <v>747</v>
      </c>
      <c r="F160" s="7" t="s">
        <v>696</v>
      </c>
      <c r="G160" s="7" t="s">
        <v>773</v>
      </c>
      <c r="H160" s="7" t="s">
        <v>940</v>
      </c>
      <c r="I160" s="7" t="s">
        <v>941</v>
      </c>
      <c r="J160" s="7" t="s">
        <v>942</v>
      </c>
      <c r="K160" s="7" t="s">
        <v>974</v>
      </c>
      <c r="L160" s="7" t="s">
        <v>975</v>
      </c>
      <c r="M160" s="7" t="s">
        <v>976</v>
      </c>
      <c r="N160" s="7" t="s">
        <v>977</v>
      </c>
      <c r="O160" s="7" t="s">
        <v>978</v>
      </c>
      <c r="P160" s="7" t="s">
        <v>979</v>
      </c>
      <c r="Q160" s="7" t="s">
        <v>980</v>
      </c>
      <c r="R160" s="7" t="s">
        <v>981</v>
      </c>
      <c r="S160" s="7" t="s">
        <v>982</v>
      </c>
      <c r="T160" s="7" t="s">
        <v>983</v>
      </c>
      <c r="U160" s="7" t="s">
        <v>984</v>
      </c>
      <c r="V160" s="7" t="s">
        <v>985</v>
      </c>
      <c r="W160" s="7" t="s">
        <v>986</v>
      </c>
      <c r="X160" s="7" t="s">
        <v>987</v>
      </c>
      <c r="Y160" s="7" t="s">
        <v>988</v>
      </c>
      <c r="Z160" s="7" t="s">
        <v>989</v>
      </c>
      <c r="AA160" s="7" t="s">
        <v>990</v>
      </c>
      <c r="AB160" s="7" t="s">
        <v>991</v>
      </c>
      <c r="AC160" s="7" t="s">
        <v>992</v>
      </c>
      <c r="AD160" s="7" t="s">
        <v>993</v>
      </c>
    </row>
    <row r="161" spans="1:62" ht="78" customHeight="1" x14ac:dyDescent="0.4">
      <c r="A161" s="67" t="s">
        <v>76</v>
      </c>
      <c r="B161" t="e">
        <f>_xlfn.XLOOKUP(A161,'Product info'!A:A,'Product info'!C:C,,2)</f>
        <v>#N/A</v>
      </c>
      <c r="C161" s="69" t="s">
        <v>688</v>
      </c>
      <c r="D161" s="7" t="s">
        <v>689</v>
      </c>
      <c r="E161" s="7" t="s">
        <v>747</v>
      </c>
      <c r="F161" s="7" t="s">
        <v>696</v>
      </c>
      <c r="G161" s="7" t="s">
        <v>773</v>
      </c>
      <c r="H161" s="7" t="s">
        <v>940</v>
      </c>
      <c r="I161" s="7" t="s">
        <v>941</v>
      </c>
      <c r="J161" s="7" t="s">
        <v>942</v>
      </c>
      <c r="K161" s="7" t="s">
        <v>994</v>
      </c>
      <c r="L161" s="7" t="s">
        <v>995</v>
      </c>
      <c r="M161" s="7" t="s">
        <v>974</v>
      </c>
      <c r="N161" s="7" t="s">
        <v>975</v>
      </c>
      <c r="O161" s="7" t="s">
        <v>987</v>
      </c>
      <c r="P161" s="7" t="s">
        <v>996</v>
      </c>
      <c r="Q161" s="7" t="s">
        <v>997</v>
      </c>
      <c r="R161" s="7" t="s">
        <v>998</v>
      </c>
      <c r="S161" s="7" t="s">
        <v>999</v>
      </c>
      <c r="T161" s="7" t="s">
        <v>1000</v>
      </c>
      <c r="U161" s="7" t="s">
        <v>1001</v>
      </c>
      <c r="V161" s="7" t="s">
        <v>1002</v>
      </c>
      <c r="W161" s="7" t="s">
        <v>1003</v>
      </c>
      <c r="X161" s="7" t="s">
        <v>1004</v>
      </c>
    </row>
    <row r="162" spans="1:62" ht="78" customHeight="1" x14ac:dyDescent="0.4">
      <c r="A162" s="67" t="s">
        <v>78</v>
      </c>
      <c r="B162" t="e">
        <f>_xlfn.XLOOKUP(A162,'Product info'!A:A,'Product info'!C:C,,2)</f>
        <v>#N/A</v>
      </c>
      <c r="C162" s="69" t="s">
        <v>688</v>
      </c>
      <c r="D162" s="7" t="s">
        <v>689</v>
      </c>
      <c r="E162" s="7" t="s">
        <v>747</v>
      </c>
      <c r="F162" s="7" t="s">
        <v>696</v>
      </c>
      <c r="G162" s="7" t="s">
        <v>773</v>
      </c>
      <c r="H162" s="7" t="s">
        <v>940</v>
      </c>
      <c r="I162" s="7" t="s">
        <v>941</v>
      </c>
      <c r="J162" s="7" t="s">
        <v>942</v>
      </c>
      <c r="K162" s="7" t="s">
        <v>994</v>
      </c>
      <c r="L162" s="7" t="s">
        <v>1005</v>
      </c>
      <c r="M162" s="7" t="s">
        <v>974</v>
      </c>
      <c r="N162" s="7" t="s">
        <v>975</v>
      </c>
      <c r="O162" s="7" t="s">
        <v>987</v>
      </c>
      <c r="P162" s="7" t="s">
        <v>996</v>
      </c>
      <c r="Q162" s="7" t="s">
        <v>997</v>
      </c>
      <c r="R162" s="7" t="s">
        <v>998</v>
      </c>
      <c r="S162" s="7" t="s">
        <v>999</v>
      </c>
      <c r="T162" s="7" t="s">
        <v>1000</v>
      </c>
      <c r="U162" s="7" t="s">
        <v>1001</v>
      </c>
      <c r="V162" s="7" t="s">
        <v>1002</v>
      </c>
      <c r="W162" s="7" t="s">
        <v>1003</v>
      </c>
      <c r="X162" s="7" t="s">
        <v>1004</v>
      </c>
    </row>
    <row r="163" spans="1:62" ht="78" customHeight="1" x14ac:dyDescent="0.4">
      <c r="A163" s="67" t="s">
        <v>509</v>
      </c>
      <c r="B163" t="e">
        <f>_xlfn.XLOOKUP(A163,'Product info'!A:A,'Product info'!C:C,,2)</f>
        <v>#N/A</v>
      </c>
      <c r="C163" s="69" t="s">
        <v>688</v>
      </c>
      <c r="D163" s="7" t="s">
        <v>689</v>
      </c>
      <c r="E163" s="7" t="s">
        <v>747</v>
      </c>
      <c r="F163" s="7" t="s">
        <v>696</v>
      </c>
      <c r="G163" s="7" t="s">
        <v>773</v>
      </c>
      <c r="H163" s="7" t="s">
        <v>1006</v>
      </c>
      <c r="I163" s="7" t="s">
        <v>1007</v>
      </c>
      <c r="J163" s="7" t="s">
        <v>1008</v>
      </c>
      <c r="K163" s="7" t="s">
        <v>1009</v>
      </c>
      <c r="L163" s="7" t="s">
        <v>1010</v>
      </c>
      <c r="M163" s="7" t="s">
        <v>1011</v>
      </c>
      <c r="N163" s="7" t="s">
        <v>1012</v>
      </c>
      <c r="O163" s="7" t="s">
        <v>1013</v>
      </c>
      <c r="P163" s="7" t="s">
        <v>1014</v>
      </c>
      <c r="Q163" s="7" t="s">
        <v>1015</v>
      </c>
      <c r="R163" s="7" t="s">
        <v>1016</v>
      </c>
      <c r="S163" s="7" t="s">
        <v>1017</v>
      </c>
      <c r="T163" s="7" t="s">
        <v>1018</v>
      </c>
      <c r="U163" s="7" t="s">
        <v>1019</v>
      </c>
      <c r="V163" s="7" t="s">
        <v>1020</v>
      </c>
      <c r="W163" s="7" t="s">
        <v>1021</v>
      </c>
      <c r="X163" s="7" t="s">
        <v>1022</v>
      </c>
      <c r="Y163" s="7" t="s">
        <v>1023</v>
      </c>
      <c r="Z163" s="7" t="s">
        <v>1024</v>
      </c>
      <c r="AA163" s="7" t="s">
        <v>1025</v>
      </c>
      <c r="AB163" s="7" t="s">
        <v>1026</v>
      </c>
      <c r="AC163" s="7" t="s">
        <v>1027</v>
      </c>
      <c r="AD163" s="7" t="s">
        <v>1028</v>
      </c>
    </row>
    <row r="164" spans="1:62" ht="78" customHeight="1" x14ac:dyDescent="0.4">
      <c r="A164" s="67" t="s">
        <v>229</v>
      </c>
      <c r="B164" t="e">
        <f>_xlfn.XLOOKUP(A164,'Product info'!A:A,'Product info'!C:C,,2)</f>
        <v>#N/A</v>
      </c>
      <c r="C164" s="69" t="s">
        <v>688</v>
      </c>
      <c r="D164" s="7" t="s">
        <v>689</v>
      </c>
      <c r="E164" s="7" t="s">
        <v>690</v>
      </c>
      <c r="F164" s="7" t="s">
        <v>691</v>
      </c>
      <c r="G164" s="7" t="s">
        <v>692</v>
      </c>
      <c r="H164" s="7" t="s">
        <v>693</v>
      </c>
      <c r="I164" s="7" t="s">
        <v>694</v>
      </c>
      <c r="J164" s="7" t="s">
        <v>695</v>
      </c>
      <c r="K164" s="7" t="s">
        <v>696</v>
      </c>
      <c r="L164" s="7" t="s">
        <v>697</v>
      </c>
      <c r="M164" s="7" t="s">
        <v>698</v>
      </c>
      <c r="N164" s="7" t="s">
        <v>699</v>
      </c>
      <c r="O164" s="7" t="s">
        <v>700</v>
      </c>
      <c r="P164" s="7" t="s">
        <v>701</v>
      </c>
      <c r="Q164" s="7" t="s">
        <v>702</v>
      </c>
      <c r="R164" s="7" t="s">
        <v>703</v>
      </c>
      <c r="S164" s="7" t="s">
        <v>704</v>
      </c>
      <c r="T164" s="7" t="s">
        <v>705</v>
      </c>
      <c r="U164" s="7" t="s">
        <v>706</v>
      </c>
      <c r="V164" s="7" t="s">
        <v>707</v>
      </c>
      <c r="W164" s="7" t="s">
        <v>708</v>
      </c>
      <c r="X164" s="7" t="s">
        <v>709</v>
      </c>
      <c r="Y164" s="7" t="s">
        <v>710</v>
      </c>
      <c r="Z164" s="7" t="s">
        <v>711</v>
      </c>
      <c r="AA164" s="7" t="s">
        <v>712</v>
      </c>
      <c r="AB164" s="7" t="s">
        <v>694</v>
      </c>
      <c r="AC164" s="7" t="s">
        <v>713</v>
      </c>
      <c r="AD164" s="7" t="s">
        <v>714</v>
      </c>
      <c r="AE164" s="7" t="s">
        <v>715</v>
      </c>
      <c r="AF164" s="7" t="s">
        <v>716</v>
      </c>
      <c r="AG164" s="7" t="s">
        <v>688</v>
      </c>
      <c r="AH164" s="7" t="s">
        <v>689</v>
      </c>
      <c r="AI164" s="7" t="s">
        <v>747</v>
      </c>
      <c r="AJ164" s="7" t="s">
        <v>696</v>
      </c>
      <c r="AK164" s="7" t="s">
        <v>773</v>
      </c>
      <c r="AL164" s="7" t="s">
        <v>940</v>
      </c>
      <c r="AM164" s="7" t="s">
        <v>941</v>
      </c>
      <c r="AN164" s="7" t="s">
        <v>942</v>
      </c>
      <c r="AO164" s="7" t="s">
        <v>1029</v>
      </c>
      <c r="AP164" s="7" t="s">
        <v>1030</v>
      </c>
      <c r="AQ164" s="7" t="s">
        <v>736</v>
      </c>
      <c r="AR164" s="7" t="s">
        <v>737</v>
      </c>
      <c r="AS164" s="7" t="s">
        <v>738</v>
      </c>
      <c r="AT164" s="7" t="s">
        <v>739</v>
      </c>
      <c r="AU164" s="7" t="s">
        <v>740</v>
      </c>
      <c r="AV164" s="7" t="s">
        <v>741</v>
      </c>
      <c r="AW164" s="7" t="s">
        <v>742</v>
      </c>
      <c r="AX164" s="7" t="s">
        <v>743</v>
      </c>
      <c r="AY164" s="7" t="s">
        <v>744</v>
      </c>
      <c r="AZ164" s="7" t="s">
        <v>745</v>
      </c>
      <c r="BA164" s="7" t="s">
        <v>746</v>
      </c>
      <c r="BB164" s="7" t="s">
        <v>1031</v>
      </c>
      <c r="BC164" s="7" t="s">
        <v>1032</v>
      </c>
      <c r="BD164" s="7" t="s">
        <v>1033</v>
      </c>
    </row>
    <row r="165" spans="1:62" ht="78" customHeight="1" x14ac:dyDescent="0.4">
      <c r="A165" s="67" t="s">
        <v>189</v>
      </c>
      <c r="B165" t="e">
        <f>_xlfn.XLOOKUP(A165,'Product info'!A:A,'Product info'!C:C,,2)</f>
        <v>#N/A</v>
      </c>
      <c r="C165" s="69" t="s">
        <v>688</v>
      </c>
      <c r="D165" s="7" t="s">
        <v>689</v>
      </c>
      <c r="E165" s="7" t="s">
        <v>690</v>
      </c>
      <c r="F165" s="7" t="s">
        <v>691</v>
      </c>
      <c r="G165" s="7" t="s">
        <v>692</v>
      </c>
      <c r="H165" s="7" t="s">
        <v>693</v>
      </c>
      <c r="I165" s="7" t="s">
        <v>694</v>
      </c>
      <c r="J165" s="7" t="s">
        <v>695</v>
      </c>
      <c r="K165" s="7" t="s">
        <v>696</v>
      </c>
      <c r="L165" s="7" t="s">
        <v>697</v>
      </c>
      <c r="M165" s="7" t="s">
        <v>698</v>
      </c>
      <c r="N165" s="7" t="s">
        <v>699</v>
      </c>
      <c r="O165" s="7" t="s">
        <v>700</v>
      </c>
      <c r="P165" s="7" t="s">
        <v>701</v>
      </c>
      <c r="Q165" s="7" t="s">
        <v>702</v>
      </c>
      <c r="R165" s="7" t="s">
        <v>703</v>
      </c>
      <c r="S165" s="7" t="s">
        <v>704</v>
      </c>
      <c r="T165" s="7" t="s">
        <v>705</v>
      </c>
      <c r="U165" s="7" t="s">
        <v>706</v>
      </c>
      <c r="V165" s="7" t="s">
        <v>707</v>
      </c>
      <c r="W165" s="7" t="s">
        <v>708</v>
      </c>
      <c r="X165" s="7" t="s">
        <v>709</v>
      </c>
      <c r="Y165" s="7" t="s">
        <v>710</v>
      </c>
      <c r="Z165" s="7" t="s">
        <v>711</v>
      </c>
      <c r="AA165" s="7" t="s">
        <v>712</v>
      </c>
      <c r="AB165" s="7" t="s">
        <v>694</v>
      </c>
      <c r="AC165" s="7" t="s">
        <v>713</v>
      </c>
      <c r="AD165" s="7" t="s">
        <v>714</v>
      </c>
      <c r="AE165" s="7" t="s">
        <v>715</v>
      </c>
      <c r="AF165" s="7" t="s">
        <v>716</v>
      </c>
      <c r="AG165" s="7" t="s">
        <v>688</v>
      </c>
      <c r="AH165" s="7" t="s">
        <v>689</v>
      </c>
      <c r="AI165" s="7" t="s">
        <v>747</v>
      </c>
      <c r="AJ165" s="7" t="s">
        <v>696</v>
      </c>
      <c r="AK165" s="7" t="s">
        <v>773</v>
      </c>
      <c r="AL165" s="7" t="s">
        <v>940</v>
      </c>
      <c r="AM165" s="7" t="s">
        <v>941</v>
      </c>
      <c r="AN165" s="7" t="s">
        <v>942</v>
      </c>
    </row>
    <row r="166" spans="1:62" ht="78" customHeight="1" x14ac:dyDescent="0.4">
      <c r="A166" s="67" t="s">
        <v>187</v>
      </c>
      <c r="B166" t="e">
        <f>_xlfn.XLOOKUP(A166,'Product info'!A:A,'Product info'!C:C,,2)</f>
        <v>#N/A</v>
      </c>
      <c r="C166" s="69" t="s">
        <v>688</v>
      </c>
      <c r="D166" s="7" t="s">
        <v>689</v>
      </c>
      <c r="E166" s="7" t="s">
        <v>690</v>
      </c>
      <c r="F166" s="7" t="s">
        <v>691</v>
      </c>
      <c r="G166" s="7" t="s">
        <v>692</v>
      </c>
      <c r="H166" s="7" t="s">
        <v>693</v>
      </c>
      <c r="I166" s="7" t="s">
        <v>694</v>
      </c>
      <c r="J166" s="7" t="s">
        <v>695</v>
      </c>
      <c r="K166" s="7" t="s">
        <v>696</v>
      </c>
      <c r="L166" s="7" t="s">
        <v>697</v>
      </c>
      <c r="M166" s="7" t="s">
        <v>698</v>
      </c>
      <c r="N166" s="7" t="s">
        <v>699</v>
      </c>
      <c r="O166" s="7" t="s">
        <v>700</v>
      </c>
      <c r="P166" s="7" t="s">
        <v>701</v>
      </c>
      <c r="Q166" s="7" t="s">
        <v>702</v>
      </c>
      <c r="R166" s="7" t="s">
        <v>703</v>
      </c>
      <c r="S166" s="7" t="s">
        <v>704</v>
      </c>
      <c r="T166" s="7" t="s">
        <v>705</v>
      </c>
      <c r="U166" s="7" t="s">
        <v>706</v>
      </c>
      <c r="V166" s="7" t="s">
        <v>707</v>
      </c>
      <c r="W166" s="7" t="s">
        <v>708</v>
      </c>
      <c r="X166" s="7" t="s">
        <v>709</v>
      </c>
      <c r="Y166" s="7" t="s">
        <v>710</v>
      </c>
      <c r="Z166" s="7" t="s">
        <v>711</v>
      </c>
      <c r="AA166" s="7" t="s">
        <v>712</v>
      </c>
      <c r="AB166" s="7" t="s">
        <v>694</v>
      </c>
      <c r="AC166" s="7" t="s">
        <v>713</v>
      </c>
      <c r="AD166" s="7" t="s">
        <v>714</v>
      </c>
      <c r="AE166" s="7" t="s">
        <v>688</v>
      </c>
      <c r="AF166" s="7" t="s">
        <v>689</v>
      </c>
      <c r="AG166" s="7" t="s">
        <v>747</v>
      </c>
      <c r="AH166" s="7" t="s">
        <v>696</v>
      </c>
      <c r="AI166" s="7" t="s">
        <v>773</v>
      </c>
      <c r="AJ166" s="7" t="s">
        <v>940</v>
      </c>
      <c r="AK166" s="7" t="s">
        <v>941</v>
      </c>
      <c r="AL166" s="7" t="s">
        <v>942</v>
      </c>
    </row>
    <row r="167" spans="1:62" ht="78" customHeight="1" x14ac:dyDescent="0.4">
      <c r="A167" s="67" t="s">
        <v>188</v>
      </c>
      <c r="B167" t="e">
        <f>_xlfn.XLOOKUP(A167,'Product info'!A:A,'Product info'!C:C,,2)</f>
        <v>#N/A</v>
      </c>
      <c r="C167" s="69" t="s">
        <v>688</v>
      </c>
      <c r="D167" s="7" t="s">
        <v>689</v>
      </c>
      <c r="E167" s="7" t="s">
        <v>690</v>
      </c>
      <c r="F167" s="7" t="s">
        <v>691</v>
      </c>
      <c r="G167" s="7" t="s">
        <v>692</v>
      </c>
      <c r="H167" s="7" t="s">
        <v>693</v>
      </c>
      <c r="I167" s="7" t="s">
        <v>694</v>
      </c>
      <c r="J167" s="7" t="s">
        <v>695</v>
      </c>
      <c r="K167" s="7" t="s">
        <v>696</v>
      </c>
      <c r="L167" s="7" t="s">
        <v>697</v>
      </c>
      <c r="M167" s="7" t="s">
        <v>698</v>
      </c>
      <c r="N167" s="7" t="s">
        <v>699</v>
      </c>
      <c r="O167" s="7" t="s">
        <v>700</v>
      </c>
      <c r="P167" s="7" t="s">
        <v>701</v>
      </c>
      <c r="Q167" s="7" t="s">
        <v>702</v>
      </c>
      <c r="R167" s="7" t="s">
        <v>703</v>
      </c>
      <c r="S167" s="7" t="s">
        <v>704</v>
      </c>
      <c r="T167" s="7" t="s">
        <v>705</v>
      </c>
      <c r="U167" s="7" t="s">
        <v>706</v>
      </c>
      <c r="V167" s="7" t="s">
        <v>707</v>
      </c>
      <c r="W167" s="7" t="s">
        <v>708</v>
      </c>
      <c r="X167" s="7" t="s">
        <v>709</v>
      </c>
      <c r="Y167" s="7" t="s">
        <v>710</v>
      </c>
      <c r="Z167" s="7" t="s">
        <v>711</v>
      </c>
      <c r="AA167" s="7" t="s">
        <v>712</v>
      </c>
      <c r="AB167" s="7" t="s">
        <v>694</v>
      </c>
      <c r="AC167" s="7" t="s">
        <v>713</v>
      </c>
      <c r="AD167" s="7" t="s">
        <v>714</v>
      </c>
      <c r="AE167" s="7" t="s">
        <v>715</v>
      </c>
      <c r="AF167" s="7" t="s">
        <v>716</v>
      </c>
      <c r="AG167" s="7" t="s">
        <v>688</v>
      </c>
      <c r="AH167" s="7" t="s">
        <v>689</v>
      </c>
      <c r="AI167" s="7" t="s">
        <v>747</v>
      </c>
      <c r="AJ167" s="7" t="s">
        <v>696</v>
      </c>
      <c r="AK167" s="7" t="s">
        <v>773</v>
      </c>
      <c r="AL167" s="7" t="s">
        <v>940</v>
      </c>
      <c r="AM167" s="7" t="s">
        <v>941</v>
      </c>
      <c r="AN167" s="7" t="s">
        <v>942</v>
      </c>
    </row>
    <row r="168" spans="1:62" ht="78" customHeight="1" x14ac:dyDescent="0.4">
      <c r="A168" s="67" t="s">
        <v>542</v>
      </c>
      <c r="B168" t="e">
        <f>_xlfn.XLOOKUP(A168,'Product info'!A:A,'Product info'!C:C,,2)</f>
        <v>#N/A</v>
      </c>
      <c r="C168" s="69" t="s">
        <v>688</v>
      </c>
      <c r="D168" s="7" t="s">
        <v>689</v>
      </c>
      <c r="E168" s="7" t="s">
        <v>690</v>
      </c>
      <c r="F168" s="7" t="s">
        <v>691</v>
      </c>
      <c r="G168" s="7" t="s">
        <v>692</v>
      </c>
      <c r="H168" s="7" t="s">
        <v>693</v>
      </c>
      <c r="I168" s="7" t="s">
        <v>694</v>
      </c>
      <c r="J168" s="7" t="s">
        <v>695</v>
      </c>
      <c r="K168" s="7" t="s">
        <v>696</v>
      </c>
      <c r="L168" s="7" t="s">
        <v>697</v>
      </c>
      <c r="M168" s="7" t="s">
        <v>698</v>
      </c>
      <c r="N168" s="7" t="s">
        <v>699</v>
      </c>
      <c r="O168" s="7" t="s">
        <v>700</v>
      </c>
      <c r="P168" s="7" t="s">
        <v>701</v>
      </c>
      <c r="Q168" s="7" t="s">
        <v>702</v>
      </c>
      <c r="R168" s="7" t="s">
        <v>703</v>
      </c>
      <c r="S168" s="7" t="s">
        <v>704</v>
      </c>
      <c r="T168" s="7" t="s">
        <v>705</v>
      </c>
      <c r="U168" s="7" t="s">
        <v>706</v>
      </c>
      <c r="V168" s="7" t="s">
        <v>707</v>
      </c>
      <c r="W168" s="7" t="s">
        <v>708</v>
      </c>
      <c r="X168" s="7" t="s">
        <v>709</v>
      </c>
      <c r="Y168" s="7" t="s">
        <v>710</v>
      </c>
      <c r="Z168" s="7" t="s">
        <v>711</v>
      </c>
      <c r="AA168" s="7" t="s">
        <v>712</v>
      </c>
      <c r="AB168" s="7" t="s">
        <v>694</v>
      </c>
      <c r="AC168" s="7" t="s">
        <v>713</v>
      </c>
      <c r="AD168" s="7" t="s">
        <v>714</v>
      </c>
      <c r="AE168" s="7" t="s">
        <v>715</v>
      </c>
      <c r="AF168" s="7" t="s">
        <v>716</v>
      </c>
      <c r="AG168" s="7" t="s">
        <v>688</v>
      </c>
      <c r="AH168" s="7" t="s">
        <v>689</v>
      </c>
      <c r="AI168" s="7" t="s">
        <v>747</v>
      </c>
      <c r="AJ168" s="7" t="s">
        <v>696</v>
      </c>
      <c r="AK168" s="7" t="s">
        <v>773</v>
      </c>
      <c r="AL168" s="7" t="s">
        <v>940</v>
      </c>
      <c r="AM168" s="7" t="s">
        <v>941</v>
      </c>
      <c r="AN168" s="7" t="s">
        <v>942</v>
      </c>
      <c r="AO168" s="7" t="s">
        <v>774</v>
      </c>
      <c r="AP168" s="7" t="s">
        <v>1034</v>
      </c>
      <c r="AQ168" s="7" t="s">
        <v>1035</v>
      </c>
      <c r="AR168" s="7" t="s">
        <v>1036</v>
      </c>
      <c r="AS168" s="7" t="s">
        <v>1037</v>
      </c>
      <c r="AT168" s="7" t="s">
        <v>1038</v>
      </c>
      <c r="AU168" s="7" t="s">
        <v>1039</v>
      </c>
      <c r="AV168" s="7" t="s">
        <v>1040</v>
      </c>
      <c r="AW168" s="7" t="s">
        <v>1041</v>
      </c>
      <c r="AX168" s="7" t="s">
        <v>1042</v>
      </c>
      <c r="AY168" s="7" t="s">
        <v>1043</v>
      </c>
      <c r="AZ168" s="7" t="s">
        <v>1044</v>
      </c>
      <c r="BA168" s="7" t="s">
        <v>1045</v>
      </c>
      <c r="BB168" s="7" t="s">
        <v>1046</v>
      </c>
      <c r="BC168" s="7" t="s">
        <v>1047</v>
      </c>
      <c r="BD168" s="7" t="s">
        <v>1048</v>
      </c>
      <c r="BE168" s="7" t="s">
        <v>1049</v>
      </c>
      <c r="BF168" s="7" t="s">
        <v>1050</v>
      </c>
      <c r="BG168" s="7" t="s">
        <v>1051</v>
      </c>
      <c r="BH168" s="7" t="s">
        <v>1052</v>
      </c>
      <c r="BI168" s="7" t="s">
        <v>1053</v>
      </c>
      <c r="BJ168" s="7" t="s">
        <v>1054</v>
      </c>
    </row>
    <row r="169" spans="1:62" ht="78" customHeight="1" x14ac:dyDescent="0.4">
      <c r="A169" s="67" t="s">
        <v>400</v>
      </c>
      <c r="B169" t="e">
        <f>_xlfn.XLOOKUP(A169,'Product info'!A:A,'Product info'!C:C,,2)</f>
        <v>#N/A</v>
      </c>
      <c r="C169" s="69" t="s">
        <v>688</v>
      </c>
      <c r="D169" s="7" t="s">
        <v>689</v>
      </c>
      <c r="E169" s="7" t="s">
        <v>747</v>
      </c>
      <c r="F169" s="7" t="s">
        <v>696</v>
      </c>
      <c r="G169" s="7" t="s">
        <v>773</v>
      </c>
      <c r="H169" s="7" t="s">
        <v>940</v>
      </c>
      <c r="I169" s="7" t="s">
        <v>941</v>
      </c>
      <c r="J169" s="7" t="s">
        <v>942</v>
      </c>
      <c r="K169" s="7" t="s">
        <v>1055</v>
      </c>
      <c r="L169" s="7" t="s">
        <v>1056</v>
      </c>
      <c r="M169" s="7" t="s">
        <v>1057</v>
      </c>
      <c r="N169" s="7" t="s">
        <v>1058</v>
      </c>
      <c r="O169" s="7" t="s">
        <v>1059</v>
      </c>
      <c r="P169" s="7" t="s">
        <v>1060</v>
      </c>
      <c r="Q169" s="7" t="s">
        <v>1061</v>
      </c>
      <c r="R169" s="7" t="s">
        <v>1062</v>
      </c>
      <c r="S169" s="7" t="s">
        <v>1063</v>
      </c>
      <c r="T169" s="7" t="s">
        <v>1064</v>
      </c>
      <c r="U169" s="7" t="s">
        <v>1065</v>
      </c>
      <c r="V169" s="7" t="s">
        <v>1066</v>
      </c>
    </row>
    <row r="170" spans="1:62" ht="78" customHeight="1" x14ac:dyDescent="0.4">
      <c r="A170" s="67" t="s">
        <v>466</v>
      </c>
      <c r="B170" t="e">
        <f>_xlfn.XLOOKUP(A170,'Product info'!A:A,'Product info'!C:C,,2)</f>
        <v>#N/A</v>
      </c>
      <c r="C170" s="69" t="s">
        <v>688</v>
      </c>
      <c r="D170" s="7" t="s">
        <v>689</v>
      </c>
      <c r="E170" s="7" t="s">
        <v>690</v>
      </c>
      <c r="F170" s="7" t="s">
        <v>691</v>
      </c>
      <c r="G170" s="7" t="s">
        <v>692</v>
      </c>
      <c r="H170" s="7" t="s">
        <v>693</v>
      </c>
      <c r="I170" s="7" t="s">
        <v>694</v>
      </c>
      <c r="J170" s="7" t="s">
        <v>695</v>
      </c>
      <c r="K170" s="7" t="s">
        <v>696</v>
      </c>
      <c r="L170" s="7" t="s">
        <v>697</v>
      </c>
      <c r="M170" s="7" t="s">
        <v>698</v>
      </c>
      <c r="N170" s="7" t="s">
        <v>699</v>
      </c>
      <c r="O170" s="7" t="s">
        <v>700</v>
      </c>
      <c r="P170" s="7" t="s">
        <v>701</v>
      </c>
      <c r="Q170" s="7" t="s">
        <v>702</v>
      </c>
      <c r="R170" s="7" t="s">
        <v>703</v>
      </c>
      <c r="S170" s="7" t="s">
        <v>704</v>
      </c>
      <c r="T170" s="7" t="s">
        <v>705</v>
      </c>
      <c r="U170" s="7" t="s">
        <v>706</v>
      </c>
      <c r="V170" s="7" t="s">
        <v>707</v>
      </c>
      <c r="W170" s="7" t="s">
        <v>708</v>
      </c>
      <c r="X170" s="7" t="s">
        <v>709</v>
      </c>
      <c r="Y170" s="7" t="s">
        <v>710</v>
      </c>
      <c r="Z170" s="7" t="s">
        <v>711</v>
      </c>
      <c r="AA170" s="7" t="s">
        <v>712</v>
      </c>
      <c r="AB170" s="7" t="s">
        <v>694</v>
      </c>
      <c r="AC170" s="7" t="s">
        <v>713</v>
      </c>
      <c r="AD170" s="7" t="s">
        <v>714</v>
      </c>
      <c r="AE170" s="7" t="s">
        <v>715</v>
      </c>
      <c r="AF170" s="7" t="s">
        <v>716</v>
      </c>
      <c r="AG170" s="7" t="s">
        <v>688</v>
      </c>
      <c r="AH170" s="7" t="s">
        <v>689</v>
      </c>
      <c r="AI170" s="7" t="s">
        <v>747</v>
      </c>
      <c r="AJ170" s="7" t="s">
        <v>696</v>
      </c>
      <c r="AK170" s="7" t="s">
        <v>773</v>
      </c>
      <c r="AL170" s="7" t="s">
        <v>940</v>
      </c>
      <c r="AM170" s="7" t="s">
        <v>941</v>
      </c>
      <c r="AN170" s="7" t="s">
        <v>942</v>
      </c>
      <c r="AO170" s="7" t="s">
        <v>877</v>
      </c>
      <c r="AP170" s="7" t="s">
        <v>878</v>
      </c>
      <c r="AQ170" s="7" t="s">
        <v>879</v>
      </c>
      <c r="AR170" s="7" t="s">
        <v>1067</v>
      </c>
      <c r="AS170" s="7" t="s">
        <v>1068</v>
      </c>
      <c r="AT170" s="7" t="s">
        <v>1069</v>
      </c>
      <c r="AU170" s="7" t="s">
        <v>1070</v>
      </c>
    </row>
    <row r="171" spans="1:62" ht="78" customHeight="1" x14ac:dyDescent="0.4">
      <c r="A171" s="67" t="s">
        <v>468</v>
      </c>
      <c r="B171" t="e">
        <f>_xlfn.XLOOKUP(A171,'Product info'!A:A,'Product info'!C:C,,2)</f>
        <v>#N/A</v>
      </c>
      <c r="C171" s="69" t="s">
        <v>688</v>
      </c>
      <c r="D171" s="7" t="s">
        <v>689</v>
      </c>
      <c r="E171" s="7" t="s">
        <v>690</v>
      </c>
      <c r="F171" s="7" t="s">
        <v>691</v>
      </c>
      <c r="G171" s="7" t="s">
        <v>692</v>
      </c>
      <c r="H171" s="7" t="s">
        <v>693</v>
      </c>
      <c r="I171" s="7" t="s">
        <v>694</v>
      </c>
      <c r="J171" s="7" t="s">
        <v>695</v>
      </c>
      <c r="K171" s="7" t="s">
        <v>696</v>
      </c>
      <c r="L171" s="7" t="s">
        <v>697</v>
      </c>
      <c r="M171" s="7" t="s">
        <v>698</v>
      </c>
      <c r="N171" s="7" t="s">
        <v>699</v>
      </c>
      <c r="O171" s="7" t="s">
        <v>700</v>
      </c>
      <c r="P171" s="7" t="s">
        <v>701</v>
      </c>
      <c r="Q171" s="7" t="s">
        <v>702</v>
      </c>
      <c r="R171" s="7" t="s">
        <v>703</v>
      </c>
      <c r="S171" s="7" t="s">
        <v>704</v>
      </c>
      <c r="T171" s="7" t="s">
        <v>705</v>
      </c>
      <c r="U171" s="7" t="s">
        <v>706</v>
      </c>
      <c r="V171" s="7" t="s">
        <v>707</v>
      </c>
      <c r="W171" s="7" t="s">
        <v>708</v>
      </c>
      <c r="X171" s="7" t="s">
        <v>709</v>
      </c>
      <c r="Y171" s="7" t="s">
        <v>710</v>
      </c>
      <c r="Z171" s="7" t="s">
        <v>711</v>
      </c>
      <c r="AA171" s="7" t="s">
        <v>712</v>
      </c>
      <c r="AB171" s="7" t="s">
        <v>694</v>
      </c>
      <c r="AC171" s="7" t="s">
        <v>713</v>
      </c>
      <c r="AD171" s="7" t="s">
        <v>714</v>
      </c>
      <c r="AE171" s="7" t="s">
        <v>715</v>
      </c>
      <c r="AF171" s="7" t="s">
        <v>716</v>
      </c>
      <c r="AG171" s="7" t="s">
        <v>688</v>
      </c>
      <c r="AH171" s="7" t="s">
        <v>689</v>
      </c>
      <c r="AI171" s="7" t="s">
        <v>747</v>
      </c>
      <c r="AJ171" s="7" t="s">
        <v>696</v>
      </c>
      <c r="AK171" s="7" t="s">
        <v>773</v>
      </c>
      <c r="AL171" s="7" t="s">
        <v>940</v>
      </c>
      <c r="AM171" s="7" t="s">
        <v>941</v>
      </c>
      <c r="AN171" s="7" t="s">
        <v>942</v>
      </c>
      <c r="AO171" s="7" t="s">
        <v>877</v>
      </c>
      <c r="AP171" s="7" t="s">
        <v>878</v>
      </c>
      <c r="AQ171" s="7" t="s">
        <v>879</v>
      </c>
      <c r="AR171" s="7" t="s">
        <v>1067</v>
      </c>
      <c r="AS171" s="7" t="s">
        <v>1068</v>
      </c>
      <c r="AT171" s="7" t="s">
        <v>1069</v>
      </c>
    </row>
    <row r="172" spans="1:62" ht="78" customHeight="1" x14ac:dyDescent="0.4">
      <c r="A172" s="67" t="s">
        <v>467</v>
      </c>
      <c r="B172" t="e">
        <f>_xlfn.XLOOKUP(A172,'Product info'!A:A,'Product info'!C:C,,2)</f>
        <v>#N/A</v>
      </c>
      <c r="C172" s="69" t="s">
        <v>688</v>
      </c>
      <c r="D172" s="7" t="s">
        <v>689</v>
      </c>
      <c r="E172" s="7" t="s">
        <v>690</v>
      </c>
      <c r="F172" s="7" t="s">
        <v>691</v>
      </c>
      <c r="G172" s="7" t="s">
        <v>692</v>
      </c>
      <c r="H172" s="7" t="s">
        <v>693</v>
      </c>
      <c r="I172" s="7" t="s">
        <v>694</v>
      </c>
      <c r="J172" s="7" t="s">
        <v>695</v>
      </c>
      <c r="K172" s="7" t="s">
        <v>696</v>
      </c>
      <c r="L172" s="7" t="s">
        <v>697</v>
      </c>
      <c r="M172" s="7" t="s">
        <v>698</v>
      </c>
      <c r="N172" s="7" t="s">
        <v>699</v>
      </c>
      <c r="O172" s="7" t="s">
        <v>700</v>
      </c>
      <c r="P172" s="7" t="s">
        <v>701</v>
      </c>
      <c r="Q172" s="7" t="s">
        <v>702</v>
      </c>
      <c r="R172" s="7" t="s">
        <v>703</v>
      </c>
      <c r="S172" s="7" t="s">
        <v>704</v>
      </c>
      <c r="T172" s="7" t="s">
        <v>705</v>
      </c>
      <c r="U172" s="7" t="s">
        <v>706</v>
      </c>
      <c r="V172" s="7" t="s">
        <v>707</v>
      </c>
      <c r="W172" s="7" t="s">
        <v>708</v>
      </c>
      <c r="X172" s="7" t="s">
        <v>709</v>
      </c>
      <c r="Y172" s="7" t="s">
        <v>710</v>
      </c>
      <c r="Z172" s="7" t="s">
        <v>711</v>
      </c>
      <c r="AA172" s="7" t="s">
        <v>712</v>
      </c>
      <c r="AB172" s="7" t="s">
        <v>694</v>
      </c>
      <c r="AC172" s="7" t="s">
        <v>713</v>
      </c>
      <c r="AD172" s="7" t="s">
        <v>714</v>
      </c>
      <c r="AE172" s="7" t="s">
        <v>715</v>
      </c>
      <c r="AF172" s="7" t="s">
        <v>716</v>
      </c>
      <c r="AG172" s="7" t="s">
        <v>688</v>
      </c>
      <c r="AH172" s="7" t="s">
        <v>689</v>
      </c>
      <c r="AI172" s="7" t="s">
        <v>747</v>
      </c>
      <c r="AJ172" s="7" t="s">
        <v>696</v>
      </c>
      <c r="AK172" s="7" t="s">
        <v>773</v>
      </c>
      <c r="AL172" s="7" t="s">
        <v>940</v>
      </c>
      <c r="AM172" s="7" t="s">
        <v>941</v>
      </c>
      <c r="AN172" s="7" t="s">
        <v>942</v>
      </c>
      <c r="AO172" s="7" t="s">
        <v>877</v>
      </c>
      <c r="AP172" s="7" t="s">
        <v>878</v>
      </c>
      <c r="AQ172" s="7" t="s">
        <v>879</v>
      </c>
      <c r="AR172" s="7" t="s">
        <v>1067</v>
      </c>
      <c r="AS172" s="7" t="s">
        <v>1068</v>
      </c>
      <c r="AT172" s="7" t="s">
        <v>1069</v>
      </c>
      <c r="AU172" s="7" t="s">
        <v>1070</v>
      </c>
    </row>
    <row r="173" spans="1:62" ht="78" customHeight="1" x14ac:dyDescent="0.4">
      <c r="A173" s="67" t="s">
        <v>469</v>
      </c>
      <c r="B173" t="e">
        <f>_xlfn.XLOOKUP(A173,'Product info'!A:A,'Product info'!C:C,,2)</f>
        <v>#N/A</v>
      </c>
      <c r="C173" s="69" t="s">
        <v>688</v>
      </c>
      <c r="D173" s="7" t="s">
        <v>689</v>
      </c>
      <c r="E173" s="7" t="s">
        <v>690</v>
      </c>
      <c r="F173" s="7" t="s">
        <v>691</v>
      </c>
      <c r="G173" s="7" t="s">
        <v>692</v>
      </c>
      <c r="H173" s="7" t="s">
        <v>693</v>
      </c>
      <c r="I173" s="7" t="s">
        <v>694</v>
      </c>
      <c r="J173" s="7" t="s">
        <v>695</v>
      </c>
      <c r="K173" s="7" t="s">
        <v>696</v>
      </c>
      <c r="L173" s="7" t="s">
        <v>697</v>
      </c>
      <c r="M173" s="7" t="s">
        <v>698</v>
      </c>
      <c r="N173" s="7" t="s">
        <v>699</v>
      </c>
      <c r="O173" s="7" t="s">
        <v>700</v>
      </c>
      <c r="P173" s="7" t="s">
        <v>701</v>
      </c>
      <c r="Q173" s="7" t="s">
        <v>702</v>
      </c>
      <c r="R173" s="7" t="s">
        <v>703</v>
      </c>
      <c r="S173" s="7" t="s">
        <v>704</v>
      </c>
      <c r="T173" s="7" t="s">
        <v>705</v>
      </c>
      <c r="U173" s="7" t="s">
        <v>706</v>
      </c>
      <c r="V173" s="7" t="s">
        <v>707</v>
      </c>
      <c r="W173" s="7" t="s">
        <v>708</v>
      </c>
      <c r="X173" s="7" t="s">
        <v>709</v>
      </c>
      <c r="Y173" s="7" t="s">
        <v>710</v>
      </c>
      <c r="Z173" s="7" t="s">
        <v>711</v>
      </c>
      <c r="AA173" s="7" t="s">
        <v>712</v>
      </c>
      <c r="AB173" s="7" t="s">
        <v>694</v>
      </c>
      <c r="AC173" s="7" t="s">
        <v>713</v>
      </c>
      <c r="AD173" s="7" t="s">
        <v>714</v>
      </c>
      <c r="AE173" s="7" t="s">
        <v>715</v>
      </c>
      <c r="AF173" s="7" t="s">
        <v>716</v>
      </c>
      <c r="AG173" s="7" t="s">
        <v>688</v>
      </c>
      <c r="AH173" s="7" t="s">
        <v>689</v>
      </c>
      <c r="AI173" s="7" t="s">
        <v>747</v>
      </c>
      <c r="AJ173" s="7" t="s">
        <v>696</v>
      </c>
      <c r="AK173" s="7" t="s">
        <v>773</v>
      </c>
      <c r="AL173" s="7" t="s">
        <v>940</v>
      </c>
      <c r="AM173" s="7" t="s">
        <v>941</v>
      </c>
      <c r="AN173" s="7" t="s">
        <v>942</v>
      </c>
      <c r="AO173" s="7" t="s">
        <v>877</v>
      </c>
      <c r="AP173" s="7" t="s">
        <v>878</v>
      </c>
      <c r="AQ173" s="7" t="s">
        <v>879</v>
      </c>
      <c r="AR173" s="7" t="s">
        <v>1067</v>
      </c>
      <c r="AS173" s="7" t="s">
        <v>1068</v>
      </c>
      <c r="AT173" s="7" t="s">
        <v>1069</v>
      </c>
    </row>
    <row r="174" spans="1:62" ht="78" customHeight="1" x14ac:dyDescent="0.4">
      <c r="A174" s="67" t="s">
        <v>396</v>
      </c>
      <c r="B174" t="e">
        <f>_xlfn.XLOOKUP(A174,'Product info'!A:A,'Product info'!C:C,,2)</f>
        <v>#N/A</v>
      </c>
      <c r="C174" s="69" t="s">
        <v>688</v>
      </c>
      <c r="D174" s="7" t="s">
        <v>689</v>
      </c>
      <c r="E174" s="7" t="s">
        <v>690</v>
      </c>
      <c r="F174" s="7" t="s">
        <v>691</v>
      </c>
      <c r="G174" s="7" t="s">
        <v>692</v>
      </c>
      <c r="H174" s="7" t="s">
        <v>693</v>
      </c>
      <c r="I174" s="7" t="s">
        <v>694</v>
      </c>
      <c r="J174" s="7" t="s">
        <v>695</v>
      </c>
      <c r="K174" s="7" t="s">
        <v>696</v>
      </c>
      <c r="L174" s="7" t="s">
        <v>697</v>
      </c>
      <c r="M174" s="7" t="s">
        <v>698</v>
      </c>
      <c r="N174" s="7" t="s">
        <v>699</v>
      </c>
      <c r="O174" s="7" t="s">
        <v>700</v>
      </c>
      <c r="P174" s="7" t="s">
        <v>701</v>
      </c>
      <c r="Q174" s="7" t="s">
        <v>702</v>
      </c>
      <c r="R174" s="7" t="s">
        <v>703</v>
      </c>
      <c r="S174" s="7" t="s">
        <v>704</v>
      </c>
      <c r="T174" s="7" t="s">
        <v>705</v>
      </c>
      <c r="U174" s="7" t="s">
        <v>706</v>
      </c>
      <c r="V174" s="7" t="s">
        <v>707</v>
      </c>
      <c r="W174" s="7" t="s">
        <v>708</v>
      </c>
      <c r="X174" s="7" t="s">
        <v>709</v>
      </c>
      <c r="Y174" s="7" t="s">
        <v>710</v>
      </c>
      <c r="Z174" s="7" t="s">
        <v>711</v>
      </c>
      <c r="AA174" s="7" t="s">
        <v>712</v>
      </c>
      <c r="AB174" s="7" t="s">
        <v>694</v>
      </c>
      <c r="AC174" s="7" t="s">
        <v>713</v>
      </c>
      <c r="AD174" s="7" t="s">
        <v>714</v>
      </c>
      <c r="AE174" s="7" t="s">
        <v>715</v>
      </c>
      <c r="AF174" s="7" t="s">
        <v>716</v>
      </c>
      <c r="AG174" s="7" t="s">
        <v>688</v>
      </c>
      <c r="AH174" s="7" t="s">
        <v>689</v>
      </c>
      <c r="AI174" s="7" t="s">
        <v>747</v>
      </c>
      <c r="AJ174" s="7" t="s">
        <v>696</v>
      </c>
      <c r="AK174" s="7" t="s">
        <v>773</v>
      </c>
      <c r="AL174" s="7" t="s">
        <v>940</v>
      </c>
      <c r="AM174" s="7" t="s">
        <v>941</v>
      </c>
      <c r="AN174" s="7" t="s">
        <v>942</v>
      </c>
      <c r="AO174" s="7" t="s">
        <v>1071</v>
      </c>
      <c r="AP174" s="7" t="s">
        <v>1072</v>
      </c>
      <c r="AQ174" s="7" t="s">
        <v>1073</v>
      </c>
      <c r="AR174" s="7" t="s">
        <v>1074</v>
      </c>
      <c r="AS174" s="7" t="s">
        <v>1075</v>
      </c>
      <c r="AT174" s="7" t="s">
        <v>1076</v>
      </c>
      <c r="AU174" s="7" t="s">
        <v>1077</v>
      </c>
      <c r="AV174" s="7" t="s">
        <v>1078</v>
      </c>
      <c r="AW174" s="7" t="s">
        <v>1079</v>
      </c>
      <c r="AX174" s="7" t="s">
        <v>1080</v>
      </c>
      <c r="AY174" s="7" t="s">
        <v>1081</v>
      </c>
      <c r="AZ174" s="7" t="s">
        <v>1082</v>
      </c>
      <c r="BA174" s="7" t="s">
        <v>1083</v>
      </c>
      <c r="BB174" s="7" t="s">
        <v>1084</v>
      </c>
    </row>
    <row r="175" spans="1:62" ht="78" customHeight="1" x14ac:dyDescent="0.4">
      <c r="A175" s="67" t="s">
        <v>442</v>
      </c>
      <c r="B175" t="e">
        <f>_xlfn.XLOOKUP(A175,'Product info'!A:A,'Product info'!C:C,,2)</f>
        <v>#N/A</v>
      </c>
      <c r="C175" s="69" t="s">
        <v>688</v>
      </c>
      <c r="D175" s="7" t="s">
        <v>689</v>
      </c>
      <c r="E175" s="7" t="s">
        <v>690</v>
      </c>
      <c r="F175" s="7" t="s">
        <v>691</v>
      </c>
      <c r="G175" s="7" t="s">
        <v>692</v>
      </c>
      <c r="H175" s="7" t="s">
        <v>693</v>
      </c>
      <c r="I175" s="7" t="s">
        <v>694</v>
      </c>
      <c r="J175" s="7" t="s">
        <v>695</v>
      </c>
      <c r="K175" s="7" t="s">
        <v>696</v>
      </c>
      <c r="L175" s="7" t="s">
        <v>697</v>
      </c>
      <c r="M175" s="7" t="s">
        <v>698</v>
      </c>
      <c r="N175" s="7" t="s">
        <v>699</v>
      </c>
      <c r="O175" s="7" t="s">
        <v>700</v>
      </c>
      <c r="P175" s="7" t="s">
        <v>701</v>
      </c>
      <c r="Q175" s="7" t="s">
        <v>702</v>
      </c>
      <c r="R175" s="7" t="s">
        <v>703</v>
      </c>
      <c r="S175" s="7" t="s">
        <v>704</v>
      </c>
      <c r="T175" s="7" t="s">
        <v>705</v>
      </c>
      <c r="U175" s="7" t="s">
        <v>706</v>
      </c>
      <c r="V175" s="7" t="s">
        <v>707</v>
      </c>
      <c r="W175" s="7" t="s">
        <v>708</v>
      </c>
      <c r="X175" s="7" t="s">
        <v>709</v>
      </c>
      <c r="Y175" s="7" t="s">
        <v>710</v>
      </c>
      <c r="Z175" s="7" t="s">
        <v>711</v>
      </c>
      <c r="AA175" s="7" t="s">
        <v>712</v>
      </c>
      <c r="AB175" s="7" t="s">
        <v>694</v>
      </c>
      <c r="AC175" s="7" t="s">
        <v>713</v>
      </c>
      <c r="AD175" s="7" t="s">
        <v>714</v>
      </c>
      <c r="AE175" s="7" t="s">
        <v>715</v>
      </c>
      <c r="AF175" s="7" t="s">
        <v>716</v>
      </c>
      <c r="AG175" s="7" t="s">
        <v>688</v>
      </c>
      <c r="AH175" s="7" t="s">
        <v>689</v>
      </c>
      <c r="AI175" s="7" t="s">
        <v>747</v>
      </c>
      <c r="AJ175" s="7" t="s">
        <v>696</v>
      </c>
      <c r="AK175" s="7" t="s">
        <v>773</v>
      </c>
      <c r="AL175" s="7" t="s">
        <v>940</v>
      </c>
      <c r="AM175" s="7" t="s">
        <v>941</v>
      </c>
      <c r="AN175" s="7" t="s">
        <v>942</v>
      </c>
      <c r="AO175" s="7" t="s">
        <v>904</v>
      </c>
      <c r="AP175" s="7" t="s">
        <v>905</v>
      </c>
      <c r="AQ175" s="7" t="s">
        <v>906</v>
      </c>
      <c r="AR175" s="7" t="s">
        <v>907</v>
      </c>
      <c r="AS175" s="7" t="s">
        <v>908</v>
      </c>
      <c r="AT175" s="7" t="s">
        <v>909</v>
      </c>
      <c r="AU175" s="7" t="s">
        <v>910</v>
      </c>
      <c r="AV175" s="7" t="s">
        <v>903</v>
      </c>
      <c r="AW175" s="7" t="s">
        <v>912</v>
      </c>
      <c r="AX175" s="7" t="s">
        <v>913</v>
      </c>
      <c r="AY175" s="7" t="s">
        <v>914</v>
      </c>
      <c r="AZ175" s="7" t="s">
        <v>915</v>
      </c>
      <c r="BA175" s="7" t="s">
        <v>916</v>
      </c>
    </row>
    <row r="176" spans="1:62" ht="78" customHeight="1" x14ac:dyDescent="0.4">
      <c r="A176" s="67" t="s">
        <v>443</v>
      </c>
      <c r="B176" t="e">
        <f>_xlfn.XLOOKUP(A176,'Product info'!A:A,'Product info'!C:C,,2)</f>
        <v>#N/A</v>
      </c>
      <c r="C176" s="69" t="s">
        <v>688</v>
      </c>
      <c r="D176" s="7" t="s">
        <v>689</v>
      </c>
      <c r="E176" s="7" t="s">
        <v>690</v>
      </c>
      <c r="F176" s="7" t="s">
        <v>691</v>
      </c>
      <c r="G176" s="7" t="s">
        <v>692</v>
      </c>
      <c r="H176" s="7" t="s">
        <v>693</v>
      </c>
      <c r="I176" s="7" t="s">
        <v>694</v>
      </c>
      <c r="J176" s="7" t="s">
        <v>695</v>
      </c>
      <c r="K176" s="7" t="s">
        <v>696</v>
      </c>
      <c r="L176" s="7" t="s">
        <v>697</v>
      </c>
      <c r="M176" s="7" t="s">
        <v>698</v>
      </c>
      <c r="N176" s="7" t="s">
        <v>699</v>
      </c>
      <c r="O176" s="7" t="s">
        <v>700</v>
      </c>
      <c r="P176" s="7" t="s">
        <v>701</v>
      </c>
      <c r="Q176" s="7" t="s">
        <v>702</v>
      </c>
      <c r="R176" s="7" t="s">
        <v>703</v>
      </c>
      <c r="S176" s="7" t="s">
        <v>704</v>
      </c>
      <c r="T176" s="7" t="s">
        <v>705</v>
      </c>
      <c r="U176" s="7" t="s">
        <v>706</v>
      </c>
      <c r="V176" s="7" t="s">
        <v>707</v>
      </c>
      <c r="W176" s="7" t="s">
        <v>708</v>
      </c>
      <c r="X176" s="7" t="s">
        <v>709</v>
      </c>
      <c r="Y176" s="7" t="s">
        <v>710</v>
      </c>
      <c r="Z176" s="7" t="s">
        <v>711</v>
      </c>
      <c r="AA176" s="7" t="s">
        <v>712</v>
      </c>
      <c r="AB176" s="7" t="s">
        <v>694</v>
      </c>
      <c r="AC176" s="7" t="s">
        <v>713</v>
      </c>
      <c r="AD176" s="7" t="s">
        <v>714</v>
      </c>
      <c r="AE176" s="7" t="s">
        <v>715</v>
      </c>
      <c r="AF176" s="7" t="s">
        <v>716</v>
      </c>
      <c r="AG176" s="7" t="s">
        <v>688</v>
      </c>
      <c r="AH176" s="7" t="s">
        <v>689</v>
      </c>
      <c r="AI176" s="7" t="s">
        <v>747</v>
      </c>
      <c r="AJ176" s="7" t="s">
        <v>696</v>
      </c>
      <c r="AK176" s="7" t="s">
        <v>773</v>
      </c>
      <c r="AL176" s="7" t="s">
        <v>940</v>
      </c>
      <c r="AM176" s="7" t="s">
        <v>941</v>
      </c>
      <c r="AN176" s="7" t="s">
        <v>942</v>
      </c>
      <c r="AO176" s="7" t="s">
        <v>1070</v>
      </c>
      <c r="AP176" s="7" t="s">
        <v>904</v>
      </c>
      <c r="AQ176" s="7" t="s">
        <v>905</v>
      </c>
      <c r="AR176" s="7" t="s">
        <v>906</v>
      </c>
      <c r="AS176" s="7" t="s">
        <v>907</v>
      </c>
      <c r="AT176" s="7" t="s">
        <v>908</v>
      </c>
      <c r="AU176" s="7" t="s">
        <v>909</v>
      </c>
      <c r="AV176" s="7" t="s">
        <v>910</v>
      </c>
      <c r="AW176" s="7" t="s">
        <v>903</v>
      </c>
      <c r="AX176" s="7" t="s">
        <v>912</v>
      </c>
      <c r="AY176" s="7" t="s">
        <v>913</v>
      </c>
      <c r="AZ176" s="7" t="s">
        <v>914</v>
      </c>
      <c r="BA176" s="7" t="s">
        <v>915</v>
      </c>
      <c r="BB176" s="7" t="s">
        <v>916</v>
      </c>
    </row>
    <row r="177" spans="1:58" ht="78" customHeight="1" x14ac:dyDescent="0.4">
      <c r="A177" s="67" t="s">
        <v>445</v>
      </c>
      <c r="B177" t="e">
        <f>_xlfn.XLOOKUP(A177,'Product info'!A:A,'Product info'!C:C,,2)</f>
        <v>#N/A</v>
      </c>
      <c r="C177" s="69" t="s">
        <v>688</v>
      </c>
      <c r="D177" s="7" t="s">
        <v>689</v>
      </c>
      <c r="E177" s="7" t="s">
        <v>690</v>
      </c>
      <c r="F177" s="7" t="s">
        <v>691</v>
      </c>
      <c r="G177" s="7" t="s">
        <v>692</v>
      </c>
      <c r="H177" s="7" t="s">
        <v>693</v>
      </c>
      <c r="I177" s="7" t="s">
        <v>694</v>
      </c>
      <c r="J177" s="7" t="s">
        <v>695</v>
      </c>
      <c r="K177" s="7" t="s">
        <v>696</v>
      </c>
      <c r="L177" s="7" t="s">
        <v>697</v>
      </c>
      <c r="M177" s="7" t="s">
        <v>698</v>
      </c>
      <c r="N177" s="7" t="s">
        <v>699</v>
      </c>
      <c r="O177" s="7" t="s">
        <v>700</v>
      </c>
      <c r="P177" s="7" t="s">
        <v>701</v>
      </c>
      <c r="Q177" s="7" t="s">
        <v>702</v>
      </c>
      <c r="R177" s="7" t="s">
        <v>703</v>
      </c>
      <c r="S177" s="7" t="s">
        <v>704</v>
      </c>
      <c r="T177" s="7" t="s">
        <v>705</v>
      </c>
      <c r="U177" s="7" t="s">
        <v>706</v>
      </c>
      <c r="V177" s="7" t="s">
        <v>707</v>
      </c>
      <c r="W177" s="7" t="s">
        <v>708</v>
      </c>
      <c r="X177" s="7" t="s">
        <v>709</v>
      </c>
      <c r="Y177" s="7" t="s">
        <v>710</v>
      </c>
      <c r="Z177" s="7" t="s">
        <v>711</v>
      </c>
      <c r="AA177" s="7" t="s">
        <v>712</v>
      </c>
      <c r="AB177" s="7" t="s">
        <v>694</v>
      </c>
      <c r="AC177" s="7" t="s">
        <v>713</v>
      </c>
      <c r="AD177" s="7" t="s">
        <v>714</v>
      </c>
      <c r="AE177" s="7" t="s">
        <v>715</v>
      </c>
      <c r="AF177" s="7" t="s">
        <v>716</v>
      </c>
      <c r="AG177" s="7" t="s">
        <v>688</v>
      </c>
      <c r="AH177" s="7" t="s">
        <v>689</v>
      </c>
      <c r="AI177" s="7" t="s">
        <v>747</v>
      </c>
      <c r="AJ177" s="7" t="s">
        <v>696</v>
      </c>
      <c r="AK177" s="7" t="s">
        <v>773</v>
      </c>
      <c r="AL177" s="7" t="s">
        <v>940</v>
      </c>
      <c r="AM177" s="7" t="s">
        <v>941</v>
      </c>
      <c r="AN177" s="7" t="s">
        <v>942</v>
      </c>
      <c r="AO177" s="7" t="s">
        <v>904</v>
      </c>
      <c r="AP177" s="7" t="s">
        <v>905</v>
      </c>
      <c r="AQ177" s="7" t="s">
        <v>906</v>
      </c>
      <c r="AR177" s="7" t="s">
        <v>907</v>
      </c>
      <c r="AS177" s="7" t="s">
        <v>908</v>
      </c>
      <c r="AT177" s="7" t="s">
        <v>909</v>
      </c>
      <c r="AU177" s="7" t="s">
        <v>910</v>
      </c>
      <c r="AV177" s="7" t="s">
        <v>903</v>
      </c>
      <c r="AW177" s="7" t="s">
        <v>912</v>
      </c>
      <c r="AX177" s="7" t="s">
        <v>913</v>
      </c>
      <c r="AY177" s="7" t="s">
        <v>914</v>
      </c>
      <c r="AZ177" s="7" t="s">
        <v>915</v>
      </c>
      <c r="BA177" s="7" t="s">
        <v>916</v>
      </c>
    </row>
    <row r="178" spans="1:58" ht="78" customHeight="1" x14ac:dyDescent="0.4">
      <c r="A178" s="67" t="s">
        <v>441</v>
      </c>
      <c r="B178" t="e">
        <f>_xlfn.XLOOKUP(A178,'Product info'!A:A,'Product info'!C:C,,2)</f>
        <v>#N/A</v>
      </c>
      <c r="C178" s="69" t="s">
        <v>688</v>
      </c>
      <c r="D178" s="7" t="s">
        <v>689</v>
      </c>
      <c r="E178" s="7" t="s">
        <v>690</v>
      </c>
      <c r="F178" s="7" t="s">
        <v>691</v>
      </c>
      <c r="G178" s="7" t="s">
        <v>692</v>
      </c>
      <c r="H178" s="7" t="s">
        <v>693</v>
      </c>
      <c r="I178" s="7" t="s">
        <v>694</v>
      </c>
      <c r="J178" s="7" t="s">
        <v>695</v>
      </c>
      <c r="K178" s="7" t="s">
        <v>696</v>
      </c>
      <c r="L178" s="7" t="s">
        <v>697</v>
      </c>
      <c r="M178" s="7" t="s">
        <v>698</v>
      </c>
      <c r="N178" s="7" t="s">
        <v>699</v>
      </c>
      <c r="O178" s="7" t="s">
        <v>700</v>
      </c>
      <c r="P178" s="7" t="s">
        <v>701</v>
      </c>
      <c r="Q178" s="7" t="s">
        <v>702</v>
      </c>
      <c r="R178" s="7" t="s">
        <v>703</v>
      </c>
      <c r="S178" s="7" t="s">
        <v>704</v>
      </c>
      <c r="T178" s="7" t="s">
        <v>705</v>
      </c>
      <c r="U178" s="7" t="s">
        <v>706</v>
      </c>
      <c r="V178" s="7" t="s">
        <v>707</v>
      </c>
      <c r="W178" s="7" t="s">
        <v>708</v>
      </c>
      <c r="X178" s="7" t="s">
        <v>709</v>
      </c>
      <c r="Y178" s="7" t="s">
        <v>710</v>
      </c>
      <c r="Z178" s="7" t="s">
        <v>711</v>
      </c>
      <c r="AA178" s="7" t="s">
        <v>712</v>
      </c>
      <c r="AB178" s="7" t="s">
        <v>694</v>
      </c>
      <c r="AC178" s="7" t="s">
        <v>713</v>
      </c>
      <c r="AD178" s="7" t="s">
        <v>714</v>
      </c>
      <c r="AE178" s="7" t="s">
        <v>715</v>
      </c>
      <c r="AF178" s="7" t="s">
        <v>716</v>
      </c>
      <c r="AG178" s="7" t="s">
        <v>688</v>
      </c>
      <c r="AH178" s="7" t="s">
        <v>689</v>
      </c>
      <c r="AI178" s="7" t="s">
        <v>747</v>
      </c>
      <c r="AJ178" s="7" t="s">
        <v>696</v>
      </c>
      <c r="AK178" s="7" t="s">
        <v>773</v>
      </c>
      <c r="AL178" s="7" t="s">
        <v>940</v>
      </c>
      <c r="AM178" s="7" t="s">
        <v>941</v>
      </c>
      <c r="AN178" s="7" t="s">
        <v>942</v>
      </c>
      <c r="AO178" s="7" t="s">
        <v>904</v>
      </c>
      <c r="AP178" s="7" t="s">
        <v>905</v>
      </c>
      <c r="AQ178" s="7" t="s">
        <v>906</v>
      </c>
      <c r="AR178" s="7" t="s">
        <v>907</v>
      </c>
      <c r="AS178" s="7" t="s">
        <v>908</v>
      </c>
      <c r="AT178" s="7" t="s">
        <v>909</v>
      </c>
      <c r="AU178" s="7" t="s">
        <v>910</v>
      </c>
      <c r="AV178" s="7" t="s">
        <v>903</v>
      </c>
      <c r="AW178" s="7" t="s">
        <v>912</v>
      </c>
      <c r="AX178" s="7" t="s">
        <v>913</v>
      </c>
      <c r="AY178" s="7" t="s">
        <v>914</v>
      </c>
      <c r="AZ178" s="7" t="s">
        <v>915</v>
      </c>
      <c r="BA178" s="7" t="s">
        <v>916</v>
      </c>
    </row>
    <row r="179" spans="1:58" ht="78" customHeight="1" x14ac:dyDescent="0.4">
      <c r="A179" s="67" t="s">
        <v>379</v>
      </c>
      <c r="B179" t="e">
        <f>_xlfn.XLOOKUP(A179,'Product info'!A:A,'Product info'!C:C,,2)</f>
        <v>#N/A</v>
      </c>
      <c r="C179" s="69" t="s">
        <v>688</v>
      </c>
      <c r="D179" s="7" t="s">
        <v>689</v>
      </c>
      <c r="E179" s="7" t="s">
        <v>690</v>
      </c>
      <c r="F179" s="7" t="s">
        <v>691</v>
      </c>
      <c r="G179" s="7" t="s">
        <v>692</v>
      </c>
      <c r="H179" s="7" t="s">
        <v>693</v>
      </c>
      <c r="I179" s="7" t="s">
        <v>694</v>
      </c>
      <c r="J179" s="7" t="s">
        <v>695</v>
      </c>
      <c r="K179" s="7" t="s">
        <v>696</v>
      </c>
      <c r="L179" s="7" t="s">
        <v>697</v>
      </c>
      <c r="M179" s="7" t="s">
        <v>698</v>
      </c>
      <c r="N179" s="7" t="s">
        <v>699</v>
      </c>
      <c r="O179" s="7" t="s">
        <v>700</v>
      </c>
      <c r="P179" s="7" t="s">
        <v>701</v>
      </c>
      <c r="Q179" s="7" t="s">
        <v>702</v>
      </c>
      <c r="R179" s="7" t="s">
        <v>703</v>
      </c>
      <c r="S179" s="7" t="s">
        <v>704</v>
      </c>
      <c r="T179" s="7" t="s">
        <v>705</v>
      </c>
      <c r="U179" s="7" t="s">
        <v>706</v>
      </c>
      <c r="V179" s="7" t="s">
        <v>707</v>
      </c>
      <c r="W179" s="7" t="s">
        <v>708</v>
      </c>
      <c r="X179" s="7" t="s">
        <v>709</v>
      </c>
      <c r="Y179" s="7" t="s">
        <v>710</v>
      </c>
      <c r="Z179" s="7" t="s">
        <v>711</v>
      </c>
      <c r="AA179" s="7" t="s">
        <v>712</v>
      </c>
      <c r="AB179" s="7" t="s">
        <v>694</v>
      </c>
      <c r="AC179" s="7" t="s">
        <v>713</v>
      </c>
      <c r="AD179" s="7" t="s">
        <v>714</v>
      </c>
      <c r="AE179" s="7" t="s">
        <v>715</v>
      </c>
      <c r="AF179" s="7" t="s">
        <v>716</v>
      </c>
      <c r="AG179" s="7" t="s">
        <v>688</v>
      </c>
      <c r="AH179" s="7" t="s">
        <v>689</v>
      </c>
      <c r="AI179" s="7" t="s">
        <v>747</v>
      </c>
      <c r="AJ179" s="7" t="s">
        <v>696</v>
      </c>
      <c r="AK179" s="7" t="s">
        <v>773</v>
      </c>
      <c r="AL179" s="7" t="s">
        <v>940</v>
      </c>
      <c r="AM179" s="7" t="s">
        <v>941</v>
      </c>
      <c r="AN179" s="7" t="s">
        <v>942</v>
      </c>
      <c r="AO179" s="7" t="s">
        <v>1085</v>
      </c>
      <c r="AP179" s="7" t="s">
        <v>1086</v>
      </c>
      <c r="AQ179" s="7" t="s">
        <v>1087</v>
      </c>
      <c r="AR179" s="7" t="s">
        <v>1088</v>
      </c>
      <c r="AS179" s="7" t="s">
        <v>1089</v>
      </c>
      <c r="AT179" s="7" t="s">
        <v>1090</v>
      </c>
      <c r="AU179" s="7" t="s">
        <v>1091</v>
      </c>
      <c r="AV179" s="7" t="s">
        <v>1092</v>
      </c>
      <c r="AW179" s="7" t="s">
        <v>1080</v>
      </c>
      <c r="AX179" s="7" t="s">
        <v>1079</v>
      </c>
      <c r="AY179" s="7" t="s">
        <v>1083</v>
      </c>
      <c r="AZ179" s="7" t="s">
        <v>1093</v>
      </c>
      <c r="BA179" s="7" t="s">
        <v>1094</v>
      </c>
    </row>
    <row r="180" spans="1:58" ht="78" customHeight="1" x14ac:dyDescent="0.4">
      <c r="A180" s="67" t="s">
        <v>369</v>
      </c>
      <c r="B180" t="e">
        <f>_xlfn.XLOOKUP(A180,'Product info'!A:A,'Product info'!C:C,,2)</f>
        <v>#N/A</v>
      </c>
      <c r="C180" s="69" t="s">
        <v>688</v>
      </c>
      <c r="D180" s="7" t="s">
        <v>689</v>
      </c>
      <c r="E180" s="7" t="s">
        <v>690</v>
      </c>
      <c r="F180" s="7" t="s">
        <v>691</v>
      </c>
      <c r="G180" s="7" t="s">
        <v>692</v>
      </c>
      <c r="H180" s="7" t="s">
        <v>693</v>
      </c>
      <c r="I180" s="7" t="s">
        <v>694</v>
      </c>
      <c r="J180" s="7" t="s">
        <v>695</v>
      </c>
      <c r="K180" s="7" t="s">
        <v>696</v>
      </c>
      <c r="L180" s="7" t="s">
        <v>697</v>
      </c>
      <c r="M180" s="7" t="s">
        <v>698</v>
      </c>
      <c r="N180" s="7" t="s">
        <v>699</v>
      </c>
      <c r="O180" s="7" t="s">
        <v>700</v>
      </c>
      <c r="P180" s="7" t="s">
        <v>701</v>
      </c>
      <c r="Q180" s="7" t="s">
        <v>702</v>
      </c>
      <c r="R180" s="7" t="s">
        <v>703</v>
      </c>
      <c r="S180" s="7" t="s">
        <v>704</v>
      </c>
      <c r="T180" s="7" t="s">
        <v>705</v>
      </c>
      <c r="U180" s="7" t="s">
        <v>706</v>
      </c>
      <c r="V180" s="7" t="s">
        <v>707</v>
      </c>
      <c r="W180" s="7" t="s">
        <v>708</v>
      </c>
      <c r="X180" s="7" t="s">
        <v>709</v>
      </c>
      <c r="Y180" s="7" t="s">
        <v>710</v>
      </c>
      <c r="Z180" s="7" t="s">
        <v>711</v>
      </c>
      <c r="AA180" s="7" t="s">
        <v>712</v>
      </c>
      <c r="AB180" s="7" t="s">
        <v>694</v>
      </c>
      <c r="AC180" s="7" t="s">
        <v>713</v>
      </c>
      <c r="AD180" s="7" t="s">
        <v>714</v>
      </c>
      <c r="AE180" s="7" t="s">
        <v>715</v>
      </c>
      <c r="AF180" s="7" t="s">
        <v>716</v>
      </c>
      <c r="AG180" s="7" t="s">
        <v>688</v>
      </c>
      <c r="AH180" s="7" t="s">
        <v>689</v>
      </c>
      <c r="AI180" s="7" t="s">
        <v>747</v>
      </c>
      <c r="AJ180" s="7" t="s">
        <v>696</v>
      </c>
      <c r="AK180" s="7" t="s">
        <v>773</v>
      </c>
      <c r="AL180" s="7" t="s">
        <v>940</v>
      </c>
      <c r="AM180" s="7" t="s">
        <v>941</v>
      </c>
      <c r="AN180" s="7" t="s">
        <v>942</v>
      </c>
      <c r="AO180" s="7" t="s">
        <v>1095</v>
      </c>
      <c r="AP180" s="7" t="s">
        <v>689</v>
      </c>
      <c r="AQ180" s="7" t="s">
        <v>1096</v>
      </c>
      <c r="AR180" s="7" t="s">
        <v>1097</v>
      </c>
      <c r="AS180" s="7" t="s">
        <v>1098</v>
      </c>
      <c r="AT180" s="7" t="s">
        <v>1099</v>
      </c>
      <c r="AU180" s="7" t="s">
        <v>1100</v>
      </c>
      <c r="AV180" s="7" t="s">
        <v>1101</v>
      </c>
      <c r="AW180" s="7" t="s">
        <v>1102</v>
      </c>
      <c r="AX180" s="7" t="s">
        <v>1103</v>
      </c>
      <c r="AY180" s="7" t="s">
        <v>1104</v>
      </c>
      <c r="AZ180" s="7" t="s">
        <v>1105</v>
      </c>
      <c r="BA180" s="7" t="s">
        <v>1106</v>
      </c>
      <c r="BB180" s="7" t="s">
        <v>1107</v>
      </c>
      <c r="BC180" s="7" t="s">
        <v>1108</v>
      </c>
      <c r="BD180" s="7" t="s">
        <v>1109</v>
      </c>
    </row>
    <row r="181" spans="1:58" ht="78" customHeight="1" x14ac:dyDescent="0.4">
      <c r="A181" s="67" t="s">
        <v>547</v>
      </c>
      <c r="B181" t="e">
        <f>_xlfn.XLOOKUP(A181,'Product info'!A:A,'Product info'!C:C,,2)</f>
        <v>#N/A</v>
      </c>
      <c r="C181" s="69" t="s">
        <v>688</v>
      </c>
      <c r="D181" s="7" t="s">
        <v>689</v>
      </c>
      <c r="E181" s="7" t="s">
        <v>690</v>
      </c>
      <c r="F181" s="7" t="s">
        <v>691</v>
      </c>
      <c r="G181" s="7" t="s">
        <v>692</v>
      </c>
      <c r="H181" s="7" t="s">
        <v>693</v>
      </c>
      <c r="I181" s="7" t="s">
        <v>694</v>
      </c>
      <c r="J181" s="7" t="s">
        <v>695</v>
      </c>
      <c r="K181" s="7" t="s">
        <v>696</v>
      </c>
      <c r="L181" s="7" t="s">
        <v>697</v>
      </c>
      <c r="M181" s="7" t="s">
        <v>698</v>
      </c>
      <c r="N181" s="7" t="s">
        <v>699</v>
      </c>
      <c r="O181" s="7" t="s">
        <v>700</v>
      </c>
      <c r="P181" s="7" t="s">
        <v>701</v>
      </c>
      <c r="Q181" s="7" t="s">
        <v>702</v>
      </c>
      <c r="R181" s="7" t="s">
        <v>703</v>
      </c>
      <c r="S181" s="7" t="s">
        <v>704</v>
      </c>
      <c r="T181" s="7" t="s">
        <v>705</v>
      </c>
      <c r="U181" s="7" t="s">
        <v>706</v>
      </c>
      <c r="V181" s="7" t="s">
        <v>707</v>
      </c>
      <c r="W181" s="7" t="s">
        <v>708</v>
      </c>
      <c r="X181" s="7" t="s">
        <v>709</v>
      </c>
      <c r="Y181" s="7" t="s">
        <v>710</v>
      </c>
      <c r="Z181" s="7" t="s">
        <v>711</v>
      </c>
      <c r="AA181" s="7" t="s">
        <v>712</v>
      </c>
      <c r="AB181" s="7" t="s">
        <v>694</v>
      </c>
      <c r="AC181" s="7" t="s">
        <v>713</v>
      </c>
      <c r="AD181" s="7" t="s">
        <v>714</v>
      </c>
      <c r="AE181" s="7" t="s">
        <v>715</v>
      </c>
      <c r="AF181" s="7" t="s">
        <v>716</v>
      </c>
      <c r="AG181" s="7" t="s">
        <v>688</v>
      </c>
      <c r="AH181" s="7" t="s">
        <v>689</v>
      </c>
      <c r="AI181" s="7" t="s">
        <v>747</v>
      </c>
      <c r="AJ181" s="7" t="s">
        <v>696</v>
      </c>
      <c r="AK181" s="7" t="s">
        <v>773</v>
      </c>
      <c r="AL181" s="7" t="s">
        <v>940</v>
      </c>
      <c r="AM181" s="7" t="s">
        <v>941</v>
      </c>
      <c r="AN181" s="7" t="s">
        <v>942</v>
      </c>
      <c r="AO181" s="7" t="s">
        <v>1110</v>
      </c>
      <c r="AP181" s="7" t="s">
        <v>1111</v>
      </c>
      <c r="AQ181" s="7" t="s">
        <v>1112</v>
      </c>
      <c r="AR181" s="7" t="s">
        <v>1113</v>
      </c>
      <c r="AS181" s="7" t="s">
        <v>1114</v>
      </c>
      <c r="AT181" s="7" t="s">
        <v>1115</v>
      </c>
      <c r="AU181" s="7" t="s">
        <v>1116</v>
      </c>
      <c r="AV181" s="7" t="s">
        <v>1117</v>
      </c>
      <c r="AW181" s="7" t="s">
        <v>1118</v>
      </c>
    </row>
    <row r="182" spans="1:58" ht="78" customHeight="1" x14ac:dyDescent="0.4">
      <c r="A182" s="67" t="s">
        <v>548</v>
      </c>
      <c r="B182" t="e">
        <f>_xlfn.XLOOKUP(A182,'Product info'!A:A,'Product info'!C:C,,2)</f>
        <v>#N/A</v>
      </c>
      <c r="C182" s="69" t="s">
        <v>688</v>
      </c>
      <c r="D182" s="7" t="s">
        <v>689</v>
      </c>
      <c r="E182" s="7" t="s">
        <v>690</v>
      </c>
      <c r="F182" s="7" t="s">
        <v>691</v>
      </c>
      <c r="G182" s="7" t="s">
        <v>692</v>
      </c>
      <c r="H182" s="7" t="s">
        <v>693</v>
      </c>
      <c r="I182" s="7" t="s">
        <v>694</v>
      </c>
      <c r="J182" s="7" t="s">
        <v>695</v>
      </c>
      <c r="K182" s="7" t="s">
        <v>696</v>
      </c>
      <c r="L182" s="7" t="s">
        <v>697</v>
      </c>
      <c r="M182" s="7" t="s">
        <v>698</v>
      </c>
      <c r="N182" s="7" t="s">
        <v>699</v>
      </c>
      <c r="O182" s="7" t="s">
        <v>700</v>
      </c>
      <c r="P182" s="7" t="s">
        <v>701</v>
      </c>
      <c r="Q182" s="7" t="s">
        <v>702</v>
      </c>
      <c r="R182" s="7" t="s">
        <v>703</v>
      </c>
      <c r="S182" s="7" t="s">
        <v>704</v>
      </c>
      <c r="T182" s="7" t="s">
        <v>705</v>
      </c>
      <c r="U182" s="7" t="s">
        <v>706</v>
      </c>
      <c r="V182" s="7" t="s">
        <v>707</v>
      </c>
      <c r="W182" s="7" t="s">
        <v>708</v>
      </c>
      <c r="X182" s="7" t="s">
        <v>709</v>
      </c>
      <c r="Y182" s="7" t="s">
        <v>710</v>
      </c>
      <c r="Z182" s="7" t="s">
        <v>711</v>
      </c>
      <c r="AA182" s="7" t="s">
        <v>712</v>
      </c>
      <c r="AB182" s="7" t="s">
        <v>694</v>
      </c>
      <c r="AC182" s="7" t="s">
        <v>713</v>
      </c>
      <c r="AD182" s="7" t="s">
        <v>714</v>
      </c>
      <c r="AE182" s="7" t="s">
        <v>715</v>
      </c>
      <c r="AF182" s="7" t="s">
        <v>716</v>
      </c>
      <c r="AG182" s="7" t="s">
        <v>688</v>
      </c>
      <c r="AH182" s="7" t="s">
        <v>689</v>
      </c>
      <c r="AI182" s="7" t="s">
        <v>747</v>
      </c>
      <c r="AJ182" s="7" t="s">
        <v>696</v>
      </c>
      <c r="AK182" s="7" t="s">
        <v>773</v>
      </c>
      <c r="AL182" s="7" t="s">
        <v>940</v>
      </c>
      <c r="AM182" s="7" t="s">
        <v>941</v>
      </c>
      <c r="AN182" s="7" t="s">
        <v>942</v>
      </c>
      <c r="AO182" s="7" t="s">
        <v>1110</v>
      </c>
      <c r="AP182" s="7" t="s">
        <v>1111</v>
      </c>
      <c r="AQ182" s="7" t="s">
        <v>1112</v>
      </c>
      <c r="AR182" s="7" t="s">
        <v>1113</v>
      </c>
      <c r="AS182" s="7" t="s">
        <v>1114</v>
      </c>
      <c r="AT182" s="7" t="s">
        <v>1115</v>
      </c>
      <c r="AU182" s="7" t="s">
        <v>1116</v>
      </c>
      <c r="AV182" s="7" t="s">
        <v>1117</v>
      </c>
      <c r="AW182" s="7" t="s">
        <v>1118</v>
      </c>
    </row>
    <row r="183" spans="1:58" ht="78" customHeight="1" x14ac:dyDescent="0.4">
      <c r="A183" s="67" t="s">
        <v>546</v>
      </c>
      <c r="B183" t="e">
        <f>_xlfn.XLOOKUP(A183,'Product info'!A:A,'Product info'!C:C,,2)</f>
        <v>#N/A</v>
      </c>
      <c r="C183" s="69" t="s">
        <v>688</v>
      </c>
      <c r="D183" s="7" t="s">
        <v>689</v>
      </c>
      <c r="E183" s="7" t="s">
        <v>690</v>
      </c>
      <c r="F183" s="7" t="s">
        <v>691</v>
      </c>
      <c r="G183" s="7" t="s">
        <v>692</v>
      </c>
      <c r="H183" s="7" t="s">
        <v>693</v>
      </c>
      <c r="I183" s="7" t="s">
        <v>694</v>
      </c>
      <c r="J183" s="7" t="s">
        <v>695</v>
      </c>
      <c r="K183" s="7" t="s">
        <v>696</v>
      </c>
      <c r="L183" s="7" t="s">
        <v>697</v>
      </c>
      <c r="M183" s="7" t="s">
        <v>698</v>
      </c>
      <c r="N183" s="7" t="s">
        <v>699</v>
      </c>
      <c r="O183" s="7" t="s">
        <v>700</v>
      </c>
      <c r="P183" s="7" t="s">
        <v>701</v>
      </c>
      <c r="Q183" s="7" t="s">
        <v>702</v>
      </c>
      <c r="R183" s="7" t="s">
        <v>703</v>
      </c>
      <c r="S183" s="7" t="s">
        <v>704</v>
      </c>
      <c r="T183" s="7" t="s">
        <v>705</v>
      </c>
      <c r="U183" s="7" t="s">
        <v>706</v>
      </c>
      <c r="V183" s="7" t="s">
        <v>707</v>
      </c>
      <c r="W183" s="7" t="s">
        <v>708</v>
      </c>
      <c r="X183" s="7" t="s">
        <v>709</v>
      </c>
      <c r="Y183" s="7" t="s">
        <v>710</v>
      </c>
      <c r="Z183" s="7" t="s">
        <v>711</v>
      </c>
      <c r="AA183" s="7" t="s">
        <v>712</v>
      </c>
      <c r="AB183" s="7" t="s">
        <v>694</v>
      </c>
      <c r="AC183" s="7" t="s">
        <v>713</v>
      </c>
      <c r="AD183" s="7" t="s">
        <v>714</v>
      </c>
      <c r="AE183" s="7" t="s">
        <v>715</v>
      </c>
      <c r="AF183" s="7" t="s">
        <v>716</v>
      </c>
      <c r="AG183" s="7" t="s">
        <v>688</v>
      </c>
      <c r="AH183" s="7" t="s">
        <v>689</v>
      </c>
      <c r="AI183" s="7" t="s">
        <v>747</v>
      </c>
      <c r="AJ183" s="7" t="s">
        <v>696</v>
      </c>
      <c r="AK183" s="7" t="s">
        <v>773</v>
      </c>
      <c r="AL183" s="7" t="s">
        <v>940</v>
      </c>
      <c r="AM183" s="7" t="s">
        <v>941</v>
      </c>
      <c r="AN183" s="7" t="s">
        <v>942</v>
      </c>
      <c r="AO183" s="7" t="s">
        <v>1110</v>
      </c>
      <c r="AP183" s="7" t="s">
        <v>1111</v>
      </c>
      <c r="AQ183" s="7" t="s">
        <v>1112</v>
      </c>
      <c r="AR183" s="7" t="s">
        <v>1113</v>
      </c>
      <c r="AS183" s="7" t="s">
        <v>1119</v>
      </c>
      <c r="AT183" s="7" t="s">
        <v>1115</v>
      </c>
      <c r="AU183" s="7" t="s">
        <v>1120</v>
      </c>
      <c r="AV183" s="7" t="s">
        <v>1117</v>
      </c>
      <c r="AW183" s="7" t="s">
        <v>1121</v>
      </c>
      <c r="AX183" s="7" t="s">
        <v>1122</v>
      </c>
      <c r="AY183" s="7" t="s">
        <v>1123</v>
      </c>
    </row>
    <row r="184" spans="1:58" ht="78" customHeight="1" x14ac:dyDescent="0.4">
      <c r="A184" s="67" t="s">
        <v>545</v>
      </c>
      <c r="B184" t="e">
        <f>_xlfn.XLOOKUP(A184,'Product info'!A:A,'Product info'!C:C,,2)</f>
        <v>#N/A</v>
      </c>
      <c r="C184" s="69" t="s">
        <v>688</v>
      </c>
      <c r="D184" s="7" t="s">
        <v>689</v>
      </c>
      <c r="E184" s="7" t="s">
        <v>690</v>
      </c>
      <c r="F184" s="7" t="s">
        <v>691</v>
      </c>
      <c r="G184" s="7" t="s">
        <v>692</v>
      </c>
      <c r="H184" s="7" t="s">
        <v>693</v>
      </c>
      <c r="I184" s="7" t="s">
        <v>694</v>
      </c>
      <c r="J184" s="7" t="s">
        <v>695</v>
      </c>
      <c r="K184" s="7" t="s">
        <v>696</v>
      </c>
      <c r="L184" s="7" t="s">
        <v>697</v>
      </c>
      <c r="M184" s="7" t="s">
        <v>698</v>
      </c>
      <c r="N184" s="7" t="s">
        <v>699</v>
      </c>
      <c r="O184" s="7" t="s">
        <v>700</v>
      </c>
      <c r="P184" s="7" t="s">
        <v>701</v>
      </c>
      <c r="Q184" s="7" t="s">
        <v>702</v>
      </c>
      <c r="R184" s="7" t="s">
        <v>703</v>
      </c>
      <c r="S184" s="7" t="s">
        <v>704</v>
      </c>
      <c r="T184" s="7" t="s">
        <v>705</v>
      </c>
      <c r="U184" s="7" t="s">
        <v>706</v>
      </c>
      <c r="V184" s="7" t="s">
        <v>707</v>
      </c>
      <c r="W184" s="7" t="s">
        <v>708</v>
      </c>
      <c r="X184" s="7" t="s">
        <v>709</v>
      </c>
      <c r="Y184" s="7" t="s">
        <v>710</v>
      </c>
      <c r="Z184" s="7" t="s">
        <v>711</v>
      </c>
      <c r="AA184" s="7" t="s">
        <v>712</v>
      </c>
      <c r="AB184" s="7" t="s">
        <v>694</v>
      </c>
      <c r="AC184" s="7" t="s">
        <v>713</v>
      </c>
      <c r="AD184" s="7" t="s">
        <v>714</v>
      </c>
      <c r="AE184" s="7" t="s">
        <v>715</v>
      </c>
      <c r="AF184" s="7" t="s">
        <v>716</v>
      </c>
      <c r="AG184" s="7" t="s">
        <v>688</v>
      </c>
      <c r="AH184" s="7" t="s">
        <v>689</v>
      </c>
      <c r="AI184" s="7" t="s">
        <v>747</v>
      </c>
      <c r="AJ184" s="7" t="s">
        <v>696</v>
      </c>
      <c r="AK184" s="7" t="s">
        <v>773</v>
      </c>
      <c r="AL184" s="7" t="s">
        <v>940</v>
      </c>
      <c r="AM184" s="7" t="s">
        <v>941</v>
      </c>
      <c r="AN184" s="7" t="s">
        <v>942</v>
      </c>
      <c r="AO184" s="7" t="s">
        <v>1110</v>
      </c>
      <c r="AP184" s="7" t="s">
        <v>1111</v>
      </c>
      <c r="AQ184" s="7" t="s">
        <v>1112</v>
      </c>
      <c r="AR184" s="7" t="s">
        <v>1113</v>
      </c>
      <c r="AS184" s="7" t="s">
        <v>1119</v>
      </c>
      <c r="AT184" s="7" t="s">
        <v>1115</v>
      </c>
      <c r="AU184" s="7" t="s">
        <v>1120</v>
      </c>
      <c r="AV184" s="7" t="s">
        <v>1117</v>
      </c>
      <c r="AW184" s="7" t="s">
        <v>1121</v>
      </c>
      <c r="AX184" s="7" t="s">
        <v>1122</v>
      </c>
      <c r="AY184" s="7" t="s">
        <v>1123</v>
      </c>
    </row>
    <row r="185" spans="1:58" ht="78" customHeight="1" x14ac:dyDescent="0.4">
      <c r="A185" s="67" t="s">
        <v>328</v>
      </c>
      <c r="B185" t="e">
        <f>_xlfn.XLOOKUP(A185,'Product info'!A:A,'Product info'!C:C,,2)</f>
        <v>#N/A</v>
      </c>
      <c r="C185" s="69" t="s">
        <v>688</v>
      </c>
      <c r="D185" s="7" t="s">
        <v>689</v>
      </c>
      <c r="E185" s="7" t="s">
        <v>690</v>
      </c>
      <c r="F185" s="7" t="s">
        <v>691</v>
      </c>
      <c r="G185" s="7" t="s">
        <v>692</v>
      </c>
      <c r="H185" s="7" t="s">
        <v>693</v>
      </c>
      <c r="I185" s="7" t="s">
        <v>694</v>
      </c>
      <c r="J185" s="7" t="s">
        <v>695</v>
      </c>
      <c r="K185" s="7" t="s">
        <v>696</v>
      </c>
      <c r="L185" s="7" t="s">
        <v>697</v>
      </c>
      <c r="M185" s="7" t="s">
        <v>698</v>
      </c>
      <c r="N185" s="7" t="s">
        <v>699</v>
      </c>
      <c r="O185" s="7" t="s">
        <v>700</v>
      </c>
      <c r="P185" s="7" t="s">
        <v>701</v>
      </c>
      <c r="Q185" s="7" t="s">
        <v>702</v>
      </c>
      <c r="R185" s="7" t="s">
        <v>703</v>
      </c>
      <c r="S185" s="7" t="s">
        <v>704</v>
      </c>
      <c r="T185" s="7" t="s">
        <v>705</v>
      </c>
      <c r="U185" s="7" t="s">
        <v>706</v>
      </c>
      <c r="V185" s="7" t="s">
        <v>707</v>
      </c>
      <c r="W185" s="7" t="s">
        <v>708</v>
      </c>
      <c r="X185" s="7" t="s">
        <v>709</v>
      </c>
      <c r="Y185" s="7" t="s">
        <v>710</v>
      </c>
      <c r="Z185" s="7" t="s">
        <v>711</v>
      </c>
      <c r="AA185" s="7" t="s">
        <v>712</v>
      </c>
      <c r="AB185" s="7" t="s">
        <v>694</v>
      </c>
      <c r="AC185" s="7" t="s">
        <v>713</v>
      </c>
      <c r="AD185" s="7" t="s">
        <v>714</v>
      </c>
      <c r="AE185" s="7" t="s">
        <v>715</v>
      </c>
      <c r="AF185" s="7" t="s">
        <v>716</v>
      </c>
      <c r="AG185" s="7" t="s">
        <v>688</v>
      </c>
      <c r="AH185" s="7" t="s">
        <v>689</v>
      </c>
      <c r="AI185" s="7" t="s">
        <v>747</v>
      </c>
      <c r="AJ185" s="7" t="s">
        <v>696</v>
      </c>
      <c r="AK185" s="7" t="s">
        <v>773</v>
      </c>
      <c r="AL185" s="7" t="s">
        <v>940</v>
      </c>
      <c r="AM185" s="7" t="s">
        <v>941</v>
      </c>
      <c r="AN185" s="7" t="s">
        <v>942</v>
      </c>
      <c r="AO185" s="7" t="s">
        <v>1124</v>
      </c>
      <c r="AP185" s="7" t="s">
        <v>1125</v>
      </c>
      <c r="AQ185" s="7" t="s">
        <v>1126</v>
      </c>
      <c r="AR185" s="7" t="s">
        <v>1127</v>
      </c>
      <c r="AS185" s="7" t="s">
        <v>1128</v>
      </c>
      <c r="AT185" s="7" t="s">
        <v>1129</v>
      </c>
      <c r="AU185" s="7" t="s">
        <v>1130</v>
      </c>
    </row>
    <row r="186" spans="1:58" ht="78" customHeight="1" x14ac:dyDescent="0.4">
      <c r="A186" s="67" t="s">
        <v>82</v>
      </c>
      <c r="B186" t="e">
        <f>_xlfn.XLOOKUP(A186,'Product info'!A:A,'Product info'!C:C,,2)</f>
        <v>#N/A</v>
      </c>
      <c r="C186" s="69" t="s">
        <v>688</v>
      </c>
      <c r="D186" s="7" t="s">
        <v>689</v>
      </c>
      <c r="E186" s="7" t="s">
        <v>747</v>
      </c>
      <c r="F186" s="7" t="s">
        <v>696</v>
      </c>
      <c r="G186" s="7" t="s">
        <v>773</v>
      </c>
      <c r="H186" s="7" t="s">
        <v>940</v>
      </c>
      <c r="I186" s="7" t="s">
        <v>941</v>
      </c>
      <c r="J186" s="7" t="s">
        <v>942</v>
      </c>
      <c r="K186" s="7" t="s">
        <v>1131</v>
      </c>
      <c r="L186" s="7" t="s">
        <v>689</v>
      </c>
      <c r="M186" s="7" t="s">
        <v>1132</v>
      </c>
      <c r="N186" s="7" t="s">
        <v>1133</v>
      </c>
      <c r="O186" s="7" t="s">
        <v>1099</v>
      </c>
      <c r="P186" s="7" t="s">
        <v>1134</v>
      </c>
      <c r="Q186" s="7" t="s">
        <v>1101</v>
      </c>
      <c r="R186" s="7" t="s">
        <v>1102</v>
      </c>
      <c r="S186" s="7" t="s">
        <v>1135</v>
      </c>
      <c r="T186" s="7" t="s">
        <v>1136</v>
      </c>
      <c r="U186" s="7" t="s">
        <v>1105</v>
      </c>
      <c r="V186" s="7" t="s">
        <v>1137</v>
      </c>
      <c r="W186" s="7" t="s">
        <v>1138</v>
      </c>
      <c r="X186" s="7" t="s">
        <v>1139</v>
      </c>
      <c r="Y186" s="7" t="s">
        <v>1140</v>
      </c>
      <c r="Z186" s="7" t="s">
        <v>1141</v>
      </c>
    </row>
    <row r="187" spans="1:58" ht="78" customHeight="1" x14ac:dyDescent="0.4">
      <c r="A187" s="67" t="s">
        <v>563</v>
      </c>
      <c r="B187" t="e">
        <f>_xlfn.XLOOKUP(A187,'Product info'!A:A,'Product info'!C:C,,2)</f>
        <v>#N/A</v>
      </c>
      <c r="C187" s="69" t="s">
        <v>688</v>
      </c>
      <c r="D187" s="7" t="s">
        <v>689</v>
      </c>
      <c r="E187" s="7" t="s">
        <v>690</v>
      </c>
      <c r="F187" s="7" t="s">
        <v>691</v>
      </c>
      <c r="G187" s="7" t="s">
        <v>692</v>
      </c>
      <c r="H187" s="7" t="s">
        <v>693</v>
      </c>
      <c r="I187" s="7" t="s">
        <v>694</v>
      </c>
      <c r="J187" s="7" t="s">
        <v>695</v>
      </c>
      <c r="K187" s="7" t="s">
        <v>696</v>
      </c>
      <c r="L187" s="7" t="s">
        <v>697</v>
      </c>
      <c r="M187" s="7" t="s">
        <v>698</v>
      </c>
      <c r="N187" s="7" t="s">
        <v>699</v>
      </c>
      <c r="O187" s="7" t="s">
        <v>700</v>
      </c>
      <c r="P187" s="7" t="s">
        <v>701</v>
      </c>
      <c r="Q187" s="7" t="s">
        <v>702</v>
      </c>
      <c r="R187" s="7" t="s">
        <v>703</v>
      </c>
      <c r="S187" s="7" t="s">
        <v>704</v>
      </c>
      <c r="T187" s="7" t="s">
        <v>705</v>
      </c>
      <c r="U187" s="7" t="s">
        <v>706</v>
      </c>
      <c r="V187" s="7" t="s">
        <v>707</v>
      </c>
      <c r="W187" s="7" t="s">
        <v>708</v>
      </c>
      <c r="X187" s="7" t="s">
        <v>709</v>
      </c>
      <c r="Y187" s="7" t="s">
        <v>710</v>
      </c>
      <c r="Z187" s="7" t="s">
        <v>711</v>
      </c>
      <c r="AA187" s="7" t="s">
        <v>712</v>
      </c>
      <c r="AB187" s="7" t="s">
        <v>694</v>
      </c>
      <c r="AC187" s="7" t="s">
        <v>713</v>
      </c>
      <c r="AD187" s="7" t="s">
        <v>714</v>
      </c>
      <c r="AE187" s="7" t="s">
        <v>715</v>
      </c>
      <c r="AF187" s="7" t="s">
        <v>716</v>
      </c>
      <c r="AG187" s="7" t="s">
        <v>688</v>
      </c>
      <c r="AH187" s="7" t="s">
        <v>689</v>
      </c>
      <c r="AI187" s="7" t="s">
        <v>747</v>
      </c>
      <c r="AJ187" s="7" t="s">
        <v>1142</v>
      </c>
      <c r="AK187" s="7" t="s">
        <v>1143</v>
      </c>
      <c r="AL187" s="7" t="s">
        <v>940</v>
      </c>
      <c r="AM187" s="7" t="s">
        <v>941</v>
      </c>
      <c r="AN187" s="7" t="s">
        <v>942</v>
      </c>
      <c r="AO187" s="7" t="s">
        <v>1144</v>
      </c>
      <c r="AP187" s="7" t="s">
        <v>1145</v>
      </c>
      <c r="AQ187" s="7" t="s">
        <v>1146</v>
      </c>
      <c r="AR187" s="7" t="s">
        <v>1147</v>
      </c>
      <c r="AS187" s="7" t="s">
        <v>1148</v>
      </c>
      <c r="AT187" s="7" t="s">
        <v>1149</v>
      </c>
      <c r="AU187" s="7" t="s">
        <v>1150</v>
      </c>
      <c r="AV187" s="7" t="s">
        <v>1151</v>
      </c>
      <c r="AW187" s="7" t="s">
        <v>1152</v>
      </c>
      <c r="AX187" s="7" t="s">
        <v>1153</v>
      </c>
      <c r="AY187" s="7" t="s">
        <v>1154</v>
      </c>
    </row>
    <row r="188" spans="1:58" ht="78" customHeight="1" x14ac:dyDescent="0.4">
      <c r="A188" s="67" t="s">
        <v>214</v>
      </c>
      <c r="B188" t="e">
        <f>_xlfn.XLOOKUP(A188,'Product info'!A:A,'Product info'!C:C,,2)</f>
        <v>#N/A</v>
      </c>
      <c r="C188" s="69" t="s">
        <v>688</v>
      </c>
      <c r="D188" s="7" t="s">
        <v>689</v>
      </c>
      <c r="E188" s="7" t="s">
        <v>690</v>
      </c>
      <c r="F188" s="7" t="s">
        <v>691</v>
      </c>
      <c r="G188" s="7" t="s">
        <v>692</v>
      </c>
      <c r="H188" s="7" t="s">
        <v>693</v>
      </c>
      <c r="I188" s="7" t="s">
        <v>694</v>
      </c>
      <c r="J188" s="7" t="s">
        <v>695</v>
      </c>
      <c r="K188" s="7" t="s">
        <v>696</v>
      </c>
      <c r="L188" s="7" t="s">
        <v>697</v>
      </c>
      <c r="M188" s="7" t="s">
        <v>698</v>
      </c>
      <c r="N188" s="7" t="s">
        <v>699</v>
      </c>
      <c r="O188" s="7" t="s">
        <v>700</v>
      </c>
      <c r="P188" s="7" t="s">
        <v>701</v>
      </c>
      <c r="Q188" s="7" t="s">
        <v>702</v>
      </c>
      <c r="R188" s="7" t="s">
        <v>703</v>
      </c>
      <c r="S188" s="7" t="s">
        <v>704</v>
      </c>
      <c r="T188" s="7" t="s">
        <v>705</v>
      </c>
      <c r="U188" s="7" t="s">
        <v>706</v>
      </c>
      <c r="V188" s="7" t="s">
        <v>707</v>
      </c>
      <c r="W188" s="7" t="s">
        <v>708</v>
      </c>
      <c r="X188" s="7" t="s">
        <v>709</v>
      </c>
      <c r="Y188" s="7" t="s">
        <v>710</v>
      </c>
      <c r="Z188" s="7" t="s">
        <v>711</v>
      </c>
      <c r="AA188" s="7" t="s">
        <v>712</v>
      </c>
      <c r="AB188" s="7" t="s">
        <v>694</v>
      </c>
      <c r="AC188" s="7" t="s">
        <v>713</v>
      </c>
      <c r="AD188" s="7" t="s">
        <v>714</v>
      </c>
      <c r="AE188" s="7" t="s">
        <v>715</v>
      </c>
      <c r="AF188" s="7" t="s">
        <v>716</v>
      </c>
      <c r="AG188" s="7" t="s">
        <v>688</v>
      </c>
      <c r="AH188" s="7" t="s">
        <v>689</v>
      </c>
      <c r="AI188" s="7" t="s">
        <v>747</v>
      </c>
      <c r="AJ188" s="7" t="s">
        <v>696</v>
      </c>
      <c r="AK188" s="7" t="s">
        <v>773</v>
      </c>
      <c r="AL188" s="7" t="s">
        <v>884</v>
      </c>
      <c r="AM188" s="7" t="s">
        <v>885</v>
      </c>
      <c r="AN188" s="7" t="s">
        <v>886</v>
      </c>
      <c r="AO188" s="7" t="s">
        <v>887</v>
      </c>
      <c r="AP188" s="7" t="s">
        <v>888</v>
      </c>
      <c r="AQ188" s="7" t="s">
        <v>889</v>
      </c>
      <c r="AR188" s="7" t="s">
        <v>890</v>
      </c>
      <c r="AS188" s="7" t="s">
        <v>891</v>
      </c>
      <c r="AT188" s="7" t="s">
        <v>892</v>
      </c>
      <c r="AU188" s="7" t="s">
        <v>893</v>
      </c>
      <c r="AV188" s="7" t="s">
        <v>894</v>
      </c>
      <c r="AW188" s="7" t="s">
        <v>895</v>
      </c>
      <c r="AX188" s="7" t="s">
        <v>940</v>
      </c>
      <c r="AY188" s="7" t="s">
        <v>941</v>
      </c>
      <c r="AZ188" s="7" t="s">
        <v>942</v>
      </c>
    </row>
    <row r="189" spans="1:58" ht="78" customHeight="1" x14ac:dyDescent="0.4">
      <c r="A189" s="67" t="s">
        <v>398</v>
      </c>
      <c r="B189" t="e">
        <f>_xlfn.XLOOKUP(A189,'Product info'!A:A,'Product info'!C:C,,2)</f>
        <v>#N/A</v>
      </c>
      <c r="C189" s="69" t="s">
        <v>688</v>
      </c>
      <c r="D189" s="7" t="s">
        <v>689</v>
      </c>
      <c r="E189" s="7" t="s">
        <v>747</v>
      </c>
      <c r="F189" s="7" t="s">
        <v>696</v>
      </c>
      <c r="G189" s="7" t="s">
        <v>773</v>
      </c>
      <c r="H189" s="7" t="s">
        <v>940</v>
      </c>
      <c r="I189" s="7" t="s">
        <v>941</v>
      </c>
      <c r="J189" s="7" t="s">
        <v>942</v>
      </c>
      <c r="K189" s="7" t="s">
        <v>1155</v>
      </c>
      <c r="L189" s="7" t="s">
        <v>1156</v>
      </c>
      <c r="M189" s="7" t="s">
        <v>1071</v>
      </c>
      <c r="N189" s="7" t="s">
        <v>1157</v>
      </c>
      <c r="O189" s="7" t="s">
        <v>1158</v>
      </c>
      <c r="P189" s="7" t="s">
        <v>1159</v>
      </c>
      <c r="Q189" s="7" t="s">
        <v>1160</v>
      </c>
      <c r="R189" s="7" t="s">
        <v>1161</v>
      </c>
      <c r="S189" s="7" t="s">
        <v>1162</v>
      </c>
      <c r="T189" s="7" t="s">
        <v>1163</v>
      </c>
      <c r="U189" s="7" t="s">
        <v>1164</v>
      </c>
    </row>
    <row r="190" spans="1:58" ht="78" customHeight="1" x14ac:dyDescent="0.4">
      <c r="A190" s="67" t="s">
        <v>387</v>
      </c>
      <c r="B190" t="e">
        <f>_xlfn.XLOOKUP(A190,'Product info'!A:A,'Product info'!C:C,,2)</f>
        <v>#N/A</v>
      </c>
      <c r="C190" s="69" t="s">
        <v>688</v>
      </c>
      <c r="D190" s="7" t="s">
        <v>689</v>
      </c>
      <c r="E190" s="7" t="s">
        <v>690</v>
      </c>
      <c r="F190" s="7" t="s">
        <v>691</v>
      </c>
      <c r="G190" s="7" t="s">
        <v>692</v>
      </c>
      <c r="H190" s="7" t="s">
        <v>693</v>
      </c>
      <c r="I190" s="7" t="s">
        <v>694</v>
      </c>
      <c r="J190" s="7" t="s">
        <v>695</v>
      </c>
      <c r="K190" s="7" t="s">
        <v>696</v>
      </c>
      <c r="L190" s="7" t="s">
        <v>697</v>
      </c>
      <c r="M190" s="7" t="s">
        <v>698</v>
      </c>
      <c r="N190" s="7" t="s">
        <v>699</v>
      </c>
      <c r="O190" s="7" t="s">
        <v>700</v>
      </c>
      <c r="P190" s="7" t="s">
        <v>701</v>
      </c>
      <c r="Q190" s="7" t="s">
        <v>702</v>
      </c>
      <c r="R190" s="7" t="s">
        <v>703</v>
      </c>
      <c r="S190" s="7" t="s">
        <v>704</v>
      </c>
      <c r="T190" s="7" t="s">
        <v>705</v>
      </c>
      <c r="U190" s="7" t="s">
        <v>706</v>
      </c>
      <c r="V190" s="7" t="s">
        <v>707</v>
      </c>
      <c r="W190" s="7" t="s">
        <v>708</v>
      </c>
      <c r="X190" s="7" t="s">
        <v>709</v>
      </c>
      <c r="Y190" s="7" t="s">
        <v>710</v>
      </c>
      <c r="Z190" s="7" t="s">
        <v>711</v>
      </c>
      <c r="AA190" s="7" t="s">
        <v>712</v>
      </c>
      <c r="AB190" s="7" t="s">
        <v>694</v>
      </c>
      <c r="AC190" s="7" t="s">
        <v>713</v>
      </c>
      <c r="AD190" s="7" t="s">
        <v>714</v>
      </c>
      <c r="AE190" s="7" t="s">
        <v>715</v>
      </c>
      <c r="AF190" s="7" t="s">
        <v>716</v>
      </c>
      <c r="AG190" s="7" t="s">
        <v>688</v>
      </c>
      <c r="AH190" s="7" t="s">
        <v>689</v>
      </c>
      <c r="AI190" s="7" t="s">
        <v>747</v>
      </c>
      <c r="AJ190" s="7" t="s">
        <v>696</v>
      </c>
      <c r="AK190" s="7" t="s">
        <v>773</v>
      </c>
      <c r="AL190" s="7" t="s">
        <v>940</v>
      </c>
      <c r="AM190" s="7" t="s">
        <v>941</v>
      </c>
      <c r="AN190" s="7" t="s">
        <v>942</v>
      </c>
      <c r="AO190" s="7" t="s">
        <v>1165</v>
      </c>
      <c r="AP190" s="7" t="s">
        <v>1166</v>
      </c>
      <c r="AQ190" s="7" t="s">
        <v>1167</v>
      </c>
      <c r="AR190" s="7" t="s">
        <v>1168</v>
      </c>
      <c r="AS190" s="7" t="s">
        <v>1169</v>
      </c>
      <c r="AT190" s="7" t="s">
        <v>1170</v>
      </c>
      <c r="AU190" s="7" t="s">
        <v>1171</v>
      </c>
      <c r="AV190" s="7" t="s">
        <v>1172</v>
      </c>
      <c r="AW190" s="7" t="s">
        <v>1173</v>
      </c>
      <c r="AX190" s="7" t="s">
        <v>1174</v>
      </c>
      <c r="AY190" s="7" t="s">
        <v>1175</v>
      </c>
      <c r="AZ190" s="7" t="s">
        <v>1176</v>
      </c>
      <c r="BA190" s="7" t="s">
        <v>1177</v>
      </c>
      <c r="BB190" s="7" t="s">
        <v>1178</v>
      </c>
      <c r="BC190" s="7" t="s">
        <v>1179</v>
      </c>
      <c r="BD190" s="7" t="s">
        <v>1180</v>
      </c>
      <c r="BE190" s="7" t="s">
        <v>1181</v>
      </c>
      <c r="BF190" s="7" t="s">
        <v>1182</v>
      </c>
    </row>
    <row r="191" spans="1:58" ht="78" customHeight="1" x14ac:dyDescent="0.4">
      <c r="A191" s="67" t="s">
        <v>207</v>
      </c>
      <c r="B191" t="e">
        <f>_xlfn.XLOOKUP(A191,'Product info'!A:A,'Product info'!C:C,,2)</f>
        <v>#N/A</v>
      </c>
      <c r="C191" s="69" t="s">
        <v>688</v>
      </c>
      <c r="D191" s="7" t="s">
        <v>689</v>
      </c>
      <c r="E191" s="7" t="s">
        <v>690</v>
      </c>
      <c r="F191" s="7" t="s">
        <v>691</v>
      </c>
      <c r="G191" s="7" t="s">
        <v>692</v>
      </c>
      <c r="H191" s="7" t="s">
        <v>693</v>
      </c>
      <c r="I191" s="7" t="s">
        <v>694</v>
      </c>
      <c r="J191" s="7" t="s">
        <v>695</v>
      </c>
      <c r="K191" s="7" t="s">
        <v>696</v>
      </c>
      <c r="L191" s="7" t="s">
        <v>697</v>
      </c>
      <c r="M191" s="7" t="s">
        <v>698</v>
      </c>
      <c r="N191" s="7" t="s">
        <v>699</v>
      </c>
      <c r="O191" s="7" t="s">
        <v>700</v>
      </c>
      <c r="P191" s="7" t="s">
        <v>701</v>
      </c>
      <c r="Q191" s="7" t="s">
        <v>702</v>
      </c>
      <c r="R191" s="7" t="s">
        <v>703</v>
      </c>
      <c r="S191" s="7" t="s">
        <v>704</v>
      </c>
      <c r="T191" s="7" t="s">
        <v>705</v>
      </c>
      <c r="U191" s="7" t="s">
        <v>706</v>
      </c>
      <c r="V191" s="7" t="s">
        <v>707</v>
      </c>
      <c r="W191" s="7" t="s">
        <v>708</v>
      </c>
      <c r="X191" s="7" t="s">
        <v>709</v>
      </c>
      <c r="Y191" s="7" t="s">
        <v>710</v>
      </c>
      <c r="Z191" s="7" t="s">
        <v>711</v>
      </c>
      <c r="AA191" s="7" t="s">
        <v>712</v>
      </c>
      <c r="AB191" s="7" t="s">
        <v>694</v>
      </c>
      <c r="AC191" s="7" t="s">
        <v>713</v>
      </c>
      <c r="AD191" s="7" t="s">
        <v>714</v>
      </c>
      <c r="AE191" s="7" t="s">
        <v>715</v>
      </c>
      <c r="AF191" s="7" t="s">
        <v>716</v>
      </c>
      <c r="AG191" s="7" t="s">
        <v>688</v>
      </c>
      <c r="AH191" s="7" t="s">
        <v>689</v>
      </c>
      <c r="AI191" s="7" t="s">
        <v>747</v>
      </c>
      <c r="AJ191" s="7" t="s">
        <v>696</v>
      </c>
      <c r="AK191" s="7" t="s">
        <v>773</v>
      </c>
      <c r="AL191" s="7" t="s">
        <v>940</v>
      </c>
      <c r="AM191" s="7" t="s">
        <v>941</v>
      </c>
      <c r="AN191" s="7" t="s">
        <v>942</v>
      </c>
      <c r="AO191" s="7" t="s">
        <v>1165</v>
      </c>
      <c r="AP191" s="7" t="s">
        <v>1166</v>
      </c>
      <c r="AQ191" s="7" t="s">
        <v>1167</v>
      </c>
      <c r="AR191" s="7" t="s">
        <v>1168</v>
      </c>
      <c r="AS191" s="7" t="s">
        <v>1169</v>
      </c>
      <c r="AT191" s="7" t="s">
        <v>1170</v>
      </c>
      <c r="AU191" s="7" t="s">
        <v>1171</v>
      </c>
      <c r="AV191" s="7" t="s">
        <v>1172</v>
      </c>
      <c r="AW191" s="7" t="s">
        <v>1173</v>
      </c>
      <c r="AX191" s="7" t="s">
        <v>1174</v>
      </c>
      <c r="AY191" s="7" t="s">
        <v>1175</v>
      </c>
      <c r="AZ191" s="7" t="s">
        <v>1176</v>
      </c>
      <c r="BA191" s="7" t="s">
        <v>1177</v>
      </c>
      <c r="BB191" s="7" t="s">
        <v>1178</v>
      </c>
      <c r="BC191" s="7" t="s">
        <v>1179</v>
      </c>
      <c r="BD191" s="7" t="s">
        <v>1180</v>
      </c>
      <c r="BE191" s="7" t="s">
        <v>1181</v>
      </c>
      <c r="BF191" s="7" t="s">
        <v>1182</v>
      </c>
    </row>
    <row r="192" spans="1:58" ht="78" customHeight="1" x14ac:dyDescent="0.4">
      <c r="A192" s="67" t="s">
        <v>211</v>
      </c>
      <c r="B192" t="e">
        <f>_xlfn.XLOOKUP(A192,'Product info'!A:A,'Product info'!C:C,,2)</f>
        <v>#N/A</v>
      </c>
      <c r="C192" s="69" t="s">
        <v>688</v>
      </c>
      <c r="D192" s="7" t="s">
        <v>689</v>
      </c>
      <c r="E192" s="7" t="s">
        <v>690</v>
      </c>
      <c r="F192" s="7" t="s">
        <v>691</v>
      </c>
      <c r="G192" s="7" t="s">
        <v>692</v>
      </c>
      <c r="H192" s="7" t="s">
        <v>693</v>
      </c>
      <c r="I192" s="7" t="s">
        <v>694</v>
      </c>
      <c r="J192" s="7" t="s">
        <v>695</v>
      </c>
      <c r="K192" s="7" t="s">
        <v>696</v>
      </c>
      <c r="L192" s="7" t="s">
        <v>697</v>
      </c>
      <c r="M192" s="7" t="s">
        <v>698</v>
      </c>
      <c r="N192" s="7" t="s">
        <v>699</v>
      </c>
      <c r="O192" s="7" t="s">
        <v>700</v>
      </c>
      <c r="P192" s="7" t="s">
        <v>701</v>
      </c>
      <c r="Q192" s="7" t="s">
        <v>702</v>
      </c>
      <c r="R192" s="7" t="s">
        <v>703</v>
      </c>
      <c r="S192" s="7" t="s">
        <v>704</v>
      </c>
      <c r="T192" s="7" t="s">
        <v>705</v>
      </c>
      <c r="U192" s="7" t="s">
        <v>706</v>
      </c>
      <c r="V192" s="7" t="s">
        <v>707</v>
      </c>
      <c r="W192" s="7" t="s">
        <v>708</v>
      </c>
      <c r="X192" s="7" t="s">
        <v>709</v>
      </c>
      <c r="Y192" s="7" t="s">
        <v>710</v>
      </c>
      <c r="Z192" s="7" t="s">
        <v>711</v>
      </c>
      <c r="AA192" s="7" t="s">
        <v>712</v>
      </c>
      <c r="AB192" s="7" t="s">
        <v>694</v>
      </c>
      <c r="AC192" s="7" t="s">
        <v>713</v>
      </c>
      <c r="AD192" s="7" t="s">
        <v>714</v>
      </c>
      <c r="AE192" s="7" t="s">
        <v>715</v>
      </c>
      <c r="AF192" s="7" t="s">
        <v>716</v>
      </c>
      <c r="AG192" s="7" t="s">
        <v>688</v>
      </c>
      <c r="AH192" s="7" t="s">
        <v>689</v>
      </c>
      <c r="AI192" s="7" t="s">
        <v>747</v>
      </c>
      <c r="AJ192" s="7" t="s">
        <v>696</v>
      </c>
      <c r="AK192" s="7" t="s">
        <v>773</v>
      </c>
      <c r="AL192" s="7" t="s">
        <v>940</v>
      </c>
      <c r="AM192" s="7" t="s">
        <v>941</v>
      </c>
      <c r="AN192" s="7" t="s">
        <v>942</v>
      </c>
      <c r="AO192" s="7" t="s">
        <v>884</v>
      </c>
      <c r="AP192" s="7" t="s">
        <v>885</v>
      </c>
      <c r="AQ192" s="7" t="s">
        <v>886</v>
      </c>
      <c r="AR192" s="7" t="s">
        <v>887</v>
      </c>
      <c r="AS192" s="7" t="s">
        <v>888</v>
      </c>
      <c r="AT192" s="7" t="s">
        <v>889</v>
      </c>
      <c r="AU192" s="7" t="s">
        <v>890</v>
      </c>
      <c r="AV192" s="7" t="s">
        <v>891</v>
      </c>
      <c r="AW192" s="7" t="s">
        <v>892</v>
      </c>
      <c r="AX192" s="7" t="s">
        <v>893</v>
      </c>
      <c r="AY192" s="7" t="s">
        <v>894</v>
      </c>
      <c r="AZ192" s="7" t="s">
        <v>895</v>
      </c>
    </row>
    <row r="193" spans="1:54" ht="78" customHeight="1" x14ac:dyDescent="0.4">
      <c r="A193" s="67" t="s">
        <v>212</v>
      </c>
      <c r="B193" t="e">
        <f>_xlfn.XLOOKUP(A193,'Product info'!A:A,'Product info'!C:C,,2)</f>
        <v>#N/A</v>
      </c>
      <c r="C193" s="69" t="s">
        <v>688</v>
      </c>
      <c r="D193" s="7" t="s">
        <v>689</v>
      </c>
      <c r="E193" s="7" t="s">
        <v>690</v>
      </c>
      <c r="F193" s="7" t="s">
        <v>691</v>
      </c>
      <c r="G193" s="7" t="s">
        <v>692</v>
      </c>
      <c r="H193" s="7" t="s">
        <v>693</v>
      </c>
      <c r="I193" s="7" t="s">
        <v>694</v>
      </c>
      <c r="J193" s="7" t="s">
        <v>695</v>
      </c>
      <c r="K193" s="7" t="s">
        <v>696</v>
      </c>
      <c r="L193" s="7" t="s">
        <v>697</v>
      </c>
      <c r="M193" s="7" t="s">
        <v>698</v>
      </c>
      <c r="N193" s="7" t="s">
        <v>699</v>
      </c>
      <c r="O193" s="7" t="s">
        <v>700</v>
      </c>
      <c r="P193" s="7" t="s">
        <v>701</v>
      </c>
      <c r="Q193" s="7" t="s">
        <v>702</v>
      </c>
      <c r="R193" s="7" t="s">
        <v>703</v>
      </c>
      <c r="S193" s="7" t="s">
        <v>704</v>
      </c>
      <c r="T193" s="7" t="s">
        <v>705</v>
      </c>
      <c r="U193" s="7" t="s">
        <v>706</v>
      </c>
      <c r="V193" s="7" t="s">
        <v>707</v>
      </c>
      <c r="W193" s="7" t="s">
        <v>708</v>
      </c>
      <c r="X193" s="7" t="s">
        <v>709</v>
      </c>
      <c r="Y193" s="7" t="s">
        <v>710</v>
      </c>
      <c r="Z193" s="7" t="s">
        <v>711</v>
      </c>
      <c r="AA193" s="7" t="s">
        <v>712</v>
      </c>
      <c r="AB193" s="7" t="s">
        <v>694</v>
      </c>
      <c r="AC193" s="7" t="s">
        <v>713</v>
      </c>
      <c r="AD193" s="7" t="s">
        <v>714</v>
      </c>
      <c r="AE193" s="7" t="s">
        <v>715</v>
      </c>
      <c r="AF193" s="7" t="s">
        <v>716</v>
      </c>
      <c r="AG193" s="7" t="s">
        <v>688</v>
      </c>
      <c r="AH193" s="7" t="s">
        <v>689</v>
      </c>
      <c r="AI193" s="7" t="s">
        <v>747</v>
      </c>
      <c r="AJ193" s="7" t="s">
        <v>696</v>
      </c>
      <c r="AK193" s="7" t="s">
        <v>773</v>
      </c>
      <c r="AL193" s="7" t="s">
        <v>940</v>
      </c>
      <c r="AM193" s="7" t="s">
        <v>941</v>
      </c>
      <c r="AN193" s="7" t="s">
        <v>942</v>
      </c>
      <c r="AO193" s="7" t="s">
        <v>884</v>
      </c>
      <c r="AP193" s="7" t="s">
        <v>885</v>
      </c>
      <c r="AQ193" s="7" t="s">
        <v>886</v>
      </c>
      <c r="AR193" s="7" t="s">
        <v>887</v>
      </c>
      <c r="AS193" s="7" t="s">
        <v>888</v>
      </c>
      <c r="AT193" s="7" t="s">
        <v>889</v>
      </c>
      <c r="AU193" s="7" t="s">
        <v>890</v>
      </c>
      <c r="AV193" s="7" t="s">
        <v>891</v>
      </c>
      <c r="AW193" s="7" t="s">
        <v>892</v>
      </c>
      <c r="AX193" s="7" t="s">
        <v>893</v>
      </c>
      <c r="AY193" s="7" t="s">
        <v>894</v>
      </c>
      <c r="AZ193" s="7" t="s">
        <v>895</v>
      </c>
    </row>
    <row r="194" spans="1:54" ht="78" customHeight="1" x14ac:dyDescent="0.4">
      <c r="A194" s="67" t="s">
        <v>452</v>
      </c>
      <c r="B194" t="e">
        <f>_xlfn.XLOOKUP(A194,'Product info'!A:A,'Product info'!C:C,,2)</f>
        <v>#N/A</v>
      </c>
      <c r="C194" s="69" t="s">
        <v>688</v>
      </c>
      <c r="D194" s="7" t="s">
        <v>689</v>
      </c>
      <c r="E194" s="7" t="s">
        <v>690</v>
      </c>
      <c r="F194" s="7" t="s">
        <v>691</v>
      </c>
      <c r="G194" s="7" t="s">
        <v>692</v>
      </c>
      <c r="H194" s="7" t="s">
        <v>693</v>
      </c>
      <c r="I194" s="7" t="s">
        <v>694</v>
      </c>
      <c r="J194" s="7" t="s">
        <v>695</v>
      </c>
      <c r="K194" s="7" t="s">
        <v>696</v>
      </c>
      <c r="L194" s="7" t="s">
        <v>697</v>
      </c>
      <c r="M194" s="7" t="s">
        <v>698</v>
      </c>
      <c r="N194" s="7" t="s">
        <v>699</v>
      </c>
      <c r="O194" s="7" t="s">
        <v>700</v>
      </c>
      <c r="P194" s="7" t="s">
        <v>701</v>
      </c>
      <c r="Q194" s="7" t="s">
        <v>702</v>
      </c>
      <c r="R194" s="7" t="s">
        <v>703</v>
      </c>
      <c r="S194" s="7" t="s">
        <v>704</v>
      </c>
      <c r="T194" s="7" t="s">
        <v>705</v>
      </c>
      <c r="U194" s="7" t="s">
        <v>706</v>
      </c>
      <c r="V194" s="7" t="s">
        <v>707</v>
      </c>
      <c r="W194" s="7" t="s">
        <v>708</v>
      </c>
      <c r="X194" s="7" t="s">
        <v>709</v>
      </c>
      <c r="Y194" s="7" t="s">
        <v>710</v>
      </c>
      <c r="Z194" s="7" t="s">
        <v>711</v>
      </c>
      <c r="AA194" s="7" t="s">
        <v>712</v>
      </c>
      <c r="AB194" s="7" t="s">
        <v>694</v>
      </c>
      <c r="AC194" s="7" t="s">
        <v>713</v>
      </c>
      <c r="AD194" s="7" t="s">
        <v>714</v>
      </c>
      <c r="AE194" s="7" t="s">
        <v>715</v>
      </c>
      <c r="AF194" s="7" t="s">
        <v>716</v>
      </c>
      <c r="AG194" s="7" t="s">
        <v>688</v>
      </c>
      <c r="AH194" s="7" t="s">
        <v>689</v>
      </c>
      <c r="AI194" s="7" t="s">
        <v>747</v>
      </c>
      <c r="AJ194" s="7" t="s">
        <v>696</v>
      </c>
      <c r="AK194" s="7" t="s">
        <v>773</v>
      </c>
      <c r="AL194" s="7" t="s">
        <v>940</v>
      </c>
      <c r="AM194" s="7" t="s">
        <v>941</v>
      </c>
      <c r="AN194" s="7" t="s">
        <v>942</v>
      </c>
      <c r="AO194" s="7" t="s">
        <v>1183</v>
      </c>
      <c r="AP194" s="7" t="s">
        <v>1184</v>
      </c>
      <c r="AQ194" s="7" t="s">
        <v>1185</v>
      </c>
      <c r="AR194" s="7" t="s">
        <v>1186</v>
      </c>
      <c r="AS194" s="7" t="s">
        <v>1187</v>
      </c>
      <c r="AT194" s="7" t="s">
        <v>1188</v>
      </c>
    </row>
    <row r="195" spans="1:54" ht="78" customHeight="1" x14ac:dyDescent="0.4">
      <c r="A195" s="67" t="s">
        <v>385</v>
      </c>
      <c r="B195" t="e">
        <f>_xlfn.XLOOKUP(A195,'Product info'!A:A,'Product info'!C:C,,2)</f>
        <v>#N/A</v>
      </c>
      <c r="C195" s="69" t="s">
        <v>688</v>
      </c>
      <c r="D195" s="7" t="s">
        <v>689</v>
      </c>
      <c r="E195" s="7" t="s">
        <v>690</v>
      </c>
      <c r="F195" s="7" t="s">
        <v>691</v>
      </c>
      <c r="G195" s="7" t="s">
        <v>692</v>
      </c>
      <c r="H195" s="7" t="s">
        <v>693</v>
      </c>
      <c r="I195" s="7" t="s">
        <v>694</v>
      </c>
      <c r="J195" s="7" t="s">
        <v>695</v>
      </c>
      <c r="K195" s="7" t="s">
        <v>696</v>
      </c>
      <c r="L195" s="7" t="s">
        <v>697</v>
      </c>
      <c r="M195" s="7" t="s">
        <v>698</v>
      </c>
      <c r="N195" s="7" t="s">
        <v>699</v>
      </c>
      <c r="O195" s="7" t="s">
        <v>700</v>
      </c>
      <c r="P195" s="7" t="s">
        <v>701</v>
      </c>
      <c r="Q195" s="7" t="s">
        <v>702</v>
      </c>
      <c r="R195" s="7" t="s">
        <v>703</v>
      </c>
      <c r="S195" s="7" t="s">
        <v>704</v>
      </c>
      <c r="T195" s="7" t="s">
        <v>705</v>
      </c>
      <c r="U195" s="7" t="s">
        <v>706</v>
      </c>
      <c r="V195" s="7" t="s">
        <v>707</v>
      </c>
      <c r="W195" s="7" t="s">
        <v>708</v>
      </c>
      <c r="X195" s="7" t="s">
        <v>709</v>
      </c>
      <c r="Y195" s="7" t="s">
        <v>710</v>
      </c>
      <c r="Z195" s="7" t="s">
        <v>711</v>
      </c>
      <c r="AA195" s="7" t="s">
        <v>712</v>
      </c>
      <c r="AB195" s="7" t="s">
        <v>694</v>
      </c>
      <c r="AC195" s="7" t="s">
        <v>713</v>
      </c>
      <c r="AD195" s="7" t="s">
        <v>714</v>
      </c>
      <c r="AE195" s="7" t="s">
        <v>715</v>
      </c>
      <c r="AF195" s="7" t="s">
        <v>716</v>
      </c>
      <c r="AG195" s="7" t="s">
        <v>688</v>
      </c>
      <c r="AH195" s="7" t="s">
        <v>689</v>
      </c>
      <c r="AI195" s="7" t="s">
        <v>747</v>
      </c>
      <c r="AJ195" s="7" t="s">
        <v>696</v>
      </c>
      <c r="AK195" s="7" t="s">
        <v>773</v>
      </c>
      <c r="AL195" s="7" t="s">
        <v>940</v>
      </c>
      <c r="AM195" s="7" t="s">
        <v>941</v>
      </c>
      <c r="AN195" s="7" t="s">
        <v>942</v>
      </c>
      <c r="AO195" s="7" t="s">
        <v>1163</v>
      </c>
      <c r="AP195" s="7" t="s">
        <v>1164</v>
      </c>
      <c r="AQ195" s="7" t="s">
        <v>1189</v>
      </c>
      <c r="AR195" s="7" t="s">
        <v>1155</v>
      </c>
      <c r="AS195" s="7" t="s">
        <v>1156</v>
      </c>
      <c r="AT195" s="7" t="s">
        <v>1071</v>
      </c>
      <c r="AU195" s="7" t="s">
        <v>1157</v>
      </c>
      <c r="AV195" s="7" t="s">
        <v>1159</v>
      </c>
      <c r="AW195" s="7" t="s">
        <v>1190</v>
      </c>
      <c r="AX195" s="7" t="s">
        <v>1161</v>
      </c>
      <c r="AY195" s="7" t="s">
        <v>1162</v>
      </c>
    </row>
    <row r="196" spans="1:54" ht="78" customHeight="1" x14ac:dyDescent="0.4">
      <c r="A196" s="67" t="s">
        <v>213</v>
      </c>
      <c r="B196" t="e">
        <f>_xlfn.XLOOKUP(A196,'Product info'!A:A,'Product info'!C:C,,2)</f>
        <v>#N/A</v>
      </c>
      <c r="C196" s="69" t="s">
        <v>688</v>
      </c>
      <c r="D196" s="7" t="s">
        <v>689</v>
      </c>
      <c r="E196" s="7" t="s">
        <v>690</v>
      </c>
      <c r="F196" s="7" t="s">
        <v>691</v>
      </c>
      <c r="G196" s="7" t="s">
        <v>692</v>
      </c>
      <c r="H196" s="7" t="s">
        <v>693</v>
      </c>
      <c r="I196" s="7" t="s">
        <v>694</v>
      </c>
      <c r="J196" s="7" t="s">
        <v>695</v>
      </c>
      <c r="K196" s="7" t="s">
        <v>696</v>
      </c>
      <c r="L196" s="7" t="s">
        <v>697</v>
      </c>
      <c r="M196" s="7" t="s">
        <v>698</v>
      </c>
      <c r="N196" s="7" t="s">
        <v>699</v>
      </c>
      <c r="O196" s="7" t="s">
        <v>700</v>
      </c>
      <c r="P196" s="7" t="s">
        <v>701</v>
      </c>
      <c r="Q196" s="7" t="s">
        <v>702</v>
      </c>
      <c r="R196" s="7" t="s">
        <v>703</v>
      </c>
      <c r="S196" s="7" t="s">
        <v>704</v>
      </c>
      <c r="T196" s="7" t="s">
        <v>705</v>
      </c>
      <c r="U196" s="7" t="s">
        <v>706</v>
      </c>
      <c r="V196" s="7" t="s">
        <v>707</v>
      </c>
      <c r="W196" s="7" t="s">
        <v>708</v>
      </c>
      <c r="X196" s="7" t="s">
        <v>709</v>
      </c>
      <c r="Y196" s="7" t="s">
        <v>710</v>
      </c>
      <c r="Z196" s="7" t="s">
        <v>711</v>
      </c>
      <c r="AA196" s="7" t="s">
        <v>712</v>
      </c>
      <c r="AB196" s="7" t="s">
        <v>694</v>
      </c>
      <c r="AC196" s="7" t="s">
        <v>713</v>
      </c>
      <c r="AD196" s="7" t="s">
        <v>714</v>
      </c>
      <c r="AE196" s="7" t="s">
        <v>715</v>
      </c>
      <c r="AF196" s="7" t="s">
        <v>716</v>
      </c>
      <c r="AG196" s="7" t="s">
        <v>688</v>
      </c>
      <c r="AH196" s="7" t="s">
        <v>689</v>
      </c>
      <c r="AI196" s="7" t="s">
        <v>747</v>
      </c>
      <c r="AJ196" s="7" t="s">
        <v>696</v>
      </c>
      <c r="AK196" s="7" t="s">
        <v>773</v>
      </c>
      <c r="AL196" s="7" t="s">
        <v>940</v>
      </c>
      <c r="AM196" s="7" t="s">
        <v>941</v>
      </c>
      <c r="AN196" s="7" t="s">
        <v>942</v>
      </c>
      <c r="AO196" s="7" t="s">
        <v>884</v>
      </c>
      <c r="AP196" s="7" t="s">
        <v>885</v>
      </c>
      <c r="AQ196" s="7" t="s">
        <v>886</v>
      </c>
      <c r="AR196" s="7" t="s">
        <v>887</v>
      </c>
      <c r="AS196" s="7" t="s">
        <v>888</v>
      </c>
      <c r="AT196" s="7" t="s">
        <v>889</v>
      </c>
      <c r="AU196" s="7" t="s">
        <v>890</v>
      </c>
      <c r="AV196" s="7" t="s">
        <v>891</v>
      </c>
      <c r="AW196" s="7" t="s">
        <v>892</v>
      </c>
      <c r="AX196" s="7" t="s">
        <v>893</v>
      </c>
      <c r="AY196" s="7" t="s">
        <v>894</v>
      </c>
      <c r="AZ196" s="7" t="s">
        <v>895</v>
      </c>
    </row>
    <row r="197" spans="1:54" ht="78" customHeight="1" x14ac:dyDescent="0.4">
      <c r="A197" s="67" t="s">
        <v>550</v>
      </c>
      <c r="B197" t="e">
        <f>_xlfn.XLOOKUP(A197,'Product info'!A:A,'Product info'!C:C,,2)</f>
        <v>#N/A</v>
      </c>
      <c r="C197" s="69" t="s">
        <v>688</v>
      </c>
      <c r="D197" s="7" t="s">
        <v>689</v>
      </c>
      <c r="E197" s="7" t="s">
        <v>690</v>
      </c>
      <c r="F197" s="7" t="s">
        <v>691</v>
      </c>
      <c r="G197" s="7" t="s">
        <v>692</v>
      </c>
      <c r="H197" s="7" t="s">
        <v>693</v>
      </c>
      <c r="I197" s="7" t="s">
        <v>694</v>
      </c>
      <c r="J197" s="7" t="s">
        <v>695</v>
      </c>
      <c r="K197" s="7" t="s">
        <v>696</v>
      </c>
      <c r="L197" s="7" t="s">
        <v>697</v>
      </c>
      <c r="M197" s="7" t="s">
        <v>698</v>
      </c>
      <c r="N197" s="7" t="s">
        <v>699</v>
      </c>
      <c r="O197" s="7" t="s">
        <v>700</v>
      </c>
      <c r="P197" s="7" t="s">
        <v>701</v>
      </c>
      <c r="Q197" s="7" t="s">
        <v>702</v>
      </c>
      <c r="R197" s="7" t="s">
        <v>703</v>
      </c>
      <c r="S197" s="7" t="s">
        <v>704</v>
      </c>
      <c r="T197" s="7" t="s">
        <v>705</v>
      </c>
      <c r="U197" s="7" t="s">
        <v>706</v>
      </c>
      <c r="V197" s="7" t="s">
        <v>707</v>
      </c>
      <c r="W197" s="7" t="s">
        <v>708</v>
      </c>
      <c r="X197" s="7" t="s">
        <v>709</v>
      </c>
      <c r="Y197" s="7" t="s">
        <v>710</v>
      </c>
      <c r="Z197" s="7" t="s">
        <v>711</v>
      </c>
      <c r="AA197" s="7" t="s">
        <v>712</v>
      </c>
      <c r="AB197" s="7" t="s">
        <v>694</v>
      </c>
      <c r="AC197" s="7" t="s">
        <v>713</v>
      </c>
      <c r="AD197" s="7" t="s">
        <v>714</v>
      </c>
      <c r="AE197" s="7" t="s">
        <v>715</v>
      </c>
      <c r="AF197" s="7" t="s">
        <v>716</v>
      </c>
      <c r="AG197" s="7" t="s">
        <v>688</v>
      </c>
      <c r="AH197" s="7" t="s">
        <v>689</v>
      </c>
      <c r="AI197" s="7" t="s">
        <v>747</v>
      </c>
      <c r="AJ197" s="7" t="s">
        <v>696</v>
      </c>
      <c r="AK197" s="7" t="s">
        <v>773</v>
      </c>
      <c r="AL197" s="7" t="s">
        <v>940</v>
      </c>
      <c r="AM197" s="7" t="s">
        <v>941</v>
      </c>
      <c r="AN197" s="7" t="s">
        <v>942</v>
      </c>
      <c r="AO197" s="7" t="s">
        <v>1110</v>
      </c>
      <c r="AP197" s="7" t="s">
        <v>1191</v>
      </c>
      <c r="AQ197" s="7" t="s">
        <v>1112</v>
      </c>
      <c r="AR197" s="7" t="s">
        <v>1113</v>
      </c>
      <c r="AS197" s="7" t="s">
        <v>1192</v>
      </c>
      <c r="AT197" s="7" t="s">
        <v>1115</v>
      </c>
      <c r="AU197" s="7" t="s">
        <v>1193</v>
      </c>
      <c r="AV197" s="7" t="s">
        <v>1117</v>
      </c>
    </row>
    <row r="198" spans="1:54" ht="78" customHeight="1" x14ac:dyDescent="0.4">
      <c r="A198" s="67" t="s">
        <v>485</v>
      </c>
      <c r="B198" t="e">
        <f>_xlfn.XLOOKUP(A198,'Product info'!A:A,'Product info'!C:C,,2)</f>
        <v>#N/A</v>
      </c>
      <c r="C198" s="69" t="s">
        <v>688</v>
      </c>
      <c r="D198" s="7" t="s">
        <v>689</v>
      </c>
      <c r="E198" s="7" t="s">
        <v>690</v>
      </c>
      <c r="F198" s="7" t="s">
        <v>691</v>
      </c>
      <c r="G198" s="7" t="s">
        <v>692</v>
      </c>
      <c r="H198" s="7" t="s">
        <v>693</v>
      </c>
      <c r="I198" s="7" t="s">
        <v>694</v>
      </c>
      <c r="J198" s="7" t="s">
        <v>695</v>
      </c>
      <c r="K198" s="7" t="s">
        <v>696</v>
      </c>
      <c r="L198" s="7" t="s">
        <v>697</v>
      </c>
      <c r="M198" s="7" t="s">
        <v>698</v>
      </c>
      <c r="N198" s="7" t="s">
        <v>699</v>
      </c>
      <c r="O198" s="7" t="s">
        <v>700</v>
      </c>
      <c r="P198" s="7" t="s">
        <v>701</v>
      </c>
      <c r="Q198" s="7" t="s">
        <v>702</v>
      </c>
      <c r="R198" s="7" t="s">
        <v>703</v>
      </c>
      <c r="S198" s="7" t="s">
        <v>704</v>
      </c>
      <c r="T198" s="7" t="s">
        <v>705</v>
      </c>
      <c r="U198" s="7" t="s">
        <v>706</v>
      </c>
      <c r="V198" s="7" t="s">
        <v>707</v>
      </c>
      <c r="W198" s="7" t="s">
        <v>708</v>
      </c>
      <c r="X198" s="7" t="s">
        <v>709</v>
      </c>
      <c r="Y198" s="7" t="s">
        <v>710</v>
      </c>
      <c r="Z198" s="7" t="s">
        <v>711</v>
      </c>
      <c r="AA198" s="7" t="s">
        <v>712</v>
      </c>
      <c r="AB198" s="7" t="s">
        <v>694</v>
      </c>
      <c r="AC198" s="7" t="s">
        <v>713</v>
      </c>
      <c r="AD198" s="7" t="s">
        <v>714</v>
      </c>
      <c r="AE198" s="7" t="s">
        <v>715</v>
      </c>
      <c r="AF198" s="7" t="s">
        <v>716</v>
      </c>
      <c r="AG198" s="7" t="s">
        <v>688</v>
      </c>
      <c r="AH198" s="7" t="s">
        <v>689</v>
      </c>
      <c r="AI198" s="7" t="s">
        <v>747</v>
      </c>
      <c r="AJ198" s="7" t="s">
        <v>696</v>
      </c>
      <c r="AK198" s="7" t="s">
        <v>773</v>
      </c>
      <c r="AL198" s="7" t="s">
        <v>940</v>
      </c>
      <c r="AM198" s="7" t="s">
        <v>941</v>
      </c>
      <c r="AN198" s="7" t="s">
        <v>942</v>
      </c>
      <c r="AO198" s="7" t="s">
        <v>1163</v>
      </c>
      <c r="AP198" s="7" t="s">
        <v>1164</v>
      </c>
      <c r="AQ198" s="7" t="s">
        <v>1189</v>
      </c>
      <c r="AR198" s="7" t="s">
        <v>1155</v>
      </c>
      <c r="AS198" s="7" t="s">
        <v>1156</v>
      </c>
      <c r="AT198" s="7" t="s">
        <v>1071</v>
      </c>
      <c r="AU198" s="7" t="s">
        <v>1157</v>
      </c>
      <c r="AV198" s="7" t="s">
        <v>1194</v>
      </c>
      <c r="AW198" s="7" t="s">
        <v>1159</v>
      </c>
      <c r="AX198" s="7" t="s">
        <v>1190</v>
      </c>
      <c r="AY198" s="7" t="s">
        <v>1161</v>
      </c>
      <c r="AZ198" s="7" t="s">
        <v>1162</v>
      </c>
      <c r="BA198" s="7" t="s">
        <v>1195</v>
      </c>
    </row>
    <row r="199" spans="1:54" ht="78" customHeight="1" x14ac:dyDescent="0.4">
      <c r="A199" s="67" t="s">
        <v>389</v>
      </c>
      <c r="B199" t="e">
        <f>_xlfn.XLOOKUP(A199,'Product info'!A:A,'Product info'!C:C,,2)</f>
        <v>#N/A</v>
      </c>
      <c r="C199" s="69" t="s">
        <v>688</v>
      </c>
      <c r="D199" s="7" t="s">
        <v>689</v>
      </c>
      <c r="E199" s="7" t="s">
        <v>690</v>
      </c>
      <c r="F199" s="7" t="s">
        <v>691</v>
      </c>
      <c r="G199" s="7" t="s">
        <v>692</v>
      </c>
      <c r="H199" s="7" t="s">
        <v>693</v>
      </c>
      <c r="I199" s="7" t="s">
        <v>694</v>
      </c>
      <c r="J199" s="7" t="s">
        <v>695</v>
      </c>
      <c r="K199" s="7" t="s">
        <v>696</v>
      </c>
      <c r="L199" s="7" t="s">
        <v>697</v>
      </c>
      <c r="M199" s="7" t="s">
        <v>698</v>
      </c>
      <c r="N199" s="7" t="s">
        <v>699</v>
      </c>
      <c r="O199" s="7" t="s">
        <v>700</v>
      </c>
      <c r="P199" s="7" t="s">
        <v>701</v>
      </c>
      <c r="Q199" s="7" t="s">
        <v>702</v>
      </c>
      <c r="R199" s="7" t="s">
        <v>703</v>
      </c>
      <c r="S199" s="7" t="s">
        <v>704</v>
      </c>
      <c r="T199" s="7" t="s">
        <v>705</v>
      </c>
      <c r="U199" s="7" t="s">
        <v>706</v>
      </c>
      <c r="V199" s="7" t="s">
        <v>707</v>
      </c>
      <c r="W199" s="7" t="s">
        <v>708</v>
      </c>
      <c r="X199" s="7" t="s">
        <v>709</v>
      </c>
      <c r="Y199" s="7" t="s">
        <v>710</v>
      </c>
      <c r="Z199" s="7" t="s">
        <v>711</v>
      </c>
      <c r="AA199" s="7" t="s">
        <v>712</v>
      </c>
      <c r="AB199" s="7" t="s">
        <v>694</v>
      </c>
      <c r="AC199" s="7" t="s">
        <v>713</v>
      </c>
      <c r="AD199" s="7" t="s">
        <v>714</v>
      </c>
      <c r="AE199" s="7" t="s">
        <v>715</v>
      </c>
      <c r="AF199" s="7" t="s">
        <v>716</v>
      </c>
      <c r="AG199" s="7" t="s">
        <v>688</v>
      </c>
      <c r="AH199" s="7" t="s">
        <v>689</v>
      </c>
      <c r="AI199" s="7" t="s">
        <v>747</v>
      </c>
      <c r="AJ199" s="7" t="s">
        <v>696</v>
      </c>
      <c r="AK199" s="7" t="s">
        <v>773</v>
      </c>
      <c r="AL199" s="7" t="s">
        <v>940</v>
      </c>
      <c r="AM199" s="7" t="s">
        <v>941</v>
      </c>
      <c r="AN199" s="7" t="s">
        <v>942</v>
      </c>
      <c r="AO199" s="7" t="s">
        <v>1163</v>
      </c>
      <c r="AP199" s="7" t="s">
        <v>1164</v>
      </c>
      <c r="AQ199" s="7" t="s">
        <v>1189</v>
      </c>
      <c r="AR199" s="7" t="s">
        <v>1155</v>
      </c>
      <c r="AS199" s="7" t="s">
        <v>1156</v>
      </c>
      <c r="AT199" s="7" t="s">
        <v>1071</v>
      </c>
      <c r="AU199" s="7" t="s">
        <v>1157</v>
      </c>
      <c r="AV199" s="7" t="s">
        <v>1196</v>
      </c>
      <c r="AW199" s="7" t="s">
        <v>1159</v>
      </c>
      <c r="AX199" s="7" t="s">
        <v>1190</v>
      </c>
      <c r="AY199" s="7" t="s">
        <v>1161</v>
      </c>
      <c r="AZ199" s="7" t="s">
        <v>1162</v>
      </c>
    </row>
    <row r="200" spans="1:54" ht="78" customHeight="1" x14ac:dyDescent="0.4">
      <c r="A200" s="67" t="s">
        <v>453</v>
      </c>
      <c r="B200" t="e">
        <f>_xlfn.XLOOKUP(A200,'Product info'!A:A,'Product info'!C:C,,2)</f>
        <v>#N/A</v>
      </c>
      <c r="C200" s="69" t="s">
        <v>688</v>
      </c>
      <c r="D200" s="7" t="s">
        <v>689</v>
      </c>
      <c r="E200" s="7" t="s">
        <v>690</v>
      </c>
      <c r="F200" s="7" t="s">
        <v>691</v>
      </c>
      <c r="G200" s="7" t="s">
        <v>692</v>
      </c>
      <c r="H200" s="7" t="s">
        <v>693</v>
      </c>
      <c r="I200" s="7" t="s">
        <v>694</v>
      </c>
      <c r="J200" s="7" t="s">
        <v>695</v>
      </c>
      <c r="K200" s="7" t="s">
        <v>696</v>
      </c>
      <c r="L200" s="7" t="s">
        <v>697</v>
      </c>
      <c r="M200" s="7" t="s">
        <v>698</v>
      </c>
      <c r="N200" s="7" t="s">
        <v>699</v>
      </c>
      <c r="O200" s="7" t="s">
        <v>700</v>
      </c>
      <c r="P200" s="7" t="s">
        <v>701</v>
      </c>
      <c r="Q200" s="7" t="s">
        <v>702</v>
      </c>
      <c r="R200" s="7" t="s">
        <v>703</v>
      </c>
      <c r="S200" s="7" t="s">
        <v>704</v>
      </c>
      <c r="T200" s="7" t="s">
        <v>705</v>
      </c>
      <c r="U200" s="7" t="s">
        <v>706</v>
      </c>
      <c r="V200" s="7" t="s">
        <v>707</v>
      </c>
      <c r="W200" s="7" t="s">
        <v>708</v>
      </c>
      <c r="X200" s="7" t="s">
        <v>709</v>
      </c>
      <c r="Y200" s="7" t="s">
        <v>710</v>
      </c>
      <c r="Z200" s="7" t="s">
        <v>711</v>
      </c>
      <c r="AA200" s="7" t="s">
        <v>712</v>
      </c>
      <c r="AB200" s="7" t="s">
        <v>694</v>
      </c>
      <c r="AC200" s="7" t="s">
        <v>713</v>
      </c>
      <c r="AD200" s="7" t="s">
        <v>714</v>
      </c>
      <c r="AE200" s="7" t="s">
        <v>715</v>
      </c>
      <c r="AF200" s="7" t="s">
        <v>716</v>
      </c>
      <c r="AG200" s="7" t="s">
        <v>688</v>
      </c>
      <c r="AH200" s="7" t="s">
        <v>689</v>
      </c>
      <c r="AI200" s="7" t="s">
        <v>747</v>
      </c>
      <c r="AJ200" s="7" t="s">
        <v>696</v>
      </c>
      <c r="AK200" s="7" t="s">
        <v>773</v>
      </c>
      <c r="AL200" s="7" t="s">
        <v>940</v>
      </c>
      <c r="AM200" s="7" t="s">
        <v>941</v>
      </c>
      <c r="AN200" s="7" t="s">
        <v>942</v>
      </c>
      <c r="AO200" s="7" t="s">
        <v>1183</v>
      </c>
      <c r="AP200" s="7" t="s">
        <v>1184</v>
      </c>
      <c r="AQ200" s="7" t="s">
        <v>1185</v>
      </c>
      <c r="AR200" s="7" t="s">
        <v>1197</v>
      </c>
      <c r="AS200" s="7" t="s">
        <v>1198</v>
      </c>
      <c r="AT200" s="7" t="s">
        <v>1188</v>
      </c>
      <c r="AU200" s="7" t="s">
        <v>1199</v>
      </c>
      <c r="AV200" s="7" t="s">
        <v>1200</v>
      </c>
      <c r="AW200" s="7" t="s">
        <v>1201</v>
      </c>
    </row>
    <row r="201" spans="1:54" ht="78" customHeight="1" x14ac:dyDescent="0.4">
      <c r="A201" s="67" t="s">
        <v>298</v>
      </c>
      <c r="B201" t="e">
        <f>_xlfn.XLOOKUP(A201,'Product info'!A:A,'Product info'!C:C,,2)</f>
        <v>#N/A</v>
      </c>
      <c r="C201" s="69" t="s">
        <v>688</v>
      </c>
      <c r="D201" s="7" t="s">
        <v>689</v>
      </c>
      <c r="E201" s="7" t="s">
        <v>690</v>
      </c>
      <c r="F201" s="7" t="s">
        <v>691</v>
      </c>
      <c r="G201" s="7" t="s">
        <v>692</v>
      </c>
      <c r="H201" s="7" t="s">
        <v>693</v>
      </c>
      <c r="I201" s="7" t="s">
        <v>694</v>
      </c>
      <c r="J201" s="7" t="s">
        <v>695</v>
      </c>
      <c r="K201" s="7" t="s">
        <v>696</v>
      </c>
      <c r="L201" s="7" t="s">
        <v>697</v>
      </c>
      <c r="M201" s="7" t="s">
        <v>698</v>
      </c>
      <c r="N201" s="7" t="s">
        <v>699</v>
      </c>
      <c r="O201" s="7" t="s">
        <v>700</v>
      </c>
      <c r="P201" s="7" t="s">
        <v>701</v>
      </c>
      <c r="Q201" s="7" t="s">
        <v>702</v>
      </c>
      <c r="R201" s="7" t="s">
        <v>703</v>
      </c>
      <c r="S201" s="7" t="s">
        <v>704</v>
      </c>
      <c r="T201" s="7" t="s">
        <v>705</v>
      </c>
      <c r="U201" s="7" t="s">
        <v>706</v>
      </c>
      <c r="V201" s="7" t="s">
        <v>707</v>
      </c>
      <c r="W201" s="7" t="s">
        <v>708</v>
      </c>
      <c r="X201" s="7" t="s">
        <v>709</v>
      </c>
      <c r="Y201" s="7" t="s">
        <v>710</v>
      </c>
      <c r="Z201" s="7" t="s">
        <v>711</v>
      </c>
      <c r="AA201" s="7" t="s">
        <v>712</v>
      </c>
      <c r="AB201" s="7" t="s">
        <v>694</v>
      </c>
      <c r="AC201" s="7" t="s">
        <v>713</v>
      </c>
      <c r="AD201" s="7" t="s">
        <v>714</v>
      </c>
      <c r="AE201" s="7" t="s">
        <v>715</v>
      </c>
      <c r="AF201" s="7" t="s">
        <v>716</v>
      </c>
      <c r="AG201" s="7" t="s">
        <v>688</v>
      </c>
      <c r="AH201" s="7" t="s">
        <v>689</v>
      </c>
      <c r="AI201" s="7" t="s">
        <v>747</v>
      </c>
      <c r="AJ201" s="7" t="s">
        <v>696</v>
      </c>
      <c r="AK201" s="7" t="s">
        <v>773</v>
      </c>
      <c r="AL201" s="7" t="s">
        <v>940</v>
      </c>
      <c r="AM201" s="7" t="s">
        <v>941</v>
      </c>
      <c r="AN201" s="7" t="s">
        <v>942</v>
      </c>
      <c r="AO201" s="7" t="s">
        <v>1183</v>
      </c>
      <c r="AP201" s="7" t="s">
        <v>1184</v>
      </c>
      <c r="AQ201" s="7" t="s">
        <v>1185</v>
      </c>
      <c r="AR201" s="7" t="s">
        <v>1186</v>
      </c>
      <c r="AS201" s="7" t="s">
        <v>1187</v>
      </c>
      <c r="AT201" s="7" t="s">
        <v>1188</v>
      </c>
      <c r="AU201" s="7" t="s">
        <v>1202</v>
      </c>
      <c r="AV201" s="7" t="s">
        <v>1203</v>
      </c>
      <c r="AW201" s="7" t="s">
        <v>1197</v>
      </c>
      <c r="AX201" s="7" t="s">
        <v>1198</v>
      </c>
      <c r="AY201" s="7" t="s">
        <v>1199</v>
      </c>
      <c r="AZ201" s="7" t="s">
        <v>1200</v>
      </c>
      <c r="BA201" s="7" t="s">
        <v>1204</v>
      </c>
      <c r="BB201" s="7" t="s">
        <v>1205</v>
      </c>
    </row>
    <row r="202" spans="1:54" ht="78" customHeight="1" x14ac:dyDescent="0.4">
      <c r="A202" s="67" t="s">
        <v>455</v>
      </c>
      <c r="B202" t="e">
        <f>_xlfn.XLOOKUP(A202,'Product info'!A:A,'Product info'!C:C,,2)</f>
        <v>#N/A</v>
      </c>
      <c r="C202" s="69" t="s">
        <v>688</v>
      </c>
      <c r="D202" s="7" t="s">
        <v>689</v>
      </c>
      <c r="E202" s="7" t="s">
        <v>690</v>
      </c>
      <c r="F202" s="7" t="s">
        <v>691</v>
      </c>
      <c r="G202" s="7" t="s">
        <v>692</v>
      </c>
      <c r="H202" s="7" t="s">
        <v>693</v>
      </c>
      <c r="I202" s="7" t="s">
        <v>694</v>
      </c>
      <c r="J202" s="7" t="s">
        <v>695</v>
      </c>
      <c r="K202" s="7" t="s">
        <v>696</v>
      </c>
      <c r="L202" s="7" t="s">
        <v>697</v>
      </c>
      <c r="M202" s="7" t="s">
        <v>698</v>
      </c>
      <c r="N202" s="7" t="s">
        <v>699</v>
      </c>
      <c r="O202" s="7" t="s">
        <v>700</v>
      </c>
      <c r="P202" s="7" t="s">
        <v>701</v>
      </c>
      <c r="Q202" s="7" t="s">
        <v>702</v>
      </c>
      <c r="R202" s="7" t="s">
        <v>703</v>
      </c>
      <c r="S202" s="7" t="s">
        <v>704</v>
      </c>
      <c r="T202" s="7" t="s">
        <v>705</v>
      </c>
      <c r="U202" s="7" t="s">
        <v>706</v>
      </c>
      <c r="V202" s="7" t="s">
        <v>707</v>
      </c>
      <c r="W202" s="7" t="s">
        <v>708</v>
      </c>
      <c r="X202" s="7" t="s">
        <v>709</v>
      </c>
      <c r="Y202" s="7" t="s">
        <v>710</v>
      </c>
      <c r="Z202" s="7" t="s">
        <v>711</v>
      </c>
      <c r="AA202" s="7" t="s">
        <v>712</v>
      </c>
      <c r="AB202" s="7" t="s">
        <v>694</v>
      </c>
      <c r="AC202" s="7" t="s">
        <v>713</v>
      </c>
      <c r="AD202" s="7" t="s">
        <v>714</v>
      </c>
      <c r="AE202" s="7" t="s">
        <v>715</v>
      </c>
      <c r="AF202" s="7" t="s">
        <v>716</v>
      </c>
      <c r="AG202" s="7" t="s">
        <v>688</v>
      </c>
      <c r="AH202" s="7" t="s">
        <v>689</v>
      </c>
      <c r="AI202" s="7" t="s">
        <v>747</v>
      </c>
      <c r="AJ202" s="7" t="s">
        <v>696</v>
      </c>
      <c r="AK202" s="7" t="s">
        <v>773</v>
      </c>
      <c r="AL202" s="7" t="s">
        <v>940</v>
      </c>
      <c r="AM202" s="7" t="s">
        <v>941</v>
      </c>
      <c r="AN202" s="7" t="s">
        <v>942</v>
      </c>
      <c r="AO202" s="7" t="s">
        <v>1183</v>
      </c>
      <c r="AP202" s="7" t="s">
        <v>1184</v>
      </c>
      <c r="AQ202" s="7" t="s">
        <v>1185</v>
      </c>
      <c r="AR202" s="7" t="s">
        <v>1197</v>
      </c>
      <c r="AS202" s="7" t="s">
        <v>1198</v>
      </c>
      <c r="AT202" s="7" t="s">
        <v>1188</v>
      </c>
      <c r="AU202" s="7" t="s">
        <v>1199</v>
      </c>
      <c r="AV202" s="7" t="s">
        <v>1200</v>
      </c>
      <c r="AW202" s="7" t="s">
        <v>1201</v>
      </c>
      <c r="AX202" s="7" t="s">
        <v>1206</v>
      </c>
      <c r="AY202" s="7" t="s">
        <v>1207</v>
      </c>
    </row>
    <row r="203" spans="1:54" ht="78" customHeight="1" x14ac:dyDescent="0.4">
      <c r="A203" s="67" t="s">
        <v>454</v>
      </c>
      <c r="B203" t="e">
        <f>_xlfn.XLOOKUP(A203,'Product info'!A:A,'Product info'!C:C,,2)</f>
        <v>#N/A</v>
      </c>
      <c r="C203" s="69" t="s">
        <v>688</v>
      </c>
      <c r="D203" s="7" t="s">
        <v>689</v>
      </c>
      <c r="E203" s="7" t="s">
        <v>690</v>
      </c>
      <c r="F203" s="7" t="s">
        <v>691</v>
      </c>
      <c r="G203" s="7" t="s">
        <v>692</v>
      </c>
      <c r="H203" s="7" t="s">
        <v>693</v>
      </c>
      <c r="I203" s="7" t="s">
        <v>694</v>
      </c>
      <c r="J203" s="7" t="s">
        <v>695</v>
      </c>
      <c r="K203" s="7" t="s">
        <v>696</v>
      </c>
      <c r="L203" s="7" t="s">
        <v>697</v>
      </c>
      <c r="M203" s="7" t="s">
        <v>698</v>
      </c>
      <c r="N203" s="7" t="s">
        <v>699</v>
      </c>
      <c r="O203" s="7" t="s">
        <v>700</v>
      </c>
      <c r="P203" s="7" t="s">
        <v>701</v>
      </c>
      <c r="Q203" s="7" t="s">
        <v>702</v>
      </c>
      <c r="R203" s="7" t="s">
        <v>703</v>
      </c>
      <c r="S203" s="7" t="s">
        <v>704</v>
      </c>
      <c r="T203" s="7" t="s">
        <v>705</v>
      </c>
      <c r="U203" s="7" t="s">
        <v>706</v>
      </c>
      <c r="V203" s="7" t="s">
        <v>707</v>
      </c>
      <c r="W203" s="7" t="s">
        <v>708</v>
      </c>
      <c r="X203" s="7" t="s">
        <v>709</v>
      </c>
      <c r="Y203" s="7" t="s">
        <v>710</v>
      </c>
      <c r="Z203" s="7" t="s">
        <v>711</v>
      </c>
      <c r="AA203" s="7" t="s">
        <v>712</v>
      </c>
      <c r="AB203" s="7" t="s">
        <v>694</v>
      </c>
      <c r="AC203" s="7" t="s">
        <v>713</v>
      </c>
      <c r="AD203" s="7" t="s">
        <v>714</v>
      </c>
      <c r="AE203" s="7" t="s">
        <v>715</v>
      </c>
      <c r="AF203" s="7" t="s">
        <v>716</v>
      </c>
      <c r="AG203" s="7" t="s">
        <v>688</v>
      </c>
      <c r="AH203" s="7" t="s">
        <v>689</v>
      </c>
      <c r="AI203" s="7" t="s">
        <v>747</v>
      </c>
      <c r="AJ203" s="7" t="s">
        <v>696</v>
      </c>
      <c r="AK203" s="7" t="s">
        <v>773</v>
      </c>
      <c r="AL203" s="7" t="s">
        <v>940</v>
      </c>
      <c r="AM203" s="7" t="s">
        <v>941</v>
      </c>
      <c r="AN203" s="7" t="s">
        <v>942</v>
      </c>
      <c r="AO203" s="7" t="s">
        <v>1183</v>
      </c>
      <c r="AP203" s="7" t="s">
        <v>1184</v>
      </c>
      <c r="AQ203" s="7" t="s">
        <v>1185</v>
      </c>
      <c r="AR203" s="7" t="s">
        <v>1186</v>
      </c>
      <c r="AS203" s="7" t="s">
        <v>1187</v>
      </c>
      <c r="AT203" s="7" t="s">
        <v>1188</v>
      </c>
      <c r="AU203" s="7" t="s">
        <v>1202</v>
      </c>
      <c r="AV203" s="7" t="s">
        <v>1203</v>
      </c>
    </row>
    <row r="204" spans="1:54" ht="78" customHeight="1" x14ac:dyDescent="0.4">
      <c r="A204" s="67" t="s">
        <v>381</v>
      </c>
      <c r="B204" t="e">
        <f>_xlfn.XLOOKUP(A204,'Product info'!A:A,'Product info'!C:C,,2)</f>
        <v>#N/A</v>
      </c>
      <c r="C204" s="69" t="s">
        <v>688</v>
      </c>
      <c r="D204" s="7" t="s">
        <v>689</v>
      </c>
      <c r="E204" s="7" t="s">
        <v>690</v>
      </c>
      <c r="F204" s="7" t="s">
        <v>691</v>
      </c>
      <c r="G204" s="7" t="s">
        <v>692</v>
      </c>
      <c r="H204" s="7" t="s">
        <v>693</v>
      </c>
      <c r="I204" s="7" t="s">
        <v>694</v>
      </c>
      <c r="J204" s="7" t="s">
        <v>695</v>
      </c>
      <c r="K204" s="7" t="s">
        <v>696</v>
      </c>
      <c r="L204" s="7" t="s">
        <v>697</v>
      </c>
      <c r="M204" s="7" t="s">
        <v>698</v>
      </c>
      <c r="N204" s="7" t="s">
        <v>699</v>
      </c>
      <c r="O204" s="7" t="s">
        <v>700</v>
      </c>
      <c r="P204" s="7" t="s">
        <v>701</v>
      </c>
      <c r="Q204" s="7" t="s">
        <v>702</v>
      </c>
      <c r="R204" s="7" t="s">
        <v>703</v>
      </c>
      <c r="S204" s="7" t="s">
        <v>704</v>
      </c>
      <c r="T204" s="7" t="s">
        <v>705</v>
      </c>
      <c r="U204" s="7" t="s">
        <v>706</v>
      </c>
      <c r="V204" s="7" t="s">
        <v>707</v>
      </c>
      <c r="W204" s="7" t="s">
        <v>708</v>
      </c>
      <c r="X204" s="7" t="s">
        <v>709</v>
      </c>
      <c r="Y204" s="7" t="s">
        <v>710</v>
      </c>
      <c r="Z204" s="7" t="s">
        <v>711</v>
      </c>
      <c r="AA204" s="7" t="s">
        <v>712</v>
      </c>
      <c r="AB204" s="7" t="s">
        <v>694</v>
      </c>
      <c r="AC204" s="7" t="s">
        <v>713</v>
      </c>
      <c r="AD204" s="7" t="s">
        <v>714</v>
      </c>
      <c r="AE204" s="7" t="s">
        <v>715</v>
      </c>
      <c r="AF204" s="7" t="s">
        <v>716</v>
      </c>
      <c r="AG204" s="7" t="s">
        <v>688</v>
      </c>
      <c r="AH204" s="7" t="s">
        <v>689</v>
      </c>
      <c r="AI204" s="7" t="s">
        <v>747</v>
      </c>
      <c r="AJ204" s="7" t="s">
        <v>696</v>
      </c>
      <c r="AK204" s="7" t="s">
        <v>773</v>
      </c>
      <c r="AL204" s="7" t="s">
        <v>940</v>
      </c>
      <c r="AM204" s="7" t="s">
        <v>941</v>
      </c>
      <c r="AN204" s="7" t="s">
        <v>942</v>
      </c>
      <c r="AO204" s="7" t="s">
        <v>1163</v>
      </c>
      <c r="AP204" s="7" t="s">
        <v>1164</v>
      </c>
      <c r="AQ204" s="7" t="s">
        <v>1189</v>
      </c>
      <c r="AR204" s="7" t="s">
        <v>1155</v>
      </c>
      <c r="AS204" s="7" t="s">
        <v>1156</v>
      </c>
      <c r="AT204" s="7" t="s">
        <v>1071</v>
      </c>
      <c r="AU204" s="7" t="s">
        <v>1157</v>
      </c>
      <c r="AV204" s="7" t="s">
        <v>1196</v>
      </c>
      <c r="AW204" s="7" t="s">
        <v>1159</v>
      </c>
      <c r="AX204" s="7" t="s">
        <v>1190</v>
      </c>
      <c r="AY204" s="7" t="s">
        <v>1161</v>
      </c>
      <c r="AZ204" s="7" t="s">
        <v>1162</v>
      </c>
    </row>
    <row r="205" spans="1:54" ht="78" customHeight="1" x14ac:dyDescent="0.4">
      <c r="A205" s="67" t="s">
        <v>378</v>
      </c>
      <c r="B205" t="e">
        <f>_xlfn.XLOOKUP(A205,'Product info'!A:A,'Product info'!C:C,,2)</f>
        <v>#N/A</v>
      </c>
      <c r="C205" s="69" t="s">
        <v>688</v>
      </c>
      <c r="D205" s="7" t="s">
        <v>689</v>
      </c>
      <c r="E205" s="7" t="s">
        <v>747</v>
      </c>
      <c r="F205" s="7" t="s">
        <v>696</v>
      </c>
      <c r="G205" s="7" t="s">
        <v>773</v>
      </c>
      <c r="H205" s="7" t="s">
        <v>940</v>
      </c>
      <c r="I205" s="7" t="s">
        <v>941</v>
      </c>
      <c r="J205" s="7" t="s">
        <v>942</v>
      </c>
      <c r="K205" s="7" t="s">
        <v>1163</v>
      </c>
      <c r="L205" s="7" t="s">
        <v>1164</v>
      </c>
      <c r="M205" s="7" t="s">
        <v>1189</v>
      </c>
      <c r="N205" s="7" t="s">
        <v>1155</v>
      </c>
      <c r="O205" s="7" t="s">
        <v>1156</v>
      </c>
      <c r="P205" s="7" t="s">
        <v>1071</v>
      </c>
      <c r="Q205" s="7" t="s">
        <v>1157</v>
      </c>
      <c r="R205" s="7" t="s">
        <v>1196</v>
      </c>
      <c r="S205" s="7" t="s">
        <v>1159</v>
      </c>
      <c r="T205" s="7" t="s">
        <v>1190</v>
      </c>
      <c r="U205" s="7" t="s">
        <v>1161</v>
      </c>
      <c r="V205" s="7" t="s">
        <v>1162</v>
      </c>
    </row>
    <row r="206" spans="1:54" ht="78" customHeight="1" x14ac:dyDescent="0.4">
      <c r="A206" s="67" t="s">
        <v>380</v>
      </c>
      <c r="B206" t="e">
        <f>_xlfn.XLOOKUP(A206,'Product info'!A:A,'Product info'!C:C,,2)</f>
        <v>#N/A</v>
      </c>
      <c r="C206" s="69" t="s">
        <v>688</v>
      </c>
      <c r="D206" s="7" t="s">
        <v>689</v>
      </c>
      <c r="E206" s="7" t="s">
        <v>690</v>
      </c>
      <c r="F206" s="7" t="s">
        <v>691</v>
      </c>
      <c r="G206" s="7" t="s">
        <v>692</v>
      </c>
      <c r="H206" s="7" t="s">
        <v>693</v>
      </c>
      <c r="I206" s="7" t="s">
        <v>694</v>
      </c>
      <c r="J206" s="7" t="s">
        <v>695</v>
      </c>
      <c r="K206" s="7" t="s">
        <v>696</v>
      </c>
      <c r="L206" s="7" t="s">
        <v>697</v>
      </c>
      <c r="M206" s="7" t="s">
        <v>698</v>
      </c>
      <c r="N206" s="7" t="s">
        <v>699</v>
      </c>
      <c r="O206" s="7" t="s">
        <v>700</v>
      </c>
      <c r="P206" s="7" t="s">
        <v>701</v>
      </c>
      <c r="Q206" s="7" t="s">
        <v>702</v>
      </c>
      <c r="R206" s="7" t="s">
        <v>703</v>
      </c>
      <c r="S206" s="7" t="s">
        <v>704</v>
      </c>
      <c r="T206" s="7" t="s">
        <v>705</v>
      </c>
      <c r="U206" s="7" t="s">
        <v>706</v>
      </c>
      <c r="V206" s="7" t="s">
        <v>707</v>
      </c>
      <c r="W206" s="7" t="s">
        <v>708</v>
      </c>
      <c r="X206" s="7" t="s">
        <v>709</v>
      </c>
      <c r="Y206" s="7" t="s">
        <v>710</v>
      </c>
      <c r="Z206" s="7" t="s">
        <v>711</v>
      </c>
      <c r="AA206" s="7" t="s">
        <v>712</v>
      </c>
      <c r="AB206" s="7" t="s">
        <v>694</v>
      </c>
      <c r="AC206" s="7" t="s">
        <v>713</v>
      </c>
      <c r="AD206" s="7" t="s">
        <v>714</v>
      </c>
      <c r="AE206" s="7" t="s">
        <v>715</v>
      </c>
      <c r="AF206" s="7" t="s">
        <v>716</v>
      </c>
      <c r="AG206" s="7" t="s">
        <v>688</v>
      </c>
      <c r="AH206" s="7" t="s">
        <v>689</v>
      </c>
      <c r="AI206" s="7" t="s">
        <v>747</v>
      </c>
      <c r="AJ206" s="7" t="s">
        <v>696</v>
      </c>
      <c r="AK206" s="7" t="s">
        <v>773</v>
      </c>
      <c r="AL206" s="7" t="s">
        <v>940</v>
      </c>
      <c r="AM206" s="7" t="s">
        <v>941</v>
      </c>
      <c r="AN206" s="7" t="s">
        <v>942</v>
      </c>
      <c r="AO206" s="7" t="s">
        <v>1163</v>
      </c>
      <c r="AP206" s="7" t="s">
        <v>1164</v>
      </c>
      <c r="AQ206" s="7" t="s">
        <v>1189</v>
      </c>
      <c r="AR206" s="7" t="s">
        <v>1155</v>
      </c>
      <c r="AS206" s="7" t="s">
        <v>1156</v>
      </c>
      <c r="AT206" s="7" t="s">
        <v>1071</v>
      </c>
      <c r="AU206" s="7" t="s">
        <v>1157</v>
      </c>
      <c r="AV206" s="7" t="s">
        <v>1196</v>
      </c>
      <c r="AW206" s="7" t="s">
        <v>1159</v>
      </c>
      <c r="AX206" s="7" t="s">
        <v>1190</v>
      </c>
      <c r="AY206" s="7" t="s">
        <v>1161</v>
      </c>
      <c r="AZ206" s="7" t="s">
        <v>1162</v>
      </c>
    </row>
    <row r="207" spans="1:54" ht="78" customHeight="1" x14ac:dyDescent="0.4">
      <c r="A207" s="67" t="s">
        <v>391</v>
      </c>
      <c r="B207" t="e">
        <f>_xlfn.XLOOKUP(A207,'Product info'!A:A,'Product info'!C:C,,2)</f>
        <v>#N/A</v>
      </c>
      <c r="C207" s="69" t="s">
        <v>688</v>
      </c>
      <c r="D207" s="7" t="s">
        <v>689</v>
      </c>
      <c r="E207" s="7" t="s">
        <v>690</v>
      </c>
      <c r="F207" s="7" t="s">
        <v>691</v>
      </c>
      <c r="G207" s="7" t="s">
        <v>692</v>
      </c>
      <c r="H207" s="7" t="s">
        <v>693</v>
      </c>
      <c r="I207" s="7" t="s">
        <v>694</v>
      </c>
      <c r="J207" s="7" t="s">
        <v>695</v>
      </c>
      <c r="K207" s="7" t="s">
        <v>696</v>
      </c>
      <c r="L207" s="7" t="s">
        <v>697</v>
      </c>
      <c r="M207" s="7" t="s">
        <v>698</v>
      </c>
      <c r="N207" s="7" t="s">
        <v>699</v>
      </c>
      <c r="O207" s="7" t="s">
        <v>700</v>
      </c>
      <c r="P207" s="7" t="s">
        <v>701</v>
      </c>
      <c r="Q207" s="7" t="s">
        <v>702</v>
      </c>
      <c r="R207" s="7" t="s">
        <v>703</v>
      </c>
      <c r="S207" s="7" t="s">
        <v>704</v>
      </c>
      <c r="T207" s="7" t="s">
        <v>705</v>
      </c>
      <c r="U207" s="7" t="s">
        <v>706</v>
      </c>
      <c r="V207" s="7" t="s">
        <v>707</v>
      </c>
      <c r="W207" s="7" t="s">
        <v>708</v>
      </c>
      <c r="X207" s="7" t="s">
        <v>709</v>
      </c>
      <c r="Y207" s="7" t="s">
        <v>710</v>
      </c>
      <c r="Z207" s="7" t="s">
        <v>711</v>
      </c>
      <c r="AA207" s="7" t="s">
        <v>712</v>
      </c>
      <c r="AB207" s="7" t="s">
        <v>694</v>
      </c>
      <c r="AC207" s="7" t="s">
        <v>713</v>
      </c>
      <c r="AD207" s="7" t="s">
        <v>714</v>
      </c>
      <c r="AE207" s="7" t="s">
        <v>715</v>
      </c>
      <c r="AF207" s="7" t="s">
        <v>716</v>
      </c>
      <c r="AG207" s="7" t="s">
        <v>688</v>
      </c>
      <c r="AH207" s="7" t="s">
        <v>689</v>
      </c>
      <c r="AI207" s="7" t="s">
        <v>747</v>
      </c>
      <c r="AJ207" s="7" t="s">
        <v>696</v>
      </c>
      <c r="AK207" s="7" t="s">
        <v>773</v>
      </c>
      <c r="AL207" s="7" t="s">
        <v>940</v>
      </c>
      <c r="AM207" s="7" t="s">
        <v>941</v>
      </c>
      <c r="AN207" s="7" t="s">
        <v>942</v>
      </c>
    </row>
    <row r="208" spans="1:54" ht="78" customHeight="1" x14ac:dyDescent="0.4">
      <c r="A208" s="67" t="s">
        <v>377</v>
      </c>
      <c r="B208" t="e">
        <f>_xlfn.XLOOKUP(A208,'Product info'!A:A,'Product info'!C:C,,2)</f>
        <v>#N/A</v>
      </c>
      <c r="C208" s="69" t="s">
        <v>688</v>
      </c>
      <c r="D208" s="7" t="s">
        <v>689</v>
      </c>
      <c r="E208" s="7" t="s">
        <v>690</v>
      </c>
      <c r="F208" s="7" t="s">
        <v>691</v>
      </c>
      <c r="G208" s="7" t="s">
        <v>692</v>
      </c>
      <c r="H208" s="7" t="s">
        <v>693</v>
      </c>
      <c r="I208" s="7" t="s">
        <v>694</v>
      </c>
      <c r="J208" s="7" t="s">
        <v>695</v>
      </c>
      <c r="K208" s="7" t="s">
        <v>696</v>
      </c>
      <c r="L208" s="7" t="s">
        <v>697</v>
      </c>
      <c r="M208" s="7" t="s">
        <v>698</v>
      </c>
      <c r="N208" s="7" t="s">
        <v>699</v>
      </c>
      <c r="O208" s="7" t="s">
        <v>700</v>
      </c>
      <c r="P208" s="7" t="s">
        <v>701</v>
      </c>
      <c r="Q208" s="7" t="s">
        <v>702</v>
      </c>
      <c r="R208" s="7" t="s">
        <v>703</v>
      </c>
      <c r="S208" s="7" t="s">
        <v>704</v>
      </c>
      <c r="T208" s="7" t="s">
        <v>705</v>
      </c>
      <c r="U208" s="7" t="s">
        <v>706</v>
      </c>
      <c r="V208" s="7" t="s">
        <v>707</v>
      </c>
      <c r="W208" s="7" t="s">
        <v>708</v>
      </c>
      <c r="X208" s="7" t="s">
        <v>709</v>
      </c>
      <c r="Y208" s="7" t="s">
        <v>710</v>
      </c>
      <c r="Z208" s="7" t="s">
        <v>711</v>
      </c>
      <c r="AA208" s="7" t="s">
        <v>712</v>
      </c>
      <c r="AB208" s="7" t="s">
        <v>694</v>
      </c>
      <c r="AC208" s="7" t="s">
        <v>713</v>
      </c>
      <c r="AD208" s="7" t="s">
        <v>714</v>
      </c>
      <c r="AE208" s="7" t="s">
        <v>715</v>
      </c>
      <c r="AF208" s="7" t="s">
        <v>716</v>
      </c>
      <c r="AG208" s="7" t="s">
        <v>688</v>
      </c>
      <c r="AH208" s="7" t="s">
        <v>689</v>
      </c>
      <c r="AI208" s="7" t="s">
        <v>747</v>
      </c>
      <c r="AJ208" s="7" t="s">
        <v>696</v>
      </c>
      <c r="AK208" s="7" t="s">
        <v>773</v>
      </c>
      <c r="AL208" s="7" t="s">
        <v>940</v>
      </c>
      <c r="AM208" s="7" t="s">
        <v>941</v>
      </c>
      <c r="AN208" s="7" t="s">
        <v>942</v>
      </c>
      <c r="AO208" s="7" t="s">
        <v>1163</v>
      </c>
      <c r="AP208" s="7" t="s">
        <v>1164</v>
      </c>
      <c r="AQ208" s="7" t="s">
        <v>1189</v>
      </c>
      <c r="AR208" s="7" t="s">
        <v>1155</v>
      </c>
      <c r="AS208" s="7" t="s">
        <v>1156</v>
      </c>
      <c r="AT208" s="7" t="s">
        <v>1071</v>
      </c>
      <c r="AU208" s="7" t="s">
        <v>1157</v>
      </c>
      <c r="AV208" s="7" t="s">
        <v>1159</v>
      </c>
      <c r="AW208" s="7" t="s">
        <v>1190</v>
      </c>
      <c r="AX208" s="7" t="s">
        <v>1161</v>
      </c>
      <c r="AY208" s="7" t="s">
        <v>1162</v>
      </c>
    </row>
    <row r="209" spans="1:61" ht="78" customHeight="1" x14ac:dyDescent="0.4">
      <c r="A209" s="67" t="s">
        <v>397</v>
      </c>
      <c r="B209" t="e">
        <f>_xlfn.XLOOKUP(A209,'Product info'!A:A,'Product info'!C:C,,2)</f>
        <v>#N/A</v>
      </c>
      <c r="C209" s="69" t="s">
        <v>688</v>
      </c>
      <c r="D209" s="7" t="s">
        <v>689</v>
      </c>
      <c r="E209" s="7" t="s">
        <v>690</v>
      </c>
      <c r="F209" s="7" t="s">
        <v>691</v>
      </c>
      <c r="G209" s="7" t="s">
        <v>692</v>
      </c>
      <c r="H209" s="7" t="s">
        <v>693</v>
      </c>
      <c r="I209" s="7" t="s">
        <v>694</v>
      </c>
      <c r="J209" s="7" t="s">
        <v>695</v>
      </c>
      <c r="K209" s="7" t="s">
        <v>696</v>
      </c>
      <c r="L209" s="7" t="s">
        <v>697</v>
      </c>
      <c r="M209" s="7" t="s">
        <v>698</v>
      </c>
      <c r="N209" s="7" t="s">
        <v>699</v>
      </c>
      <c r="O209" s="7" t="s">
        <v>700</v>
      </c>
      <c r="P209" s="7" t="s">
        <v>701</v>
      </c>
      <c r="Q209" s="7" t="s">
        <v>702</v>
      </c>
      <c r="R209" s="7" t="s">
        <v>703</v>
      </c>
      <c r="S209" s="7" t="s">
        <v>704</v>
      </c>
      <c r="T209" s="7" t="s">
        <v>705</v>
      </c>
      <c r="U209" s="7" t="s">
        <v>706</v>
      </c>
      <c r="V209" s="7" t="s">
        <v>707</v>
      </c>
      <c r="W209" s="7" t="s">
        <v>708</v>
      </c>
      <c r="X209" s="7" t="s">
        <v>709</v>
      </c>
      <c r="Y209" s="7" t="s">
        <v>710</v>
      </c>
      <c r="Z209" s="7" t="s">
        <v>711</v>
      </c>
      <c r="AA209" s="7" t="s">
        <v>712</v>
      </c>
      <c r="AB209" s="7" t="s">
        <v>694</v>
      </c>
      <c r="AC209" s="7" t="s">
        <v>713</v>
      </c>
      <c r="AD209" s="7" t="s">
        <v>714</v>
      </c>
      <c r="AE209" s="7" t="s">
        <v>715</v>
      </c>
      <c r="AF209" s="7" t="s">
        <v>716</v>
      </c>
      <c r="AG209" s="7" t="s">
        <v>688</v>
      </c>
      <c r="AH209" s="7" t="s">
        <v>689</v>
      </c>
      <c r="AI209" s="7" t="s">
        <v>747</v>
      </c>
      <c r="AJ209" s="7" t="s">
        <v>696</v>
      </c>
      <c r="AK209" s="7" t="s">
        <v>773</v>
      </c>
      <c r="AL209" s="7" t="s">
        <v>940</v>
      </c>
      <c r="AM209" s="7" t="s">
        <v>941</v>
      </c>
      <c r="AN209" s="7" t="s">
        <v>942</v>
      </c>
    </row>
    <row r="210" spans="1:61" ht="78" customHeight="1" x14ac:dyDescent="0.4">
      <c r="A210" s="67" t="s">
        <v>383</v>
      </c>
      <c r="B210" t="e">
        <f>_xlfn.XLOOKUP(A210,'Product info'!A:A,'Product info'!C:C,,2)</f>
        <v>#N/A</v>
      </c>
      <c r="C210" s="69" t="s">
        <v>688</v>
      </c>
      <c r="D210" s="7" t="s">
        <v>689</v>
      </c>
      <c r="E210" s="7" t="s">
        <v>747</v>
      </c>
      <c r="F210" s="7" t="s">
        <v>696</v>
      </c>
      <c r="G210" s="7" t="s">
        <v>773</v>
      </c>
      <c r="H210" s="7" t="s">
        <v>1208</v>
      </c>
      <c r="I210" s="7" t="s">
        <v>1209</v>
      </c>
      <c r="J210" s="7" t="s">
        <v>1210</v>
      </c>
      <c r="K210" s="7" t="s">
        <v>1211</v>
      </c>
      <c r="L210" s="7" t="s">
        <v>1212</v>
      </c>
      <c r="M210" s="7" t="s">
        <v>1213</v>
      </c>
      <c r="N210" s="7" t="s">
        <v>1214</v>
      </c>
      <c r="O210" s="7" t="s">
        <v>1215</v>
      </c>
      <c r="P210" s="7" t="s">
        <v>1216</v>
      </c>
      <c r="Q210" s="7" t="s">
        <v>1217</v>
      </c>
    </row>
    <row r="211" spans="1:61" ht="78" customHeight="1" x14ac:dyDescent="0.4">
      <c r="A211" s="67" t="s">
        <v>384</v>
      </c>
      <c r="B211" t="e">
        <f>_xlfn.XLOOKUP(A211,'Product info'!A:A,'Product info'!C:C,,2)</f>
        <v>#N/A</v>
      </c>
      <c r="C211" s="69" t="s">
        <v>688</v>
      </c>
      <c r="D211" s="7" t="s">
        <v>689</v>
      </c>
      <c r="E211" s="7" t="s">
        <v>747</v>
      </c>
      <c r="F211" s="7" t="s">
        <v>696</v>
      </c>
      <c r="G211" s="7" t="s">
        <v>773</v>
      </c>
      <c r="H211" s="7" t="s">
        <v>1208</v>
      </c>
      <c r="I211" s="7" t="s">
        <v>1209</v>
      </c>
      <c r="J211" s="7" t="s">
        <v>1210</v>
      </c>
      <c r="K211" s="7" t="s">
        <v>1211</v>
      </c>
      <c r="L211" s="7" t="s">
        <v>1212</v>
      </c>
      <c r="M211" s="7" t="s">
        <v>1213</v>
      </c>
      <c r="N211" s="7" t="s">
        <v>1214</v>
      </c>
      <c r="O211" s="7" t="s">
        <v>1215</v>
      </c>
      <c r="P211" s="7" t="s">
        <v>1216</v>
      </c>
      <c r="Q211" s="7" t="s">
        <v>1217</v>
      </c>
    </row>
    <row r="212" spans="1:61" ht="78" customHeight="1" x14ac:dyDescent="0.4">
      <c r="A212" s="67" t="s">
        <v>215</v>
      </c>
      <c r="B212" t="e">
        <f>_xlfn.XLOOKUP(A212,'Product info'!A:A,'Product info'!C:C,,2)</f>
        <v>#N/A</v>
      </c>
      <c r="C212" s="69" t="s">
        <v>688</v>
      </c>
      <c r="D212" s="7" t="s">
        <v>689</v>
      </c>
      <c r="E212" s="7" t="s">
        <v>690</v>
      </c>
      <c r="F212" s="7" t="s">
        <v>691</v>
      </c>
      <c r="G212" s="7" t="s">
        <v>692</v>
      </c>
      <c r="H212" s="7" t="s">
        <v>693</v>
      </c>
      <c r="I212" s="7" t="s">
        <v>694</v>
      </c>
      <c r="J212" s="7" t="s">
        <v>695</v>
      </c>
      <c r="K212" s="7" t="s">
        <v>696</v>
      </c>
      <c r="L212" s="7" t="s">
        <v>697</v>
      </c>
      <c r="M212" s="7" t="s">
        <v>698</v>
      </c>
      <c r="N212" s="7" t="s">
        <v>699</v>
      </c>
      <c r="O212" s="7" t="s">
        <v>700</v>
      </c>
      <c r="P212" s="7" t="s">
        <v>701</v>
      </c>
      <c r="Q212" s="7" t="s">
        <v>702</v>
      </c>
      <c r="R212" s="7" t="s">
        <v>703</v>
      </c>
      <c r="S212" s="7" t="s">
        <v>704</v>
      </c>
      <c r="T212" s="7" t="s">
        <v>705</v>
      </c>
      <c r="U212" s="7" t="s">
        <v>706</v>
      </c>
      <c r="V212" s="7" t="s">
        <v>707</v>
      </c>
      <c r="W212" s="7" t="s">
        <v>708</v>
      </c>
      <c r="X212" s="7" t="s">
        <v>709</v>
      </c>
      <c r="Y212" s="7" t="s">
        <v>710</v>
      </c>
      <c r="Z212" s="7" t="s">
        <v>711</v>
      </c>
      <c r="AA212" s="7" t="s">
        <v>712</v>
      </c>
      <c r="AB212" s="7" t="s">
        <v>694</v>
      </c>
      <c r="AC212" s="7" t="s">
        <v>713</v>
      </c>
      <c r="AD212" s="7" t="s">
        <v>714</v>
      </c>
      <c r="AE212" s="7" t="s">
        <v>715</v>
      </c>
      <c r="AF212" s="7" t="s">
        <v>716</v>
      </c>
      <c r="AG212" s="7" t="s">
        <v>1218</v>
      </c>
      <c r="AH212" s="7" t="s">
        <v>1219</v>
      </c>
      <c r="AI212" s="7" t="s">
        <v>1220</v>
      </c>
      <c r="AJ212" s="7" t="s">
        <v>1221</v>
      </c>
      <c r="AK212" s="7" t="s">
        <v>1222</v>
      </c>
      <c r="AL212" s="7" t="s">
        <v>1223</v>
      </c>
    </row>
    <row r="213" spans="1:61" ht="78" customHeight="1" x14ac:dyDescent="0.4">
      <c r="A213" s="67" t="s">
        <v>85</v>
      </c>
      <c r="B213" t="e">
        <f>_xlfn.XLOOKUP(A213,'Product info'!A:A,'Product info'!C:C,,2)</f>
        <v>#N/A</v>
      </c>
      <c r="C213" s="69" t="s">
        <v>688</v>
      </c>
      <c r="D213" s="7" t="s">
        <v>689</v>
      </c>
      <c r="E213" s="7" t="s">
        <v>690</v>
      </c>
      <c r="F213" s="7" t="s">
        <v>691</v>
      </c>
      <c r="G213" s="7" t="s">
        <v>692</v>
      </c>
      <c r="H213" s="7" t="s">
        <v>693</v>
      </c>
      <c r="I213" s="7" t="s">
        <v>694</v>
      </c>
      <c r="J213" s="7" t="s">
        <v>695</v>
      </c>
      <c r="K213" s="7" t="s">
        <v>696</v>
      </c>
      <c r="L213" s="7" t="s">
        <v>697</v>
      </c>
      <c r="M213" s="7" t="s">
        <v>698</v>
      </c>
      <c r="N213" s="7" t="s">
        <v>699</v>
      </c>
      <c r="O213" s="7" t="s">
        <v>700</v>
      </c>
      <c r="P213" s="7" t="s">
        <v>701</v>
      </c>
      <c r="Q213" s="7" t="s">
        <v>702</v>
      </c>
      <c r="R213" s="7" t="s">
        <v>703</v>
      </c>
      <c r="S213" s="7" t="s">
        <v>704</v>
      </c>
      <c r="T213" s="7" t="s">
        <v>705</v>
      </c>
      <c r="U213" s="7" t="s">
        <v>706</v>
      </c>
      <c r="V213" s="7" t="s">
        <v>707</v>
      </c>
      <c r="W213" s="7" t="s">
        <v>708</v>
      </c>
      <c r="X213" s="7" t="s">
        <v>709</v>
      </c>
      <c r="Y213" s="7" t="s">
        <v>710</v>
      </c>
      <c r="Z213" s="7" t="s">
        <v>711</v>
      </c>
      <c r="AA213" s="7" t="s">
        <v>712</v>
      </c>
      <c r="AB213" s="7" t="s">
        <v>694</v>
      </c>
      <c r="AC213" s="7" t="s">
        <v>713</v>
      </c>
      <c r="AD213" s="7" t="s">
        <v>714</v>
      </c>
      <c r="AE213" s="7" t="s">
        <v>715</v>
      </c>
      <c r="AF213" s="7" t="s">
        <v>716</v>
      </c>
      <c r="AG213" s="7" t="s">
        <v>688</v>
      </c>
      <c r="AH213" s="7" t="s">
        <v>1224</v>
      </c>
      <c r="AI213" s="7" t="s">
        <v>747</v>
      </c>
      <c r="AJ213" s="7" t="s">
        <v>1225</v>
      </c>
      <c r="AK213" s="7" t="s">
        <v>773</v>
      </c>
      <c r="AL213" s="7" t="s">
        <v>940</v>
      </c>
      <c r="AM213" s="7" t="s">
        <v>941</v>
      </c>
      <c r="AN213" s="7" t="s">
        <v>942</v>
      </c>
      <c r="AO213" s="7" t="s">
        <v>695</v>
      </c>
      <c r="AP213" s="7" t="s">
        <v>694</v>
      </c>
      <c r="AQ213" s="7" t="s">
        <v>917</v>
      </c>
      <c r="AR213" s="7" t="s">
        <v>1226</v>
      </c>
      <c r="AS213" s="7" t="s">
        <v>1227</v>
      </c>
      <c r="AT213" s="7" t="s">
        <v>920</v>
      </c>
      <c r="AU213" s="7" t="s">
        <v>921</v>
      </c>
      <c r="AV213" s="7" t="s">
        <v>922</v>
      </c>
      <c r="AW213" s="7" t="s">
        <v>923</v>
      </c>
      <c r="AX213" s="7" t="s">
        <v>1228</v>
      </c>
      <c r="AY213" s="7" t="s">
        <v>925</v>
      </c>
      <c r="AZ213" s="7" t="s">
        <v>1229</v>
      </c>
      <c r="BA213" s="7" t="s">
        <v>1230</v>
      </c>
      <c r="BB213" s="7" t="s">
        <v>1231</v>
      </c>
      <c r="BC213" s="7" t="s">
        <v>1232</v>
      </c>
      <c r="BD213" s="7" t="s">
        <v>1233</v>
      </c>
      <c r="BE213" s="7" t="s">
        <v>1234</v>
      </c>
      <c r="BF213" s="7" t="s">
        <v>1235</v>
      </c>
      <c r="BG213" s="7" t="s">
        <v>1236</v>
      </c>
      <c r="BH213" s="7" t="s">
        <v>1237</v>
      </c>
      <c r="BI213" s="7" t="s">
        <v>1238</v>
      </c>
    </row>
    <row r="214" spans="1:61" ht="78" customHeight="1" x14ac:dyDescent="0.4">
      <c r="A214" s="67" t="s">
        <v>176</v>
      </c>
      <c r="B214" t="e">
        <f>_xlfn.XLOOKUP(A214,'Product info'!A:A,'Product info'!C:C,,2)</f>
        <v>#N/A</v>
      </c>
      <c r="C214" s="69" t="s">
        <v>688</v>
      </c>
      <c r="D214" s="7" t="s">
        <v>689</v>
      </c>
      <c r="E214" s="7" t="s">
        <v>690</v>
      </c>
      <c r="F214" s="7" t="s">
        <v>691</v>
      </c>
      <c r="G214" s="7" t="s">
        <v>692</v>
      </c>
      <c r="H214" s="7" t="s">
        <v>693</v>
      </c>
      <c r="I214" s="7" t="s">
        <v>694</v>
      </c>
      <c r="J214" s="7" t="s">
        <v>695</v>
      </c>
      <c r="K214" s="7" t="s">
        <v>696</v>
      </c>
      <c r="L214" s="7" t="s">
        <v>697</v>
      </c>
      <c r="M214" s="7" t="s">
        <v>698</v>
      </c>
      <c r="N214" s="7" t="s">
        <v>699</v>
      </c>
      <c r="O214" s="7" t="s">
        <v>700</v>
      </c>
      <c r="P214" s="7" t="s">
        <v>701</v>
      </c>
      <c r="Q214" s="7" t="s">
        <v>702</v>
      </c>
      <c r="R214" s="7" t="s">
        <v>703</v>
      </c>
      <c r="S214" s="7" t="s">
        <v>704</v>
      </c>
      <c r="T214" s="7" t="s">
        <v>705</v>
      </c>
      <c r="U214" s="7" t="s">
        <v>706</v>
      </c>
      <c r="V214" s="7" t="s">
        <v>707</v>
      </c>
      <c r="W214" s="7" t="s">
        <v>708</v>
      </c>
      <c r="X214" s="7" t="s">
        <v>709</v>
      </c>
      <c r="Y214" s="7" t="s">
        <v>710</v>
      </c>
      <c r="Z214" s="7" t="s">
        <v>711</v>
      </c>
      <c r="AA214" s="7" t="s">
        <v>712</v>
      </c>
      <c r="AB214" s="7" t="s">
        <v>694</v>
      </c>
      <c r="AC214" s="7" t="s">
        <v>713</v>
      </c>
      <c r="AD214" s="7" t="s">
        <v>714</v>
      </c>
      <c r="AE214" s="7" t="s">
        <v>715</v>
      </c>
      <c r="AF214" s="7" t="s">
        <v>716</v>
      </c>
      <c r="AG214" s="7" t="s">
        <v>688</v>
      </c>
      <c r="AH214" s="7" t="s">
        <v>689</v>
      </c>
      <c r="AI214" s="7" t="s">
        <v>747</v>
      </c>
      <c r="AJ214" s="7" t="s">
        <v>696</v>
      </c>
      <c r="AK214" s="7" t="s">
        <v>773</v>
      </c>
      <c r="AL214" s="7" t="s">
        <v>940</v>
      </c>
      <c r="AM214" s="7" t="s">
        <v>941</v>
      </c>
      <c r="AN214" s="7" t="s">
        <v>942</v>
      </c>
      <c r="AO214" s="7" t="s">
        <v>812</v>
      </c>
      <c r="AP214" s="7" t="s">
        <v>813</v>
      </c>
      <c r="AQ214" s="7" t="s">
        <v>814</v>
      </c>
      <c r="AR214" s="7" t="s">
        <v>815</v>
      </c>
      <c r="AS214" s="7" t="s">
        <v>1239</v>
      </c>
      <c r="AT214" s="7" t="s">
        <v>817</v>
      </c>
      <c r="AU214" s="7" t="s">
        <v>1240</v>
      </c>
      <c r="AV214" s="7" t="s">
        <v>820</v>
      </c>
      <c r="AW214" s="7" t="s">
        <v>1241</v>
      </c>
      <c r="AX214" s="7" t="s">
        <v>1242</v>
      </c>
      <c r="AY214" s="7" t="s">
        <v>1243</v>
      </c>
      <c r="AZ214" s="7" t="s">
        <v>1244</v>
      </c>
    </row>
    <row r="215" spans="1:61" ht="78" customHeight="1" x14ac:dyDescent="0.4">
      <c r="A215" s="67" t="s">
        <v>177</v>
      </c>
      <c r="B215" t="e">
        <f>_xlfn.XLOOKUP(A215,'Product info'!A:A,'Product info'!C:C,,2)</f>
        <v>#N/A</v>
      </c>
      <c r="C215" s="69" t="s">
        <v>688</v>
      </c>
      <c r="D215" s="7" t="s">
        <v>689</v>
      </c>
      <c r="E215" s="7" t="s">
        <v>690</v>
      </c>
      <c r="F215" s="7" t="s">
        <v>691</v>
      </c>
      <c r="G215" s="7" t="s">
        <v>692</v>
      </c>
      <c r="H215" s="7" t="s">
        <v>693</v>
      </c>
      <c r="I215" s="7" t="s">
        <v>694</v>
      </c>
      <c r="J215" s="7" t="s">
        <v>695</v>
      </c>
      <c r="K215" s="7" t="s">
        <v>696</v>
      </c>
      <c r="L215" s="7" t="s">
        <v>697</v>
      </c>
      <c r="M215" s="7" t="s">
        <v>698</v>
      </c>
      <c r="N215" s="7" t="s">
        <v>699</v>
      </c>
      <c r="O215" s="7" t="s">
        <v>700</v>
      </c>
      <c r="P215" s="7" t="s">
        <v>701</v>
      </c>
      <c r="Q215" s="7" t="s">
        <v>702</v>
      </c>
      <c r="R215" s="7" t="s">
        <v>703</v>
      </c>
      <c r="S215" s="7" t="s">
        <v>704</v>
      </c>
      <c r="T215" s="7" t="s">
        <v>705</v>
      </c>
      <c r="U215" s="7" t="s">
        <v>706</v>
      </c>
      <c r="V215" s="7" t="s">
        <v>707</v>
      </c>
      <c r="W215" s="7" t="s">
        <v>708</v>
      </c>
      <c r="X215" s="7" t="s">
        <v>709</v>
      </c>
      <c r="Y215" s="7" t="s">
        <v>710</v>
      </c>
      <c r="Z215" s="7" t="s">
        <v>711</v>
      </c>
      <c r="AA215" s="7" t="s">
        <v>712</v>
      </c>
      <c r="AB215" s="7" t="s">
        <v>694</v>
      </c>
      <c r="AC215" s="7" t="s">
        <v>713</v>
      </c>
      <c r="AD215" s="7" t="s">
        <v>714</v>
      </c>
      <c r="AE215" s="7" t="s">
        <v>715</v>
      </c>
      <c r="AF215" s="7" t="s">
        <v>716</v>
      </c>
      <c r="AG215" s="7" t="s">
        <v>688</v>
      </c>
      <c r="AH215" s="7" t="s">
        <v>689</v>
      </c>
      <c r="AI215" s="7" t="s">
        <v>747</v>
      </c>
      <c r="AJ215" s="7" t="s">
        <v>696</v>
      </c>
      <c r="AK215" s="7" t="s">
        <v>773</v>
      </c>
      <c r="AL215" s="7" t="s">
        <v>940</v>
      </c>
      <c r="AM215" s="7" t="s">
        <v>941</v>
      </c>
      <c r="AN215" s="7" t="s">
        <v>942</v>
      </c>
      <c r="AO215" s="7" t="s">
        <v>812</v>
      </c>
      <c r="AP215" s="7" t="s">
        <v>813</v>
      </c>
      <c r="AQ215" s="7" t="s">
        <v>814</v>
      </c>
      <c r="AR215" s="7" t="s">
        <v>1245</v>
      </c>
      <c r="AS215" s="7" t="s">
        <v>1239</v>
      </c>
      <c r="AT215" s="7" t="s">
        <v>817</v>
      </c>
      <c r="AU215" s="7" t="s">
        <v>1240</v>
      </c>
      <c r="AV215" s="7" t="s">
        <v>820</v>
      </c>
      <c r="AW215" s="7" t="s">
        <v>1243</v>
      </c>
      <c r="AX215" s="7" t="s">
        <v>1244</v>
      </c>
    </row>
    <row r="216" spans="1:61" ht="78" customHeight="1" x14ac:dyDescent="0.4">
      <c r="A216" s="67" t="s">
        <v>84</v>
      </c>
      <c r="B216" t="e">
        <f>_xlfn.XLOOKUP(A216,'Product info'!A:A,'Product info'!C:C,,2)</f>
        <v>#N/A</v>
      </c>
      <c r="C216" s="69" t="s">
        <v>688</v>
      </c>
      <c r="D216" s="7" t="s">
        <v>689</v>
      </c>
      <c r="E216" s="7" t="s">
        <v>690</v>
      </c>
      <c r="F216" s="7" t="s">
        <v>691</v>
      </c>
      <c r="G216" s="7" t="s">
        <v>692</v>
      </c>
      <c r="H216" s="7" t="s">
        <v>693</v>
      </c>
      <c r="I216" s="7" t="s">
        <v>694</v>
      </c>
      <c r="J216" s="7" t="s">
        <v>695</v>
      </c>
      <c r="K216" s="7" t="s">
        <v>696</v>
      </c>
      <c r="L216" s="7" t="s">
        <v>697</v>
      </c>
      <c r="M216" s="7" t="s">
        <v>698</v>
      </c>
      <c r="N216" s="7" t="s">
        <v>699</v>
      </c>
      <c r="O216" s="7" t="s">
        <v>700</v>
      </c>
      <c r="P216" s="7" t="s">
        <v>701</v>
      </c>
      <c r="Q216" s="7" t="s">
        <v>702</v>
      </c>
      <c r="R216" s="7" t="s">
        <v>703</v>
      </c>
      <c r="S216" s="7" t="s">
        <v>704</v>
      </c>
      <c r="T216" s="7" t="s">
        <v>705</v>
      </c>
      <c r="U216" s="7" t="s">
        <v>706</v>
      </c>
      <c r="V216" s="7" t="s">
        <v>707</v>
      </c>
      <c r="W216" s="7" t="s">
        <v>708</v>
      </c>
      <c r="X216" s="7" t="s">
        <v>709</v>
      </c>
      <c r="Y216" s="7" t="s">
        <v>710</v>
      </c>
      <c r="Z216" s="7" t="s">
        <v>711</v>
      </c>
      <c r="AA216" s="7" t="s">
        <v>712</v>
      </c>
      <c r="AB216" s="7" t="s">
        <v>694</v>
      </c>
      <c r="AC216" s="7" t="s">
        <v>713</v>
      </c>
      <c r="AD216" s="7" t="s">
        <v>714</v>
      </c>
      <c r="AE216" s="7" t="s">
        <v>715</v>
      </c>
      <c r="AF216" s="7" t="s">
        <v>716</v>
      </c>
      <c r="AG216" s="7" t="s">
        <v>688</v>
      </c>
      <c r="AH216" s="7" t="s">
        <v>689</v>
      </c>
      <c r="AI216" s="7" t="s">
        <v>747</v>
      </c>
      <c r="AJ216" s="7" t="s">
        <v>696</v>
      </c>
      <c r="AK216" s="7" t="s">
        <v>773</v>
      </c>
      <c r="AL216" s="7" t="s">
        <v>940</v>
      </c>
      <c r="AM216" s="7" t="s">
        <v>941</v>
      </c>
      <c r="AN216" s="7" t="s">
        <v>942</v>
      </c>
      <c r="AO216" s="7" t="s">
        <v>695</v>
      </c>
      <c r="AP216" s="7" t="s">
        <v>694</v>
      </c>
      <c r="AQ216" s="7" t="s">
        <v>917</v>
      </c>
      <c r="AR216" s="7" t="s">
        <v>1226</v>
      </c>
      <c r="AS216" s="7" t="s">
        <v>1227</v>
      </c>
      <c r="AT216" s="7" t="s">
        <v>920</v>
      </c>
      <c r="AU216" s="7" t="s">
        <v>921</v>
      </c>
      <c r="AV216" s="7" t="s">
        <v>922</v>
      </c>
      <c r="AW216" s="7" t="s">
        <v>923</v>
      </c>
      <c r="AX216" s="7" t="s">
        <v>1228</v>
      </c>
      <c r="AY216" s="7" t="s">
        <v>925</v>
      </c>
      <c r="AZ216" s="7" t="s">
        <v>1246</v>
      </c>
      <c r="BA216" s="7" t="s">
        <v>1247</v>
      </c>
      <c r="BB216" s="7" t="s">
        <v>1230</v>
      </c>
      <c r="BC216" s="7" t="s">
        <v>1248</v>
      </c>
      <c r="BD216" s="7" t="s">
        <v>1233</v>
      </c>
      <c r="BE216" s="7" t="s">
        <v>1249</v>
      </c>
      <c r="BF216" s="7" t="s">
        <v>1235</v>
      </c>
      <c r="BG216" s="7" t="s">
        <v>1250</v>
      </c>
      <c r="BH216" s="7" t="s">
        <v>1251</v>
      </c>
      <c r="BI216" s="7" t="s">
        <v>1238</v>
      </c>
    </row>
    <row r="217" spans="1:61" ht="78" customHeight="1" x14ac:dyDescent="0.4">
      <c r="A217" s="67" t="s">
        <v>403</v>
      </c>
      <c r="B217" t="e">
        <f>_xlfn.XLOOKUP(A217,'Product info'!A:A,'Product info'!C:C,,2)</f>
        <v>#N/A</v>
      </c>
      <c r="C217" s="69" t="s">
        <v>688</v>
      </c>
      <c r="D217" s="7" t="s">
        <v>689</v>
      </c>
      <c r="E217" s="7" t="s">
        <v>690</v>
      </c>
      <c r="F217" s="7" t="s">
        <v>691</v>
      </c>
      <c r="G217" s="7" t="s">
        <v>692</v>
      </c>
      <c r="H217" s="7" t="s">
        <v>693</v>
      </c>
      <c r="I217" s="7" t="s">
        <v>694</v>
      </c>
      <c r="J217" s="7" t="s">
        <v>695</v>
      </c>
      <c r="K217" s="7" t="s">
        <v>696</v>
      </c>
      <c r="L217" s="7" t="s">
        <v>697</v>
      </c>
      <c r="M217" s="7" t="s">
        <v>698</v>
      </c>
      <c r="N217" s="7" t="s">
        <v>699</v>
      </c>
      <c r="O217" s="7" t="s">
        <v>700</v>
      </c>
      <c r="P217" s="7" t="s">
        <v>701</v>
      </c>
      <c r="Q217" s="7" t="s">
        <v>702</v>
      </c>
      <c r="R217" s="7" t="s">
        <v>703</v>
      </c>
      <c r="S217" s="7" t="s">
        <v>704</v>
      </c>
      <c r="T217" s="7" t="s">
        <v>705</v>
      </c>
      <c r="U217" s="7" t="s">
        <v>706</v>
      </c>
      <c r="V217" s="7" t="s">
        <v>707</v>
      </c>
      <c r="W217" s="7" t="s">
        <v>708</v>
      </c>
      <c r="X217" s="7" t="s">
        <v>709</v>
      </c>
      <c r="Y217" s="7" t="s">
        <v>710</v>
      </c>
      <c r="Z217" s="7" t="s">
        <v>711</v>
      </c>
      <c r="AA217" s="7" t="s">
        <v>712</v>
      </c>
      <c r="AB217" s="7" t="s">
        <v>694</v>
      </c>
      <c r="AC217" s="7" t="s">
        <v>713</v>
      </c>
      <c r="AD217" s="7" t="s">
        <v>714</v>
      </c>
      <c r="AE217" s="7" t="s">
        <v>715</v>
      </c>
      <c r="AF217" s="7" t="s">
        <v>716</v>
      </c>
      <c r="AG217" s="7" t="s">
        <v>688</v>
      </c>
      <c r="AH217" s="7" t="s">
        <v>689</v>
      </c>
      <c r="AI217" s="7" t="s">
        <v>747</v>
      </c>
      <c r="AJ217" s="7" t="s">
        <v>696</v>
      </c>
      <c r="AK217" s="7" t="s">
        <v>773</v>
      </c>
      <c r="AL217" s="7" t="s">
        <v>940</v>
      </c>
      <c r="AM217" s="7" t="s">
        <v>941</v>
      </c>
      <c r="AN217" s="7" t="s">
        <v>942</v>
      </c>
      <c r="AO217" s="7" t="s">
        <v>1252</v>
      </c>
      <c r="AP217" s="7" t="s">
        <v>1253</v>
      </c>
      <c r="AQ217" s="7" t="s">
        <v>1254</v>
      </c>
      <c r="AR217" s="7" t="s">
        <v>1255</v>
      </c>
      <c r="AS217" s="7" t="s">
        <v>1256</v>
      </c>
      <c r="AT217" s="7" t="s">
        <v>1257</v>
      </c>
      <c r="AU217" s="7" t="s">
        <v>1258</v>
      </c>
      <c r="AV217" s="7" t="s">
        <v>1259</v>
      </c>
      <c r="AW217" s="7" t="s">
        <v>1260</v>
      </c>
      <c r="AX217" s="7" t="s">
        <v>1261</v>
      </c>
      <c r="AY217" s="7" t="s">
        <v>1262</v>
      </c>
      <c r="AZ217" s="7" t="s">
        <v>1263</v>
      </c>
    </row>
    <row r="218" spans="1:61" ht="78" customHeight="1" x14ac:dyDescent="0.4">
      <c r="A218" s="67" t="s">
        <v>406</v>
      </c>
      <c r="B218" t="e">
        <f>_xlfn.XLOOKUP(A218,'Product info'!A:A,'Product info'!C:C,,2)</f>
        <v>#N/A</v>
      </c>
      <c r="C218" s="69" t="s">
        <v>688</v>
      </c>
      <c r="D218" s="7" t="s">
        <v>689</v>
      </c>
      <c r="E218" s="7" t="s">
        <v>690</v>
      </c>
      <c r="F218" s="7" t="s">
        <v>691</v>
      </c>
      <c r="G218" s="7" t="s">
        <v>692</v>
      </c>
      <c r="H218" s="7" t="s">
        <v>693</v>
      </c>
      <c r="I218" s="7" t="s">
        <v>694</v>
      </c>
      <c r="J218" s="7" t="s">
        <v>695</v>
      </c>
      <c r="K218" s="7" t="s">
        <v>696</v>
      </c>
      <c r="L218" s="7" t="s">
        <v>697</v>
      </c>
      <c r="M218" s="7" t="s">
        <v>698</v>
      </c>
      <c r="N218" s="7" t="s">
        <v>699</v>
      </c>
      <c r="O218" s="7" t="s">
        <v>700</v>
      </c>
      <c r="P218" s="7" t="s">
        <v>701</v>
      </c>
      <c r="Q218" s="7" t="s">
        <v>702</v>
      </c>
      <c r="R218" s="7" t="s">
        <v>703</v>
      </c>
      <c r="S218" s="7" t="s">
        <v>704</v>
      </c>
      <c r="T218" s="7" t="s">
        <v>705</v>
      </c>
      <c r="U218" s="7" t="s">
        <v>706</v>
      </c>
      <c r="V218" s="7" t="s">
        <v>707</v>
      </c>
      <c r="W218" s="7" t="s">
        <v>708</v>
      </c>
      <c r="X218" s="7" t="s">
        <v>709</v>
      </c>
      <c r="Y218" s="7" t="s">
        <v>710</v>
      </c>
      <c r="Z218" s="7" t="s">
        <v>711</v>
      </c>
      <c r="AA218" s="7" t="s">
        <v>712</v>
      </c>
      <c r="AB218" s="7" t="s">
        <v>694</v>
      </c>
      <c r="AC218" s="7" t="s">
        <v>713</v>
      </c>
      <c r="AD218" s="7" t="s">
        <v>714</v>
      </c>
      <c r="AE218" s="7" t="s">
        <v>715</v>
      </c>
      <c r="AF218" s="7" t="s">
        <v>716</v>
      </c>
      <c r="AG218" s="7" t="s">
        <v>688</v>
      </c>
      <c r="AH218" s="7" t="s">
        <v>689</v>
      </c>
      <c r="AI218" s="7" t="s">
        <v>747</v>
      </c>
      <c r="AJ218" s="7" t="s">
        <v>696</v>
      </c>
      <c r="AK218" s="7" t="s">
        <v>773</v>
      </c>
      <c r="AL218" s="7" t="s">
        <v>940</v>
      </c>
      <c r="AM218" s="7" t="s">
        <v>941</v>
      </c>
      <c r="AN218" s="7" t="s">
        <v>942</v>
      </c>
      <c r="AO218" s="7" t="s">
        <v>1252</v>
      </c>
      <c r="AP218" s="7" t="s">
        <v>1253</v>
      </c>
      <c r="AQ218" s="7" t="s">
        <v>1254</v>
      </c>
      <c r="AR218" s="7" t="s">
        <v>1264</v>
      </c>
      <c r="AS218" s="7" t="s">
        <v>1256</v>
      </c>
      <c r="AT218" s="7" t="s">
        <v>1257</v>
      </c>
      <c r="AU218" s="7" t="s">
        <v>1258</v>
      </c>
      <c r="AV218" s="7" t="s">
        <v>1259</v>
      </c>
      <c r="AW218" s="7" t="s">
        <v>1260</v>
      </c>
      <c r="AX218" s="7" t="s">
        <v>1265</v>
      </c>
      <c r="AY218" s="7" t="s">
        <v>1262</v>
      </c>
      <c r="AZ218" s="7" t="s">
        <v>1266</v>
      </c>
      <c r="BA218" s="7" t="s">
        <v>1267</v>
      </c>
    </row>
    <row r="219" spans="1:61" ht="78" customHeight="1" x14ac:dyDescent="0.4">
      <c r="A219" s="67" t="s">
        <v>405</v>
      </c>
      <c r="B219" t="e">
        <f>_xlfn.XLOOKUP(A219,'Product info'!A:A,'Product info'!C:C,,2)</f>
        <v>#N/A</v>
      </c>
      <c r="C219" s="69" t="s">
        <v>688</v>
      </c>
      <c r="D219" s="7" t="s">
        <v>689</v>
      </c>
      <c r="E219" s="7" t="s">
        <v>690</v>
      </c>
      <c r="F219" s="7" t="s">
        <v>691</v>
      </c>
      <c r="G219" s="7" t="s">
        <v>692</v>
      </c>
      <c r="H219" s="7" t="s">
        <v>693</v>
      </c>
      <c r="I219" s="7" t="s">
        <v>694</v>
      </c>
      <c r="J219" s="7" t="s">
        <v>695</v>
      </c>
      <c r="K219" s="7" t="s">
        <v>696</v>
      </c>
      <c r="L219" s="7" t="s">
        <v>697</v>
      </c>
      <c r="M219" s="7" t="s">
        <v>698</v>
      </c>
      <c r="N219" s="7" t="s">
        <v>699</v>
      </c>
      <c r="O219" s="7" t="s">
        <v>700</v>
      </c>
      <c r="P219" s="7" t="s">
        <v>701</v>
      </c>
      <c r="Q219" s="7" t="s">
        <v>702</v>
      </c>
      <c r="R219" s="7" t="s">
        <v>703</v>
      </c>
      <c r="S219" s="7" t="s">
        <v>704</v>
      </c>
      <c r="T219" s="7" t="s">
        <v>705</v>
      </c>
      <c r="U219" s="7" t="s">
        <v>706</v>
      </c>
      <c r="V219" s="7" t="s">
        <v>707</v>
      </c>
      <c r="W219" s="7" t="s">
        <v>708</v>
      </c>
      <c r="X219" s="7" t="s">
        <v>709</v>
      </c>
      <c r="Y219" s="7" t="s">
        <v>710</v>
      </c>
      <c r="Z219" s="7" t="s">
        <v>711</v>
      </c>
      <c r="AA219" s="7" t="s">
        <v>712</v>
      </c>
      <c r="AB219" s="7" t="s">
        <v>694</v>
      </c>
      <c r="AC219" s="7" t="s">
        <v>713</v>
      </c>
      <c r="AD219" s="7" t="s">
        <v>714</v>
      </c>
      <c r="AE219" s="7" t="s">
        <v>715</v>
      </c>
      <c r="AF219" s="7" t="s">
        <v>716</v>
      </c>
      <c r="AG219" s="7" t="s">
        <v>688</v>
      </c>
      <c r="AH219" s="7" t="s">
        <v>689</v>
      </c>
      <c r="AI219" s="7" t="s">
        <v>747</v>
      </c>
      <c r="AJ219" s="7" t="s">
        <v>696</v>
      </c>
      <c r="AK219" s="7" t="s">
        <v>773</v>
      </c>
      <c r="AL219" s="7" t="s">
        <v>940</v>
      </c>
      <c r="AM219" s="7" t="s">
        <v>941</v>
      </c>
      <c r="AN219" s="7" t="s">
        <v>942</v>
      </c>
      <c r="AO219" s="7" t="s">
        <v>1252</v>
      </c>
      <c r="AP219" s="7" t="s">
        <v>1253</v>
      </c>
      <c r="AQ219" s="7" t="s">
        <v>1254</v>
      </c>
      <c r="AR219" s="7" t="s">
        <v>1255</v>
      </c>
      <c r="AS219" s="7" t="s">
        <v>1256</v>
      </c>
      <c r="AT219" s="7" t="s">
        <v>1257</v>
      </c>
      <c r="AU219" s="7" t="s">
        <v>1258</v>
      </c>
      <c r="AV219" s="7" t="s">
        <v>1259</v>
      </c>
      <c r="AW219" s="7" t="s">
        <v>1260</v>
      </c>
      <c r="AX219" s="7" t="s">
        <v>1265</v>
      </c>
      <c r="AY219" s="7" t="s">
        <v>1262</v>
      </c>
      <c r="AZ219" s="7" t="s">
        <v>1266</v>
      </c>
    </row>
    <row r="220" spans="1:61" ht="78" customHeight="1" x14ac:dyDescent="0.4">
      <c r="A220" s="67" t="s">
        <v>404</v>
      </c>
      <c r="B220" t="e">
        <f>_xlfn.XLOOKUP(A220,'Product info'!A:A,'Product info'!C:C,,2)</f>
        <v>#N/A</v>
      </c>
      <c r="C220" s="69" t="s">
        <v>688</v>
      </c>
      <c r="D220" s="7" t="s">
        <v>689</v>
      </c>
      <c r="E220" s="7" t="s">
        <v>690</v>
      </c>
      <c r="F220" s="7" t="s">
        <v>691</v>
      </c>
      <c r="G220" s="7" t="s">
        <v>692</v>
      </c>
      <c r="H220" s="7" t="s">
        <v>693</v>
      </c>
      <c r="I220" s="7" t="s">
        <v>694</v>
      </c>
      <c r="J220" s="7" t="s">
        <v>695</v>
      </c>
      <c r="K220" s="7" t="s">
        <v>696</v>
      </c>
      <c r="L220" s="7" t="s">
        <v>697</v>
      </c>
      <c r="M220" s="7" t="s">
        <v>698</v>
      </c>
      <c r="N220" s="7" t="s">
        <v>699</v>
      </c>
      <c r="O220" s="7" t="s">
        <v>700</v>
      </c>
      <c r="P220" s="7" t="s">
        <v>701</v>
      </c>
      <c r="Q220" s="7" t="s">
        <v>702</v>
      </c>
      <c r="R220" s="7" t="s">
        <v>703</v>
      </c>
      <c r="S220" s="7" t="s">
        <v>704</v>
      </c>
      <c r="T220" s="7" t="s">
        <v>705</v>
      </c>
      <c r="U220" s="7" t="s">
        <v>706</v>
      </c>
      <c r="V220" s="7" t="s">
        <v>707</v>
      </c>
      <c r="W220" s="7" t="s">
        <v>708</v>
      </c>
      <c r="X220" s="7" t="s">
        <v>709</v>
      </c>
      <c r="Y220" s="7" t="s">
        <v>710</v>
      </c>
      <c r="Z220" s="7" t="s">
        <v>711</v>
      </c>
      <c r="AA220" s="7" t="s">
        <v>712</v>
      </c>
      <c r="AB220" s="7" t="s">
        <v>694</v>
      </c>
      <c r="AC220" s="7" t="s">
        <v>713</v>
      </c>
      <c r="AD220" s="7" t="s">
        <v>714</v>
      </c>
      <c r="AE220" s="7" t="s">
        <v>715</v>
      </c>
      <c r="AF220" s="7" t="s">
        <v>716</v>
      </c>
      <c r="AG220" s="7" t="s">
        <v>688</v>
      </c>
      <c r="AH220" s="7" t="s">
        <v>689</v>
      </c>
      <c r="AI220" s="7" t="s">
        <v>747</v>
      </c>
      <c r="AJ220" s="7" t="s">
        <v>696</v>
      </c>
      <c r="AK220" s="7" t="s">
        <v>773</v>
      </c>
      <c r="AL220" s="7" t="s">
        <v>940</v>
      </c>
      <c r="AM220" s="7" t="s">
        <v>941</v>
      </c>
      <c r="AN220" s="7" t="s">
        <v>942</v>
      </c>
      <c r="AO220" s="7" t="s">
        <v>1252</v>
      </c>
      <c r="AP220" s="7" t="s">
        <v>1253</v>
      </c>
      <c r="AQ220" s="7" t="s">
        <v>1254</v>
      </c>
      <c r="AR220" s="7" t="s">
        <v>1255</v>
      </c>
      <c r="AS220" s="7" t="s">
        <v>1256</v>
      </c>
      <c r="AT220" s="7" t="s">
        <v>1257</v>
      </c>
      <c r="AU220" s="7" t="s">
        <v>1258</v>
      </c>
      <c r="AV220" s="7" t="s">
        <v>1259</v>
      </c>
      <c r="AW220" s="7" t="s">
        <v>1260</v>
      </c>
      <c r="AX220" s="7" t="s">
        <v>1261</v>
      </c>
      <c r="AY220" s="7" t="s">
        <v>1262</v>
      </c>
      <c r="AZ220" s="7" t="s">
        <v>1263</v>
      </c>
    </row>
    <row r="221" spans="1:61" ht="78" customHeight="1" x14ac:dyDescent="0.4">
      <c r="A221" s="67" t="s">
        <v>418</v>
      </c>
      <c r="B221" t="e">
        <f>_xlfn.XLOOKUP(A221,'Product info'!A:A,'Product info'!C:C,,2)</f>
        <v>#N/A</v>
      </c>
      <c r="C221" s="69" t="s">
        <v>688</v>
      </c>
      <c r="D221" s="7" t="s">
        <v>689</v>
      </c>
      <c r="E221" s="7" t="s">
        <v>690</v>
      </c>
      <c r="F221" s="7" t="s">
        <v>691</v>
      </c>
      <c r="G221" s="7" t="s">
        <v>692</v>
      </c>
      <c r="H221" s="7" t="s">
        <v>693</v>
      </c>
      <c r="I221" s="7" t="s">
        <v>694</v>
      </c>
      <c r="J221" s="7" t="s">
        <v>695</v>
      </c>
      <c r="K221" s="7" t="s">
        <v>696</v>
      </c>
      <c r="L221" s="7" t="s">
        <v>697</v>
      </c>
      <c r="M221" s="7" t="s">
        <v>698</v>
      </c>
      <c r="N221" s="7" t="s">
        <v>699</v>
      </c>
      <c r="O221" s="7" t="s">
        <v>700</v>
      </c>
      <c r="P221" s="7" t="s">
        <v>701</v>
      </c>
      <c r="Q221" s="7" t="s">
        <v>702</v>
      </c>
      <c r="R221" s="7" t="s">
        <v>703</v>
      </c>
      <c r="S221" s="7" t="s">
        <v>704</v>
      </c>
      <c r="T221" s="7" t="s">
        <v>705</v>
      </c>
      <c r="U221" s="7" t="s">
        <v>706</v>
      </c>
      <c r="V221" s="7" t="s">
        <v>707</v>
      </c>
      <c r="W221" s="7" t="s">
        <v>708</v>
      </c>
      <c r="X221" s="7" t="s">
        <v>709</v>
      </c>
      <c r="Y221" s="7" t="s">
        <v>710</v>
      </c>
      <c r="Z221" s="7" t="s">
        <v>711</v>
      </c>
      <c r="AA221" s="7" t="s">
        <v>712</v>
      </c>
      <c r="AB221" s="7" t="s">
        <v>694</v>
      </c>
      <c r="AC221" s="7" t="s">
        <v>713</v>
      </c>
      <c r="AD221" s="7" t="s">
        <v>714</v>
      </c>
      <c r="AE221" s="7" t="s">
        <v>715</v>
      </c>
      <c r="AF221" s="7" t="s">
        <v>716</v>
      </c>
      <c r="AG221" s="7" t="s">
        <v>1268</v>
      </c>
      <c r="AH221" s="7" t="s">
        <v>1269</v>
      </c>
      <c r="AI221" s="7" t="s">
        <v>1270</v>
      </c>
      <c r="AJ221" s="7" t="s">
        <v>1271</v>
      </c>
      <c r="AK221" s="7" t="s">
        <v>1272</v>
      </c>
      <c r="AL221" s="7" t="s">
        <v>1273</v>
      </c>
      <c r="AM221" s="7" t="s">
        <v>1274</v>
      </c>
      <c r="AN221" s="7" t="s">
        <v>1275</v>
      </c>
      <c r="AO221" s="7" t="s">
        <v>1276</v>
      </c>
    </row>
    <row r="222" spans="1:61" ht="78" customHeight="1" x14ac:dyDescent="0.4">
      <c r="A222" s="67" t="s">
        <v>412</v>
      </c>
      <c r="B222" t="e">
        <f>_xlfn.XLOOKUP(A222,'Product info'!A:A,'Product info'!C:C,,2)</f>
        <v>#N/A</v>
      </c>
      <c r="C222" s="69" t="s">
        <v>688</v>
      </c>
      <c r="D222" s="7" t="s">
        <v>689</v>
      </c>
      <c r="E222" s="7" t="s">
        <v>690</v>
      </c>
      <c r="F222" s="7" t="s">
        <v>691</v>
      </c>
      <c r="G222" s="7" t="s">
        <v>692</v>
      </c>
      <c r="H222" s="7" t="s">
        <v>693</v>
      </c>
      <c r="I222" s="7" t="s">
        <v>694</v>
      </c>
      <c r="J222" s="7" t="s">
        <v>695</v>
      </c>
      <c r="K222" s="7" t="s">
        <v>696</v>
      </c>
      <c r="L222" s="7" t="s">
        <v>697</v>
      </c>
      <c r="M222" s="7" t="s">
        <v>698</v>
      </c>
      <c r="N222" s="7" t="s">
        <v>699</v>
      </c>
      <c r="O222" s="7" t="s">
        <v>700</v>
      </c>
      <c r="P222" s="7" t="s">
        <v>701</v>
      </c>
      <c r="Q222" s="7" t="s">
        <v>702</v>
      </c>
      <c r="R222" s="7" t="s">
        <v>703</v>
      </c>
      <c r="S222" s="7" t="s">
        <v>704</v>
      </c>
      <c r="T222" s="7" t="s">
        <v>705</v>
      </c>
      <c r="U222" s="7" t="s">
        <v>706</v>
      </c>
      <c r="V222" s="7" t="s">
        <v>707</v>
      </c>
      <c r="W222" s="7" t="s">
        <v>708</v>
      </c>
      <c r="X222" s="7" t="s">
        <v>709</v>
      </c>
      <c r="Y222" s="7" t="s">
        <v>710</v>
      </c>
      <c r="Z222" s="7" t="s">
        <v>711</v>
      </c>
      <c r="AA222" s="7" t="s">
        <v>712</v>
      </c>
      <c r="AB222" s="7" t="s">
        <v>694</v>
      </c>
      <c r="AC222" s="7" t="s">
        <v>713</v>
      </c>
      <c r="AD222" s="7" t="s">
        <v>714</v>
      </c>
      <c r="AE222" s="7" t="s">
        <v>715</v>
      </c>
      <c r="AF222" s="7" t="s">
        <v>716</v>
      </c>
      <c r="AG222" s="7" t="s">
        <v>1268</v>
      </c>
      <c r="AH222" s="7" t="s">
        <v>1269</v>
      </c>
      <c r="AI222" s="7" t="s">
        <v>1270</v>
      </c>
      <c r="AJ222" s="7" t="s">
        <v>1271</v>
      </c>
      <c r="AK222" s="7" t="s">
        <v>1272</v>
      </c>
      <c r="AL222" s="7" t="s">
        <v>1273</v>
      </c>
      <c r="AM222" s="7" t="s">
        <v>1274</v>
      </c>
      <c r="AN222" s="7" t="s">
        <v>1275</v>
      </c>
      <c r="AO222" s="7" t="s">
        <v>1276</v>
      </c>
    </row>
    <row r="223" spans="1:61" ht="78" customHeight="1" x14ac:dyDescent="0.4">
      <c r="A223" s="67" t="s">
        <v>419</v>
      </c>
      <c r="B223" t="e">
        <f>_xlfn.XLOOKUP(A223,'Product info'!A:A,'Product info'!C:C,,2)</f>
        <v>#N/A</v>
      </c>
      <c r="C223" s="69" t="s">
        <v>688</v>
      </c>
      <c r="D223" s="7" t="s">
        <v>689</v>
      </c>
      <c r="E223" s="7" t="s">
        <v>690</v>
      </c>
      <c r="F223" s="7" t="s">
        <v>691</v>
      </c>
      <c r="G223" s="7" t="s">
        <v>692</v>
      </c>
      <c r="H223" s="7" t="s">
        <v>693</v>
      </c>
      <c r="I223" s="7" t="s">
        <v>694</v>
      </c>
      <c r="J223" s="7" t="s">
        <v>695</v>
      </c>
      <c r="K223" s="7" t="s">
        <v>696</v>
      </c>
      <c r="L223" s="7" t="s">
        <v>697</v>
      </c>
      <c r="M223" s="7" t="s">
        <v>698</v>
      </c>
      <c r="N223" s="7" t="s">
        <v>699</v>
      </c>
      <c r="O223" s="7" t="s">
        <v>700</v>
      </c>
      <c r="P223" s="7" t="s">
        <v>701</v>
      </c>
      <c r="Q223" s="7" t="s">
        <v>702</v>
      </c>
      <c r="R223" s="7" t="s">
        <v>703</v>
      </c>
      <c r="S223" s="7" t="s">
        <v>704</v>
      </c>
      <c r="T223" s="7" t="s">
        <v>705</v>
      </c>
      <c r="U223" s="7" t="s">
        <v>706</v>
      </c>
      <c r="V223" s="7" t="s">
        <v>707</v>
      </c>
      <c r="W223" s="7" t="s">
        <v>708</v>
      </c>
      <c r="X223" s="7" t="s">
        <v>709</v>
      </c>
      <c r="Y223" s="7" t="s">
        <v>710</v>
      </c>
      <c r="Z223" s="7" t="s">
        <v>711</v>
      </c>
      <c r="AA223" s="7" t="s">
        <v>712</v>
      </c>
      <c r="AB223" s="7" t="s">
        <v>694</v>
      </c>
      <c r="AC223" s="7" t="s">
        <v>713</v>
      </c>
      <c r="AD223" s="7" t="s">
        <v>714</v>
      </c>
      <c r="AE223" s="7" t="s">
        <v>715</v>
      </c>
      <c r="AF223" s="7" t="s">
        <v>716</v>
      </c>
      <c r="AG223" s="7" t="s">
        <v>1268</v>
      </c>
      <c r="AH223" s="7" t="s">
        <v>1269</v>
      </c>
      <c r="AI223" s="7" t="s">
        <v>1270</v>
      </c>
      <c r="AJ223" s="7" t="s">
        <v>1271</v>
      </c>
      <c r="AK223" s="7" t="s">
        <v>1272</v>
      </c>
      <c r="AL223" s="7" t="s">
        <v>1273</v>
      </c>
      <c r="AM223" s="7" t="s">
        <v>1274</v>
      </c>
      <c r="AN223" s="7" t="s">
        <v>1275</v>
      </c>
      <c r="AO223" s="7" t="s">
        <v>1276</v>
      </c>
    </row>
    <row r="224" spans="1:61" ht="78" customHeight="1" x14ac:dyDescent="0.4">
      <c r="A224" s="67" t="s">
        <v>410</v>
      </c>
      <c r="B224" t="e">
        <f>_xlfn.XLOOKUP(A224,'Product info'!A:A,'Product info'!C:C,,2)</f>
        <v>#N/A</v>
      </c>
      <c r="C224" s="69" t="s">
        <v>688</v>
      </c>
      <c r="D224" s="7" t="s">
        <v>689</v>
      </c>
      <c r="E224" s="7" t="s">
        <v>690</v>
      </c>
      <c r="F224" s="7" t="s">
        <v>691</v>
      </c>
      <c r="G224" s="7" t="s">
        <v>692</v>
      </c>
      <c r="H224" s="7" t="s">
        <v>693</v>
      </c>
      <c r="I224" s="7" t="s">
        <v>694</v>
      </c>
      <c r="J224" s="7" t="s">
        <v>695</v>
      </c>
      <c r="K224" s="7" t="s">
        <v>696</v>
      </c>
      <c r="L224" s="7" t="s">
        <v>697</v>
      </c>
      <c r="M224" s="7" t="s">
        <v>698</v>
      </c>
      <c r="N224" s="7" t="s">
        <v>699</v>
      </c>
      <c r="O224" s="7" t="s">
        <v>700</v>
      </c>
      <c r="P224" s="7" t="s">
        <v>701</v>
      </c>
      <c r="Q224" s="7" t="s">
        <v>702</v>
      </c>
      <c r="R224" s="7" t="s">
        <v>703</v>
      </c>
      <c r="S224" s="7" t="s">
        <v>704</v>
      </c>
      <c r="T224" s="7" t="s">
        <v>705</v>
      </c>
      <c r="U224" s="7" t="s">
        <v>706</v>
      </c>
      <c r="V224" s="7" t="s">
        <v>707</v>
      </c>
      <c r="W224" s="7" t="s">
        <v>708</v>
      </c>
      <c r="X224" s="7" t="s">
        <v>709</v>
      </c>
      <c r="Y224" s="7" t="s">
        <v>710</v>
      </c>
      <c r="Z224" s="7" t="s">
        <v>711</v>
      </c>
      <c r="AA224" s="7" t="s">
        <v>712</v>
      </c>
      <c r="AB224" s="7" t="s">
        <v>694</v>
      </c>
      <c r="AC224" s="7" t="s">
        <v>713</v>
      </c>
      <c r="AD224" s="7" t="s">
        <v>714</v>
      </c>
      <c r="AE224" s="7" t="s">
        <v>715</v>
      </c>
      <c r="AF224" s="7" t="s">
        <v>716</v>
      </c>
      <c r="AG224" s="7" t="s">
        <v>1268</v>
      </c>
      <c r="AH224" s="7" t="s">
        <v>1269</v>
      </c>
      <c r="AI224" s="7" t="s">
        <v>1270</v>
      </c>
      <c r="AJ224" s="7" t="s">
        <v>1271</v>
      </c>
      <c r="AK224" s="7" t="s">
        <v>1272</v>
      </c>
      <c r="AL224" s="7" t="s">
        <v>1273</v>
      </c>
      <c r="AM224" s="7" t="s">
        <v>1274</v>
      </c>
      <c r="AN224" s="7" t="s">
        <v>1275</v>
      </c>
      <c r="AO224" s="7" t="s">
        <v>1276</v>
      </c>
    </row>
    <row r="225" spans="1:61" ht="78" customHeight="1" x14ac:dyDescent="0.4">
      <c r="A225" s="67" t="s">
        <v>409</v>
      </c>
      <c r="B225" t="e">
        <f>_xlfn.XLOOKUP(A225,'Product info'!A:A,'Product info'!C:C,,2)</f>
        <v>#N/A</v>
      </c>
      <c r="C225" s="69" t="s">
        <v>688</v>
      </c>
      <c r="D225" s="7" t="s">
        <v>689</v>
      </c>
      <c r="E225" s="7" t="s">
        <v>690</v>
      </c>
      <c r="F225" s="7" t="s">
        <v>691</v>
      </c>
      <c r="G225" s="7" t="s">
        <v>692</v>
      </c>
      <c r="H225" s="7" t="s">
        <v>693</v>
      </c>
      <c r="I225" s="7" t="s">
        <v>694</v>
      </c>
      <c r="J225" s="7" t="s">
        <v>695</v>
      </c>
      <c r="K225" s="7" t="s">
        <v>696</v>
      </c>
      <c r="L225" s="7" t="s">
        <v>697</v>
      </c>
      <c r="M225" s="7" t="s">
        <v>698</v>
      </c>
      <c r="N225" s="7" t="s">
        <v>699</v>
      </c>
      <c r="O225" s="7" t="s">
        <v>700</v>
      </c>
      <c r="P225" s="7" t="s">
        <v>701</v>
      </c>
      <c r="Q225" s="7" t="s">
        <v>702</v>
      </c>
      <c r="R225" s="7" t="s">
        <v>703</v>
      </c>
      <c r="S225" s="7" t="s">
        <v>704</v>
      </c>
      <c r="T225" s="7" t="s">
        <v>705</v>
      </c>
      <c r="U225" s="7" t="s">
        <v>706</v>
      </c>
      <c r="V225" s="7" t="s">
        <v>707</v>
      </c>
      <c r="W225" s="7" t="s">
        <v>708</v>
      </c>
      <c r="X225" s="7" t="s">
        <v>709</v>
      </c>
      <c r="Y225" s="7" t="s">
        <v>710</v>
      </c>
      <c r="Z225" s="7" t="s">
        <v>711</v>
      </c>
      <c r="AA225" s="7" t="s">
        <v>712</v>
      </c>
      <c r="AB225" s="7" t="s">
        <v>694</v>
      </c>
      <c r="AC225" s="7" t="s">
        <v>713</v>
      </c>
      <c r="AD225" s="7" t="s">
        <v>714</v>
      </c>
      <c r="AE225" s="7" t="s">
        <v>715</v>
      </c>
      <c r="AF225" s="7" t="s">
        <v>716</v>
      </c>
      <c r="AG225" s="7" t="s">
        <v>1268</v>
      </c>
      <c r="AH225" s="7" t="s">
        <v>1269</v>
      </c>
      <c r="AI225" s="7" t="s">
        <v>1270</v>
      </c>
      <c r="AJ225" s="7" t="s">
        <v>1271</v>
      </c>
      <c r="AK225" s="7" t="s">
        <v>1272</v>
      </c>
      <c r="AL225" s="7" t="s">
        <v>1273</v>
      </c>
      <c r="AM225" s="7" t="s">
        <v>1274</v>
      </c>
      <c r="AN225" s="7" t="s">
        <v>1275</v>
      </c>
      <c r="AO225" s="7" t="s">
        <v>1276</v>
      </c>
    </row>
    <row r="226" spans="1:61" ht="78" customHeight="1" x14ac:dyDescent="0.4">
      <c r="A226" s="67" t="s">
        <v>411</v>
      </c>
      <c r="B226" t="e">
        <f>_xlfn.XLOOKUP(A226,'Product info'!A:A,'Product info'!C:C,,2)</f>
        <v>#N/A</v>
      </c>
      <c r="C226" s="69" t="s">
        <v>688</v>
      </c>
      <c r="D226" s="7" t="s">
        <v>689</v>
      </c>
      <c r="E226" s="7" t="s">
        <v>690</v>
      </c>
      <c r="F226" s="7" t="s">
        <v>691</v>
      </c>
      <c r="G226" s="7" t="s">
        <v>692</v>
      </c>
      <c r="H226" s="7" t="s">
        <v>693</v>
      </c>
      <c r="I226" s="7" t="s">
        <v>694</v>
      </c>
      <c r="J226" s="7" t="s">
        <v>695</v>
      </c>
      <c r="K226" s="7" t="s">
        <v>696</v>
      </c>
      <c r="L226" s="7" t="s">
        <v>697</v>
      </c>
      <c r="M226" s="7" t="s">
        <v>698</v>
      </c>
      <c r="N226" s="7" t="s">
        <v>699</v>
      </c>
      <c r="O226" s="7" t="s">
        <v>700</v>
      </c>
      <c r="P226" s="7" t="s">
        <v>701</v>
      </c>
      <c r="Q226" s="7" t="s">
        <v>702</v>
      </c>
      <c r="R226" s="7" t="s">
        <v>703</v>
      </c>
      <c r="S226" s="7" t="s">
        <v>704</v>
      </c>
      <c r="T226" s="7" t="s">
        <v>705</v>
      </c>
      <c r="U226" s="7" t="s">
        <v>706</v>
      </c>
      <c r="V226" s="7" t="s">
        <v>707</v>
      </c>
      <c r="W226" s="7" t="s">
        <v>708</v>
      </c>
      <c r="X226" s="7" t="s">
        <v>709</v>
      </c>
      <c r="Y226" s="7" t="s">
        <v>710</v>
      </c>
      <c r="Z226" s="7" t="s">
        <v>711</v>
      </c>
      <c r="AA226" s="7" t="s">
        <v>712</v>
      </c>
      <c r="AB226" s="7" t="s">
        <v>694</v>
      </c>
      <c r="AC226" s="7" t="s">
        <v>713</v>
      </c>
      <c r="AD226" s="7" t="s">
        <v>714</v>
      </c>
      <c r="AE226" s="7" t="s">
        <v>715</v>
      </c>
      <c r="AF226" s="7" t="s">
        <v>716</v>
      </c>
      <c r="AG226" s="7" t="s">
        <v>1268</v>
      </c>
      <c r="AH226" s="7" t="s">
        <v>1269</v>
      </c>
      <c r="AI226" s="7" t="s">
        <v>1270</v>
      </c>
      <c r="AJ226" s="7" t="s">
        <v>1271</v>
      </c>
      <c r="AK226" s="7" t="s">
        <v>1272</v>
      </c>
      <c r="AL226" s="7" t="s">
        <v>1273</v>
      </c>
      <c r="AM226" s="7" t="s">
        <v>1274</v>
      </c>
      <c r="AN226" s="7" t="s">
        <v>1275</v>
      </c>
      <c r="AO226" s="7" t="s">
        <v>1276</v>
      </c>
    </row>
    <row r="227" spans="1:61" ht="78" customHeight="1" x14ac:dyDescent="0.4">
      <c r="A227" s="67" t="s">
        <v>417</v>
      </c>
      <c r="B227" t="e">
        <f>_xlfn.XLOOKUP(A227,'Product info'!A:A,'Product info'!C:C,,2)</f>
        <v>#N/A</v>
      </c>
      <c r="C227" s="69" t="s">
        <v>688</v>
      </c>
      <c r="D227" s="7" t="s">
        <v>689</v>
      </c>
      <c r="E227" s="7" t="s">
        <v>690</v>
      </c>
      <c r="F227" s="7" t="s">
        <v>691</v>
      </c>
      <c r="G227" s="7" t="s">
        <v>692</v>
      </c>
      <c r="H227" s="7" t="s">
        <v>693</v>
      </c>
      <c r="I227" s="7" t="s">
        <v>694</v>
      </c>
      <c r="J227" s="7" t="s">
        <v>695</v>
      </c>
      <c r="K227" s="7" t="s">
        <v>696</v>
      </c>
      <c r="L227" s="7" t="s">
        <v>697</v>
      </c>
      <c r="M227" s="7" t="s">
        <v>698</v>
      </c>
      <c r="N227" s="7" t="s">
        <v>699</v>
      </c>
      <c r="O227" s="7" t="s">
        <v>700</v>
      </c>
      <c r="P227" s="7" t="s">
        <v>701</v>
      </c>
      <c r="Q227" s="7" t="s">
        <v>702</v>
      </c>
      <c r="R227" s="7" t="s">
        <v>703</v>
      </c>
      <c r="S227" s="7" t="s">
        <v>704</v>
      </c>
      <c r="T227" s="7" t="s">
        <v>705</v>
      </c>
      <c r="U227" s="7" t="s">
        <v>706</v>
      </c>
      <c r="V227" s="7" t="s">
        <v>707</v>
      </c>
      <c r="W227" s="7" t="s">
        <v>708</v>
      </c>
      <c r="X227" s="7" t="s">
        <v>709</v>
      </c>
      <c r="Y227" s="7" t="s">
        <v>710</v>
      </c>
      <c r="Z227" s="7" t="s">
        <v>711</v>
      </c>
      <c r="AA227" s="7" t="s">
        <v>712</v>
      </c>
      <c r="AB227" s="7" t="s">
        <v>694</v>
      </c>
      <c r="AC227" s="7" t="s">
        <v>713</v>
      </c>
      <c r="AD227" s="7" t="s">
        <v>714</v>
      </c>
      <c r="AE227" s="7" t="s">
        <v>715</v>
      </c>
      <c r="AF227" s="7" t="s">
        <v>716</v>
      </c>
      <c r="AG227" s="7" t="s">
        <v>1268</v>
      </c>
      <c r="AH227" s="7" t="s">
        <v>1269</v>
      </c>
      <c r="AI227" s="7" t="s">
        <v>1270</v>
      </c>
      <c r="AJ227" s="7" t="s">
        <v>1271</v>
      </c>
      <c r="AK227" s="7" t="s">
        <v>1272</v>
      </c>
      <c r="AL227" s="7" t="s">
        <v>1273</v>
      </c>
      <c r="AM227" s="7" t="s">
        <v>1274</v>
      </c>
      <c r="AN227" s="7" t="s">
        <v>1275</v>
      </c>
      <c r="AO227" s="7" t="s">
        <v>1276</v>
      </c>
    </row>
    <row r="228" spans="1:61" ht="78" customHeight="1" x14ac:dyDescent="0.4">
      <c r="A228" s="67" t="s">
        <v>408</v>
      </c>
      <c r="B228" t="e">
        <f>_xlfn.XLOOKUP(A228,'Product info'!A:A,'Product info'!C:C,,2)</f>
        <v>#N/A</v>
      </c>
      <c r="C228" s="69" t="s">
        <v>688</v>
      </c>
      <c r="D228" s="7" t="s">
        <v>689</v>
      </c>
      <c r="E228" s="7" t="s">
        <v>690</v>
      </c>
      <c r="F228" s="7" t="s">
        <v>691</v>
      </c>
      <c r="G228" s="7" t="s">
        <v>692</v>
      </c>
      <c r="H228" s="7" t="s">
        <v>693</v>
      </c>
      <c r="I228" s="7" t="s">
        <v>694</v>
      </c>
      <c r="J228" s="7" t="s">
        <v>695</v>
      </c>
      <c r="K228" s="7" t="s">
        <v>696</v>
      </c>
      <c r="L228" s="7" t="s">
        <v>697</v>
      </c>
      <c r="M228" s="7" t="s">
        <v>698</v>
      </c>
      <c r="N228" s="7" t="s">
        <v>699</v>
      </c>
      <c r="O228" s="7" t="s">
        <v>700</v>
      </c>
      <c r="P228" s="7" t="s">
        <v>701</v>
      </c>
      <c r="Q228" s="7" t="s">
        <v>702</v>
      </c>
      <c r="R228" s="7" t="s">
        <v>703</v>
      </c>
      <c r="S228" s="7" t="s">
        <v>704</v>
      </c>
      <c r="T228" s="7" t="s">
        <v>705</v>
      </c>
      <c r="U228" s="7" t="s">
        <v>706</v>
      </c>
      <c r="V228" s="7" t="s">
        <v>707</v>
      </c>
      <c r="W228" s="7" t="s">
        <v>708</v>
      </c>
      <c r="X228" s="7" t="s">
        <v>709</v>
      </c>
      <c r="Y228" s="7" t="s">
        <v>710</v>
      </c>
      <c r="Z228" s="7" t="s">
        <v>711</v>
      </c>
      <c r="AA228" s="7" t="s">
        <v>712</v>
      </c>
      <c r="AB228" s="7" t="s">
        <v>694</v>
      </c>
      <c r="AC228" s="7" t="s">
        <v>713</v>
      </c>
      <c r="AD228" s="7" t="s">
        <v>714</v>
      </c>
      <c r="AE228" s="7" t="s">
        <v>715</v>
      </c>
      <c r="AF228" s="7" t="s">
        <v>716</v>
      </c>
      <c r="AG228" s="7" t="s">
        <v>1268</v>
      </c>
      <c r="AH228" s="7" t="s">
        <v>1269</v>
      </c>
      <c r="AI228" s="7" t="s">
        <v>1270</v>
      </c>
      <c r="AJ228" s="7" t="s">
        <v>1271</v>
      </c>
      <c r="AK228" s="7" t="s">
        <v>1272</v>
      </c>
      <c r="AL228" s="7" t="s">
        <v>1273</v>
      </c>
      <c r="AM228" s="7" t="s">
        <v>1274</v>
      </c>
      <c r="AN228" s="7" t="s">
        <v>1275</v>
      </c>
      <c r="AO228" s="7" t="s">
        <v>1276</v>
      </c>
    </row>
    <row r="229" spans="1:61" ht="78" customHeight="1" x14ac:dyDescent="0.4">
      <c r="A229" s="67" t="s">
        <v>413</v>
      </c>
      <c r="B229" t="e">
        <f>_xlfn.XLOOKUP(A229,'Product info'!A:A,'Product info'!C:C,,2)</f>
        <v>#N/A</v>
      </c>
      <c r="C229" s="69" t="s">
        <v>688</v>
      </c>
      <c r="D229" s="7" t="s">
        <v>689</v>
      </c>
      <c r="E229" s="7" t="s">
        <v>690</v>
      </c>
      <c r="F229" s="7" t="s">
        <v>691</v>
      </c>
      <c r="G229" s="7" t="s">
        <v>692</v>
      </c>
      <c r="H229" s="7" t="s">
        <v>693</v>
      </c>
      <c r="I229" s="7" t="s">
        <v>694</v>
      </c>
      <c r="J229" s="7" t="s">
        <v>695</v>
      </c>
      <c r="K229" s="7" t="s">
        <v>696</v>
      </c>
      <c r="L229" s="7" t="s">
        <v>697</v>
      </c>
      <c r="M229" s="7" t="s">
        <v>698</v>
      </c>
      <c r="N229" s="7" t="s">
        <v>699</v>
      </c>
      <c r="O229" s="7" t="s">
        <v>700</v>
      </c>
      <c r="P229" s="7" t="s">
        <v>701</v>
      </c>
      <c r="Q229" s="7" t="s">
        <v>702</v>
      </c>
      <c r="R229" s="7" t="s">
        <v>703</v>
      </c>
      <c r="S229" s="7" t="s">
        <v>704</v>
      </c>
      <c r="T229" s="7" t="s">
        <v>705</v>
      </c>
      <c r="U229" s="7" t="s">
        <v>706</v>
      </c>
      <c r="V229" s="7" t="s">
        <v>707</v>
      </c>
      <c r="W229" s="7" t="s">
        <v>708</v>
      </c>
      <c r="X229" s="7" t="s">
        <v>709</v>
      </c>
      <c r="Y229" s="7" t="s">
        <v>710</v>
      </c>
      <c r="Z229" s="7" t="s">
        <v>711</v>
      </c>
      <c r="AA229" s="7" t="s">
        <v>712</v>
      </c>
      <c r="AB229" s="7" t="s">
        <v>694</v>
      </c>
      <c r="AC229" s="7" t="s">
        <v>713</v>
      </c>
      <c r="AD229" s="7" t="s">
        <v>714</v>
      </c>
      <c r="AE229" s="7" t="s">
        <v>715</v>
      </c>
      <c r="AF229" s="7" t="s">
        <v>716</v>
      </c>
      <c r="AG229" s="7" t="s">
        <v>1268</v>
      </c>
      <c r="AH229" s="7" t="s">
        <v>1269</v>
      </c>
      <c r="AI229" s="7" t="s">
        <v>1270</v>
      </c>
      <c r="AJ229" s="7" t="s">
        <v>1271</v>
      </c>
      <c r="AK229" s="7" t="s">
        <v>1272</v>
      </c>
      <c r="AL229" s="7" t="s">
        <v>1273</v>
      </c>
      <c r="AM229" s="7" t="s">
        <v>1274</v>
      </c>
      <c r="AN229" s="7" t="s">
        <v>1275</v>
      </c>
      <c r="AO229" s="7" t="s">
        <v>1276</v>
      </c>
    </row>
    <row r="230" spans="1:61" ht="78" customHeight="1" x14ac:dyDescent="0.4">
      <c r="A230" s="67" t="s">
        <v>423</v>
      </c>
      <c r="B230" t="e">
        <f>_xlfn.XLOOKUP(A230,'Product info'!A:A,'Product info'!C:C,,2)</f>
        <v>#N/A</v>
      </c>
      <c r="C230" s="69" t="s">
        <v>688</v>
      </c>
      <c r="D230" s="7" t="s">
        <v>689</v>
      </c>
      <c r="E230" s="7" t="s">
        <v>690</v>
      </c>
      <c r="F230" s="7" t="s">
        <v>691</v>
      </c>
      <c r="G230" s="7" t="s">
        <v>692</v>
      </c>
      <c r="H230" s="7" t="s">
        <v>693</v>
      </c>
      <c r="I230" s="7" t="s">
        <v>694</v>
      </c>
      <c r="J230" s="7" t="s">
        <v>695</v>
      </c>
      <c r="K230" s="7" t="s">
        <v>696</v>
      </c>
      <c r="L230" s="7" t="s">
        <v>697</v>
      </c>
      <c r="M230" s="7" t="s">
        <v>698</v>
      </c>
      <c r="N230" s="7" t="s">
        <v>699</v>
      </c>
      <c r="O230" s="7" t="s">
        <v>700</v>
      </c>
      <c r="P230" s="7" t="s">
        <v>701</v>
      </c>
      <c r="Q230" s="7" t="s">
        <v>702</v>
      </c>
      <c r="R230" s="7" t="s">
        <v>703</v>
      </c>
      <c r="S230" s="7" t="s">
        <v>704</v>
      </c>
      <c r="T230" s="7" t="s">
        <v>705</v>
      </c>
      <c r="U230" s="7" t="s">
        <v>706</v>
      </c>
      <c r="V230" s="7" t="s">
        <v>707</v>
      </c>
      <c r="W230" s="7" t="s">
        <v>708</v>
      </c>
      <c r="X230" s="7" t="s">
        <v>709</v>
      </c>
      <c r="Y230" s="7" t="s">
        <v>710</v>
      </c>
      <c r="Z230" s="7" t="s">
        <v>711</v>
      </c>
      <c r="AA230" s="7" t="s">
        <v>712</v>
      </c>
      <c r="AB230" s="7" t="s">
        <v>694</v>
      </c>
      <c r="AC230" s="7" t="s">
        <v>713</v>
      </c>
      <c r="AD230" s="7" t="s">
        <v>714</v>
      </c>
      <c r="AE230" s="7" t="s">
        <v>715</v>
      </c>
      <c r="AF230" s="7" t="s">
        <v>716</v>
      </c>
      <c r="AG230" s="7" t="s">
        <v>1268</v>
      </c>
      <c r="AH230" s="7" t="s">
        <v>1269</v>
      </c>
      <c r="AI230" s="7" t="s">
        <v>1270</v>
      </c>
      <c r="AJ230" s="7" t="s">
        <v>1271</v>
      </c>
      <c r="AK230" s="7" t="s">
        <v>1272</v>
      </c>
      <c r="AL230" s="7" t="s">
        <v>1273</v>
      </c>
      <c r="AM230" s="7" t="s">
        <v>1274</v>
      </c>
      <c r="AN230" s="7" t="s">
        <v>1275</v>
      </c>
      <c r="AO230" s="7" t="s">
        <v>1276</v>
      </c>
    </row>
    <row r="231" spans="1:61" ht="78" customHeight="1" x14ac:dyDescent="0.4">
      <c r="A231" s="67" t="s">
        <v>424</v>
      </c>
      <c r="B231" t="e">
        <f>_xlfn.XLOOKUP(A231,'Product info'!A:A,'Product info'!C:C,,2)</f>
        <v>#N/A</v>
      </c>
      <c r="C231" s="69" t="s">
        <v>688</v>
      </c>
      <c r="D231" s="7" t="s">
        <v>689</v>
      </c>
      <c r="E231" s="7" t="s">
        <v>690</v>
      </c>
      <c r="F231" s="7" t="s">
        <v>691</v>
      </c>
      <c r="G231" s="7" t="s">
        <v>692</v>
      </c>
      <c r="H231" s="7" t="s">
        <v>693</v>
      </c>
      <c r="I231" s="7" t="s">
        <v>694</v>
      </c>
      <c r="J231" s="7" t="s">
        <v>695</v>
      </c>
      <c r="K231" s="7" t="s">
        <v>696</v>
      </c>
      <c r="L231" s="7" t="s">
        <v>697</v>
      </c>
      <c r="M231" s="7" t="s">
        <v>698</v>
      </c>
      <c r="N231" s="7" t="s">
        <v>699</v>
      </c>
      <c r="O231" s="7" t="s">
        <v>700</v>
      </c>
      <c r="P231" s="7" t="s">
        <v>701</v>
      </c>
      <c r="Q231" s="7" t="s">
        <v>702</v>
      </c>
      <c r="R231" s="7" t="s">
        <v>703</v>
      </c>
      <c r="S231" s="7" t="s">
        <v>704</v>
      </c>
      <c r="T231" s="7" t="s">
        <v>705</v>
      </c>
      <c r="U231" s="7" t="s">
        <v>706</v>
      </c>
      <c r="V231" s="7" t="s">
        <v>707</v>
      </c>
      <c r="W231" s="7" t="s">
        <v>708</v>
      </c>
      <c r="X231" s="7" t="s">
        <v>709</v>
      </c>
      <c r="Y231" s="7" t="s">
        <v>710</v>
      </c>
      <c r="Z231" s="7" t="s">
        <v>711</v>
      </c>
      <c r="AA231" s="7" t="s">
        <v>712</v>
      </c>
      <c r="AB231" s="7" t="s">
        <v>694</v>
      </c>
      <c r="AC231" s="7" t="s">
        <v>713</v>
      </c>
      <c r="AD231" s="7" t="s">
        <v>714</v>
      </c>
      <c r="AE231" s="7" t="s">
        <v>715</v>
      </c>
      <c r="AF231" s="7" t="s">
        <v>716</v>
      </c>
      <c r="AG231" s="7" t="s">
        <v>1268</v>
      </c>
      <c r="AH231" s="7" t="s">
        <v>1269</v>
      </c>
      <c r="AI231" s="7" t="s">
        <v>1270</v>
      </c>
      <c r="AJ231" s="7" t="s">
        <v>1271</v>
      </c>
      <c r="AK231" s="7" t="s">
        <v>1272</v>
      </c>
      <c r="AL231" s="7" t="s">
        <v>1273</v>
      </c>
      <c r="AM231" s="7" t="s">
        <v>1274</v>
      </c>
      <c r="AN231" s="7" t="s">
        <v>1275</v>
      </c>
      <c r="AO231" s="7" t="s">
        <v>1276</v>
      </c>
    </row>
    <row r="232" spans="1:61" ht="78" customHeight="1" x14ac:dyDescent="0.4">
      <c r="A232" s="67" t="s">
        <v>425</v>
      </c>
      <c r="B232" t="e">
        <f>_xlfn.XLOOKUP(A232,'Product info'!A:A,'Product info'!C:C,,2)</f>
        <v>#N/A</v>
      </c>
      <c r="C232" s="69" t="s">
        <v>688</v>
      </c>
      <c r="D232" s="7" t="s">
        <v>689</v>
      </c>
      <c r="E232" s="7" t="s">
        <v>690</v>
      </c>
      <c r="F232" s="7" t="s">
        <v>691</v>
      </c>
      <c r="G232" s="7" t="s">
        <v>692</v>
      </c>
      <c r="H232" s="7" t="s">
        <v>693</v>
      </c>
      <c r="I232" s="7" t="s">
        <v>694</v>
      </c>
      <c r="J232" s="7" t="s">
        <v>695</v>
      </c>
      <c r="K232" s="7" t="s">
        <v>696</v>
      </c>
      <c r="L232" s="7" t="s">
        <v>697</v>
      </c>
      <c r="M232" s="7" t="s">
        <v>698</v>
      </c>
      <c r="N232" s="7" t="s">
        <v>699</v>
      </c>
      <c r="O232" s="7" t="s">
        <v>700</v>
      </c>
      <c r="P232" s="7" t="s">
        <v>701</v>
      </c>
      <c r="Q232" s="7" t="s">
        <v>702</v>
      </c>
      <c r="R232" s="7" t="s">
        <v>703</v>
      </c>
      <c r="S232" s="7" t="s">
        <v>704</v>
      </c>
      <c r="T232" s="7" t="s">
        <v>705</v>
      </c>
      <c r="U232" s="7" t="s">
        <v>706</v>
      </c>
      <c r="V232" s="7" t="s">
        <v>707</v>
      </c>
      <c r="W232" s="7" t="s">
        <v>708</v>
      </c>
      <c r="X232" s="7" t="s">
        <v>709</v>
      </c>
      <c r="Y232" s="7" t="s">
        <v>710</v>
      </c>
      <c r="Z232" s="7" t="s">
        <v>711</v>
      </c>
      <c r="AA232" s="7" t="s">
        <v>712</v>
      </c>
      <c r="AB232" s="7" t="s">
        <v>694</v>
      </c>
      <c r="AC232" s="7" t="s">
        <v>713</v>
      </c>
      <c r="AD232" s="7" t="s">
        <v>714</v>
      </c>
      <c r="AE232" s="7" t="s">
        <v>715</v>
      </c>
      <c r="AF232" s="7" t="s">
        <v>716</v>
      </c>
      <c r="AG232" s="7" t="s">
        <v>1268</v>
      </c>
      <c r="AH232" s="7" t="s">
        <v>1269</v>
      </c>
      <c r="AI232" s="7" t="s">
        <v>1270</v>
      </c>
      <c r="AJ232" s="7" t="s">
        <v>1271</v>
      </c>
      <c r="AK232" s="7" t="s">
        <v>1272</v>
      </c>
      <c r="AL232" s="7" t="s">
        <v>1273</v>
      </c>
      <c r="AM232" s="7" t="s">
        <v>1274</v>
      </c>
      <c r="AN232" s="7" t="s">
        <v>1275</v>
      </c>
      <c r="AO232" s="7" t="s">
        <v>1276</v>
      </c>
    </row>
    <row r="233" spans="1:61" ht="78" customHeight="1" x14ac:dyDescent="0.4">
      <c r="A233" s="67" t="s">
        <v>533</v>
      </c>
      <c r="B233" t="e">
        <f>_xlfn.XLOOKUP(A233,'Product info'!A:A,'Product info'!C:C,,2)</f>
        <v>#N/A</v>
      </c>
      <c r="C233" s="69" t="s">
        <v>688</v>
      </c>
      <c r="D233" s="7" t="s">
        <v>689</v>
      </c>
      <c r="E233" s="7" t="s">
        <v>690</v>
      </c>
      <c r="F233" s="7" t="s">
        <v>691</v>
      </c>
      <c r="G233" s="7" t="s">
        <v>692</v>
      </c>
      <c r="H233" s="7" t="s">
        <v>693</v>
      </c>
      <c r="I233" s="7" t="s">
        <v>694</v>
      </c>
      <c r="J233" s="7" t="s">
        <v>695</v>
      </c>
      <c r="K233" s="7" t="s">
        <v>696</v>
      </c>
      <c r="L233" s="7" t="s">
        <v>697</v>
      </c>
      <c r="M233" s="7" t="s">
        <v>698</v>
      </c>
      <c r="N233" s="7" t="s">
        <v>699</v>
      </c>
      <c r="O233" s="7" t="s">
        <v>700</v>
      </c>
      <c r="P233" s="7" t="s">
        <v>701</v>
      </c>
      <c r="Q233" s="7" t="s">
        <v>702</v>
      </c>
      <c r="R233" s="7" t="s">
        <v>703</v>
      </c>
      <c r="S233" s="7" t="s">
        <v>704</v>
      </c>
      <c r="T233" s="7" t="s">
        <v>705</v>
      </c>
      <c r="U233" s="7" t="s">
        <v>706</v>
      </c>
      <c r="V233" s="7" t="s">
        <v>707</v>
      </c>
      <c r="W233" s="7" t="s">
        <v>708</v>
      </c>
      <c r="X233" s="7" t="s">
        <v>709</v>
      </c>
      <c r="Y233" s="7" t="s">
        <v>710</v>
      </c>
      <c r="Z233" s="7" t="s">
        <v>711</v>
      </c>
      <c r="AA233" s="7" t="s">
        <v>712</v>
      </c>
      <c r="AB233" s="7" t="s">
        <v>694</v>
      </c>
      <c r="AC233" s="7" t="s">
        <v>713</v>
      </c>
      <c r="AD233" s="7" t="s">
        <v>714</v>
      </c>
      <c r="AE233" s="7" t="s">
        <v>715</v>
      </c>
      <c r="AF233" s="7" t="s">
        <v>716</v>
      </c>
      <c r="AG233" s="7" t="s">
        <v>1277</v>
      </c>
      <c r="AH233" s="7" t="s">
        <v>1278</v>
      </c>
      <c r="AI233" s="7" t="s">
        <v>1279</v>
      </c>
      <c r="AJ233" s="7" t="s">
        <v>1280</v>
      </c>
      <c r="AK233" s="7" t="s">
        <v>1281</v>
      </c>
      <c r="AL233" s="7" t="s">
        <v>1282</v>
      </c>
      <c r="AM233" s="7" t="s">
        <v>1283</v>
      </c>
      <c r="AN233" s="7" t="s">
        <v>1284</v>
      </c>
      <c r="AO233" s="7" t="s">
        <v>1285</v>
      </c>
      <c r="AP233" s="7" t="s">
        <v>1286</v>
      </c>
      <c r="AQ233" s="7" t="s">
        <v>1287</v>
      </c>
      <c r="AR233" s="7" t="s">
        <v>1288</v>
      </c>
      <c r="AS233" s="7" t="s">
        <v>1289</v>
      </c>
    </row>
    <row r="234" spans="1:61" ht="78" customHeight="1" x14ac:dyDescent="0.4">
      <c r="A234" s="67" t="s">
        <v>191</v>
      </c>
      <c r="B234" t="e">
        <f>_xlfn.XLOOKUP(A234,'Product info'!A:A,'Product info'!C:C,,2)</f>
        <v>#N/A</v>
      </c>
      <c r="C234" s="69" t="s">
        <v>688</v>
      </c>
      <c r="D234" s="7" t="s">
        <v>689</v>
      </c>
      <c r="E234" s="7" t="s">
        <v>690</v>
      </c>
      <c r="F234" s="7" t="s">
        <v>691</v>
      </c>
      <c r="G234" s="7" t="s">
        <v>692</v>
      </c>
      <c r="H234" s="7" t="s">
        <v>693</v>
      </c>
      <c r="I234" s="7" t="s">
        <v>694</v>
      </c>
      <c r="J234" s="7" t="s">
        <v>695</v>
      </c>
      <c r="K234" s="7" t="s">
        <v>696</v>
      </c>
      <c r="L234" s="7" t="s">
        <v>697</v>
      </c>
      <c r="M234" s="7" t="s">
        <v>698</v>
      </c>
      <c r="N234" s="7" t="s">
        <v>699</v>
      </c>
      <c r="O234" s="7" t="s">
        <v>700</v>
      </c>
      <c r="P234" s="7" t="s">
        <v>701</v>
      </c>
      <c r="Q234" s="7" t="s">
        <v>702</v>
      </c>
      <c r="R234" s="7" t="s">
        <v>703</v>
      </c>
      <c r="S234" s="7" t="s">
        <v>704</v>
      </c>
      <c r="T234" s="7" t="s">
        <v>705</v>
      </c>
      <c r="U234" s="7" t="s">
        <v>706</v>
      </c>
      <c r="V234" s="7" t="s">
        <v>707</v>
      </c>
      <c r="W234" s="7" t="s">
        <v>708</v>
      </c>
      <c r="X234" s="7" t="s">
        <v>709</v>
      </c>
      <c r="Y234" s="7" t="s">
        <v>710</v>
      </c>
      <c r="Z234" s="7" t="s">
        <v>711</v>
      </c>
      <c r="AA234" s="7" t="s">
        <v>712</v>
      </c>
      <c r="AB234" s="7" t="s">
        <v>694</v>
      </c>
      <c r="AC234" s="7" t="s">
        <v>713</v>
      </c>
      <c r="AD234" s="7" t="s">
        <v>714</v>
      </c>
      <c r="AE234" s="7" t="s">
        <v>715</v>
      </c>
      <c r="AF234" s="7" t="s">
        <v>716</v>
      </c>
      <c r="AG234" s="7" t="s">
        <v>688</v>
      </c>
      <c r="AH234" s="7" t="s">
        <v>689</v>
      </c>
      <c r="AI234" s="7" t="s">
        <v>747</v>
      </c>
      <c r="AJ234" s="7" t="s">
        <v>696</v>
      </c>
      <c r="AK234" s="7" t="s">
        <v>773</v>
      </c>
      <c r="AL234" s="7" t="s">
        <v>940</v>
      </c>
      <c r="AM234" s="7" t="s">
        <v>941</v>
      </c>
      <c r="AN234" s="7" t="s">
        <v>942</v>
      </c>
      <c r="AO234" s="7" t="s">
        <v>695</v>
      </c>
      <c r="AP234" s="7" t="s">
        <v>694</v>
      </c>
      <c r="AQ234" s="7" t="s">
        <v>1290</v>
      </c>
      <c r="AR234" s="7" t="s">
        <v>1291</v>
      </c>
      <c r="AS234" s="7" t="s">
        <v>1292</v>
      </c>
      <c r="AT234" s="7" t="s">
        <v>1293</v>
      </c>
      <c r="AU234" s="7" t="s">
        <v>1294</v>
      </c>
      <c r="AV234" s="7" t="s">
        <v>1295</v>
      </c>
      <c r="AW234" s="7" t="s">
        <v>1296</v>
      </c>
      <c r="AX234" s="7" t="s">
        <v>1297</v>
      </c>
      <c r="AY234" s="7" t="s">
        <v>1298</v>
      </c>
      <c r="AZ234" s="7" t="s">
        <v>1299</v>
      </c>
      <c r="BA234" s="7" t="s">
        <v>1300</v>
      </c>
      <c r="BB234" s="7" t="s">
        <v>1301</v>
      </c>
      <c r="BC234" s="7" t="s">
        <v>1302</v>
      </c>
      <c r="BD234" s="7" t="s">
        <v>1303</v>
      </c>
      <c r="BE234" s="7" t="s">
        <v>1304</v>
      </c>
      <c r="BF234" s="7" t="s">
        <v>1305</v>
      </c>
      <c r="BG234" s="7" t="s">
        <v>1306</v>
      </c>
    </row>
    <row r="235" spans="1:61" ht="78" customHeight="1" x14ac:dyDescent="0.4">
      <c r="A235" s="67" t="s">
        <v>190</v>
      </c>
      <c r="B235" t="e">
        <f>_xlfn.XLOOKUP(A235,'Product info'!A:A,'Product info'!C:C,,2)</f>
        <v>#N/A</v>
      </c>
      <c r="C235" s="69" t="s">
        <v>688</v>
      </c>
      <c r="D235" s="7" t="s">
        <v>689</v>
      </c>
      <c r="E235" s="7" t="s">
        <v>690</v>
      </c>
      <c r="F235" s="7" t="s">
        <v>691</v>
      </c>
      <c r="G235" s="7" t="s">
        <v>692</v>
      </c>
      <c r="H235" s="7" t="s">
        <v>693</v>
      </c>
      <c r="I235" s="7" t="s">
        <v>694</v>
      </c>
      <c r="J235" s="7" t="s">
        <v>695</v>
      </c>
      <c r="K235" s="7" t="s">
        <v>696</v>
      </c>
      <c r="L235" s="7" t="s">
        <v>697</v>
      </c>
      <c r="M235" s="7" t="s">
        <v>698</v>
      </c>
      <c r="N235" s="7" t="s">
        <v>699</v>
      </c>
      <c r="O235" s="7" t="s">
        <v>700</v>
      </c>
      <c r="P235" s="7" t="s">
        <v>701</v>
      </c>
      <c r="Q235" s="7" t="s">
        <v>702</v>
      </c>
      <c r="R235" s="7" t="s">
        <v>703</v>
      </c>
      <c r="S235" s="7" t="s">
        <v>704</v>
      </c>
      <c r="T235" s="7" t="s">
        <v>705</v>
      </c>
      <c r="U235" s="7" t="s">
        <v>706</v>
      </c>
      <c r="V235" s="7" t="s">
        <v>707</v>
      </c>
      <c r="W235" s="7" t="s">
        <v>708</v>
      </c>
      <c r="X235" s="7" t="s">
        <v>709</v>
      </c>
      <c r="Y235" s="7" t="s">
        <v>710</v>
      </c>
      <c r="Z235" s="7" t="s">
        <v>711</v>
      </c>
      <c r="AA235" s="7" t="s">
        <v>712</v>
      </c>
      <c r="AB235" s="7" t="s">
        <v>694</v>
      </c>
      <c r="AC235" s="7" t="s">
        <v>713</v>
      </c>
      <c r="AD235" s="7" t="s">
        <v>714</v>
      </c>
      <c r="AE235" s="7" t="s">
        <v>715</v>
      </c>
      <c r="AF235" s="7" t="s">
        <v>716</v>
      </c>
      <c r="AG235" s="7" t="s">
        <v>688</v>
      </c>
      <c r="AH235" s="7" t="s">
        <v>689</v>
      </c>
      <c r="AI235" s="7" t="s">
        <v>747</v>
      </c>
      <c r="AJ235" s="7" t="s">
        <v>696</v>
      </c>
      <c r="AK235" s="7" t="s">
        <v>773</v>
      </c>
      <c r="AL235" s="7" t="s">
        <v>940</v>
      </c>
      <c r="AM235" s="7" t="s">
        <v>941</v>
      </c>
      <c r="AN235" s="7" t="s">
        <v>942</v>
      </c>
      <c r="AO235" s="7" t="s">
        <v>695</v>
      </c>
      <c r="AP235" s="7" t="s">
        <v>694</v>
      </c>
      <c r="AQ235" s="7" t="s">
        <v>1290</v>
      </c>
      <c r="AR235" s="7" t="s">
        <v>1291</v>
      </c>
      <c r="AS235" s="7" t="s">
        <v>1292</v>
      </c>
      <c r="AT235" s="7" t="s">
        <v>1293</v>
      </c>
      <c r="AU235" s="7" t="s">
        <v>1294</v>
      </c>
      <c r="AV235" s="7" t="s">
        <v>1295</v>
      </c>
      <c r="AW235" s="7" t="s">
        <v>1296</v>
      </c>
      <c r="AX235" s="7" t="s">
        <v>1297</v>
      </c>
      <c r="AY235" s="7" t="s">
        <v>1298</v>
      </c>
      <c r="AZ235" s="7" t="s">
        <v>1299</v>
      </c>
      <c r="BA235" s="7" t="s">
        <v>1300</v>
      </c>
      <c r="BB235" s="7" t="s">
        <v>1301</v>
      </c>
      <c r="BC235" s="7" t="s">
        <v>1302</v>
      </c>
      <c r="BD235" s="7" t="s">
        <v>1303</v>
      </c>
      <c r="BE235" s="7" t="s">
        <v>1304</v>
      </c>
      <c r="BF235" s="7" t="s">
        <v>1305</v>
      </c>
      <c r="BG235" s="7" t="s">
        <v>1306</v>
      </c>
    </row>
    <row r="236" spans="1:61" ht="78" customHeight="1" x14ac:dyDescent="0.4">
      <c r="A236" s="67" t="s">
        <v>192</v>
      </c>
      <c r="B236" t="e">
        <f>_xlfn.XLOOKUP(A236,'Product info'!A:A,'Product info'!C:C,,2)</f>
        <v>#N/A</v>
      </c>
      <c r="C236" s="69" t="s">
        <v>688</v>
      </c>
      <c r="D236" s="7" t="s">
        <v>689</v>
      </c>
      <c r="E236" s="7" t="s">
        <v>690</v>
      </c>
      <c r="F236" s="7" t="s">
        <v>691</v>
      </c>
      <c r="G236" s="7" t="s">
        <v>692</v>
      </c>
      <c r="H236" s="7" t="s">
        <v>693</v>
      </c>
      <c r="I236" s="7" t="s">
        <v>694</v>
      </c>
      <c r="J236" s="7" t="s">
        <v>695</v>
      </c>
      <c r="K236" s="7" t="s">
        <v>696</v>
      </c>
      <c r="L236" s="7" t="s">
        <v>697</v>
      </c>
      <c r="M236" s="7" t="s">
        <v>698</v>
      </c>
      <c r="N236" s="7" t="s">
        <v>699</v>
      </c>
      <c r="O236" s="7" t="s">
        <v>700</v>
      </c>
      <c r="P236" s="7" t="s">
        <v>701</v>
      </c>
      <c r="Q236" s="7" t="s">
        <v>702</v>
      </c>
      <c r="R236" s="7" t="s">
        <v>703</v>
      </c>
      <c r="S236" s="7" t="s">
        <v>704</v>
      </c>
      <c r="T236" s="7" t="s">
        <v>705</v>
      </c>
      <c r="U236" s="7" t="s">
        <v>706</v>
      </c>
      <c r="V236" s="7" t="s">
        <v>707</v>
      </c>
      <c r="W236" s="7" t="s">
        <v>708</v>
      </c>
      <c r="X236" s="7" t="s">
        <v>709</v>
      </c>
      <c r="Y236" s="7" t="s">
        <v>710</v>
      </c>
      <c r="Z236" s="7" t="s">
        <v>711</v>
      </c>
      <c r="AA236" s="7" t="s">
        <v>712</v>
      </c>
      <c r="AB236" s="7" t="s">
        <v>694</v>
      </c>
      <c r="AC236" s="7" t="s">
        <v>713</v>
      </c>
      <c r="AD236" s="7" t="s">
        <v>714</v>
      </c>
      <c r="AE236" s="7" t="s">
        <v>715</v>
      </c>
      <c r="AF236" s="7" t="s">
        <v>716</v>
      </c>
      <c r="AG236" s="7" t="s">
        <v>688</v>
      </c>
      <c r="AH236" s="7" t="s">
        <v>689</v>
      </c>
      <c r="AI236" s="7" t="s">
        <v>747</v>
      </c>
      <c r="AJ236" s="7" t="s">
        <v>696</v>
      </c>
      <c r="AK236" s="7" t="s">
        <v>773</v>
      </c>
      <c r="AL236" s="7" t="s">
        <v>940</v>
      </c>
      <c r="AM236" s="7" t="s">
        <v>941</v>
      </c>
      <c r="AN236" s="7" t="s">
        <v>942</v>
      </c>
      <c r="AO236" s="7" t="s">
        <v>695</v>
      </c>
      <c r="AP236" s="7" t="s">
        <v>694</v>
      </c>
      <c r="AQ236" s="7" t="s">
        <v>1290</v>
      </c>
      <c r="AR236" s="7" t="s">
        <v>1291</v>
      </c>
      <c r="AS236" s="7" t="s">
        <v>1292</v>
      </c>
      <c r="AT236" s="7" t="s">
        <v>1293</v>
      </c>
      <c r="AU236" s="7" t="s">
        <v>1294</v>
      </c>
      <c r="AV236" s="7" t="s">
        <v>1295</v>
      </c>
      <c r="AW236" s="7" t="s">
        <v>1296</v>
      </c>
      <c r="AX236" s="7" t="s">
        <v>1297</v>
      </c>
      <c r="AY236" s="7" t="s">
        <v>1298</v>
      </c>
      <c r="AZ236" s="7" t="s">
        <v>1299</v>
      </c>
      <c r="BA236" s="7" t="s">
        <v>1300</v>
      </c>
      <c r="BB236" s="7" t="s">
        <v>1301</v>
      </c>
      <c r="BC236" s="7" t="s">
        <v>1302</v>
      </c>
      <c r="BD236" s="7" t="s">
        <v>1303</v>
      </c>
      <c r="BE236" s="7" t="s">
        <v>1304</v>
      </c>
      <c r="BF236" s="7" t="s">
        <v>1305</v>
      </c>
      <c r="BG236" s="7" t="s">
        <v>1306</v>
      </c>
    </row>
    <row r="237" spans="1:61" ht="78" customHeight="1" x14ac:dyDescent="0.4">
      <c r="A237" s="67" t="s">
        <v>479</v>
      </c>
      <c r="B237" t="e">
        <f>_xlfn.XLOOKUP(A237,'Product info'!A:A,'Product info'!C:C,,2)</f>
        <v>#N/A</v>
      </c>
      <c r="C237" s="69" t="s">
        <v>688</v>
      </c>
      <c r="D237" s="7" t="s">
        <v>689</v>
      </c>
      <c r="E237" s="7" t="s">
        <v>690</v>
      </c>
      <c r="F237" s="7" t="s">
        <v>691</v>
      </c>
      <c r="G237" s="7" t="s">
        <v>692</v>
      </c>
      <c r="H237" s="7" t="s">
        <v>693</v>
      </c>
      <c r="I237" s="7" t="s">
        <v>694</v>
      </c>
      <c r="J237" s="7" t="s">
        <v>695</v>
      </c>
      <c r="K237" s="7" t="s">
        <v>696</v>
      </c>
      <c r="L237" s="7" t="s">
        <v>697</v>
      </c>
      <c r="M237" s="7" t="s">
        <v>698</v>
      </c>
      <c r="N237" s="7" t="s">
        <v>699</v>
      </c>
      <c r="O237" s="7" t="s">
        <v>700</v>
      </c>
      <c r="P237" s="7" t="s">
        <v>701</v>
      </c>
      <c r="Q237" s="7" t="s">
        <v>702</v>
      </c>
      <c r="R237" s="7" t="s">
        <v>703</v>
      </c>
      <c r="S237" s="7" t="s">
        <v>704</v>
      </c>
      <c r="T237" s="7" t="s">
        <v>705</v>
      </c>
      <c r="U237" s="7" t="s">
        <v>706</v>
      </c>
      <c r="V237" s="7" t="s">
        <v>707</v>
      </c>
      <c r="W237" s="7" t="s">
        <v>708</v>
      </c>
      <c r="X237" s="7" t="s">
        <v>709</v>
      </c>
      <c r="Y237" s="7" t="s">
        <v>710</v>
      </c>
      <c r="Z237" s="7" t="s">
        <v>711</v>
      </c>
      <c r="AA237" s="7" t="s">
        <v>712</v>
      </c>
      <c r="AB237" s="7" t="s">
        <v>694</v>
      </c>
      <c r="AC237" s="7" t="s">
        <v>713</v>
      </c>
      <c r="AD237" s="7" t="s">
        <v>714</v>
      </c>
      <c r="AE237" s="7" t="s">
        <v>715</v>
      </c>
      <c r="AF237" s="7" t="s">
        <v>716</v>
      </c>
      <c r="AG237" s="7" t="s">
        <v>688</v>
      </c>
      <c r="AH237" s="7" t="s">
        <v>689</v>
      </c>
      <c r="AI237" s="7" t="s">
        <v>747</v>
      </c>
      <c r="AJ237" s="7" t="s">
        <v>696</v>
      </c>
      <c r="AK237" s="7" t="s">
        <v>773</v>
      </c>
      <c r="AL237" s="7" t="s">
        <v>940</v>
      </c>
      <c r="AM237" s="7" t="s">
        <v>941</v>
      </c>
      <c r="AN237" s="7" t="s">
        <v>942</v>
      </c>
      <c r="AO237" s="7" t="s">
        <v>1307</v>
      </c>
      <c r="AP237" s="7" t="s">
        <v>1308</v>
      </c>
      <c r="AQ237" s="7" t="s">
        <v>1309</v>
      </c>
      <c r="AR237" s="7" t="s">
        <v>1310</v>
      </c>
      <c r="AS237" s="7" t="s">
        <v>1311</v>
      </c>
      <c r="AT237" s="7" t="s">
        <v>1312</v>
      </c>
      <c r="AU237" s="7" t="s">
        <v>1313</v>
      </c>
      <c r="AV237" s="7" t="s">
        <v>1314</v>
      </c>
      <c r="AW237" s="7" t="s">
        <v>1315</v>
      </c>
      <c r="AX237" s="7" t="s">
        <v>1316</v>
      </c>
      <c r="AY237" s="7" t="s">
        <v>1317</v>
      </c>
      <c r="AZ237" s="7" t="s">
        <v>1318</v>
      </c>
      <c r="BA237" s="7" t="s">
        <v>1319</v>
      </c>
      <c r="BB237" s="7" t="s">
        <v>1320</v>
      </c>
      <c r="BC237" s="7" t="s">
        <v>1321</v>
      </c>
      <c r="BD237" s="7" t="s">
        <v>1322</v>
      </c>
      <c r="BE237" s="7" t="s">
        <v>1323</v>
      </c>
      <c r="BF237" s="7" t="s">
        <v>1324</v>
      </c>
      <c r="BG237" s="7" t="s">
        <v>1325</v>
      </c>
    </row>
    <row r="238" spans="1:61" ht="78" customHeight="1" x14ac:dyDescent="0.4">
      <c r="A238" s="67" t="s">
        <v>477</v>
      </c>
      <c r="B238" t="e">
        <f>_xlfn.XLOOKUP(A238,'Product info'!A:A,'Product info'!C:C,,2)</f>
        <v>#N/A</v>
      </c>
      <c r="C238" s="69" t="s">
        <v>688</v>
      </c>
      <c r="D238" s="7" t="s">
        <v>689</v>
      </c>
      <c r="E238" s="7" t="s">
        <v>690</v>
      </c>
      <c r="F238" s="7" t="s">
        <v>691</v>
      </c>
      <c r="G238" s="7" t="s">
        <v>692</v>
      </c>
      <c r="H238" s="7" t="s">
        <v>693</v>
      </c>
      <c r="I238" s="7" t="s">
        <v>694</v>
      </c>
      <c r="J238" s="7" t="s">
        <v>695</v>
      </c>
      <c r="K238" s="7" t="s">
        <v>696</v>
      </c>
      <c r="L238" s="7" t="s">
        <v>697</v>
      </c>
      <c r="M238" s="7" t="s">
        <v>698</v>
      </c>
      <c r="N238" s="7" t="s">
        <v>699</v>
      </c>
      <c r="O238" s="7" t="s">
        <v>700</v>
      </c>
      <c r="P238" s="7" t="s">
        <v>701</v>
      </c>
      <c r="Q238" s="7" t="s">
        <v>702</v>
      </c>
      <c r="R238" s="7" t="s">
        <v>703</v>
      </c>
      <c r="S238" s="7" t="s">
        <v>704</v>
      </c>
      <c r="T238" s="7" t="s">
        <v>705</v>
      </c>
      <c r="U238" s="7" t="s">
        <v>706</v>
      </c>
      <c r="V238" s="7" t="s">
        <v>707</v>
      </c>
      <c r="W238" s="7" t="s">
        <v>708</v>
      </c>
      <c r="X238" s="7" t="s">
        <v>709</v>
      </c>
      <c r="Y238" s="7" t="s">
        <v>710</v>
      </c>
      <c r="Z238" s="7" t="s">
        <v>711</v>
      </c>
      <c r="AA238" s="7" t="s">
        <v>712</v>
      </c>
      <c r="AB238" s="7" t="s">
        <v>694</v>
      </c>
      <c r="AC238" s="7" t="s">
        <v>713</v>
      </c>
      <c r="AD238" s="7" t="s">
        <v>714</v>
      </c>
      <c r="AE238" s="7" t="s">
        <v>715</v>
      </c>
      <c r="AF238" s="7" t="s">
        <v>716</v>
      </c>
      <c r="AG238" s="7" t="s">
        <v>688</v>
      </c>
      <c r="AH238" s="7" t="s">
        <v>689</v>
      </c>
      <c r="AI238" s="7" t="s">
        <v>747</v>
      </c>
      <c r="AJ238" s="7" t="s">
        <v>696</v>
      </c>
      <c r="AK238" s="7" t="s">
        <v>773</v>
      </c>
      <c r="AL238" s="7" t="s">
        <v>940</v>
      </c>
      <c r="AM238" s="7" t="s">
        <v>941</v>
      </c>
      <c r="AN238" s="7" t="s">
        <v>942</v>
      </c>
      <c r="AO238" s="7" t="s">
        <v>1307</v>
      </c>
      <c r="AP238" s="7" t="s">
        <v>1308</v>
      </c>
      <c r="AQ238" s="7" t="s">
        <v>1309</v>
      </c>
      <c r="AR238" s="7" t="s">
        <v>1310</v>
      </c>
      <c r="AS238" s="7" t="s">
        <v>1311</v>
      </c>
      <c r="AT238" s="7" t="s">
        <v>1312</v>
      </c>
      <c r="AU238" s="7" t="s">
        <v>1313</v>
      </c>
      <c r="AV238" s="7" t="s">
        <v>1314</v>
      </c>
      <c r="AW238" s="7" t="s">
        <v>1315</v>
      </c>
      <c r="AX238" s="7" t="s">
        <v>1316</v>
      </c>
      <c r="AY238" s="7" t="s">
        <v>1317</v>
      </c>
      <c r="AZ238" s="7" t="s">
        <v>1318</v>
      </c>
      <c r="BA238" s="7" t="s">
        <v>1319</v>
      </c>
      <c r="BB238" s="7" t="s">
        <v>1320</v>
      </c>
      <c r="BC238" s="7" t="s">
        <v>1321</v>
      </c>
      <c r="BD238" s="7" t="s">
        <v>1322</v>
      </c>
      <c r="BE238" s="7" t="s">
        <v>1323</v>
      </c>
      <c r="BF238" s="7" t="s">
        <v>1324</v>
      </c>
      <c r="BG238" s="7" t="s">
        <v>1325</v>
      </c>
    </row>
    <row r="239" spans="1:61" ht="78" customHeight="1" x14ac:dyDescent="0.4">
      <c r="A239" s="67" t="s">
        <v>195</v>
      </c>
      <c r="B239" t="e">
        <f>_xlfn.XLOOKUP(A239,'Product info'!A:A,'Product info'!C:C,,2)</f>
        <v>#N/A</v>
      </c>
      <c r="C239" s="69" t="s">
        <v>688</v>
      </c>
      <c r="D239" s="7" t="s">
        <v>689</v>
      </c>
      <c r="E239" s="7" t="s">
        <v>690</v>
      </c>
      <c r="F239" s="7" t="s">
        <v>691</v>
      </c>
      <c r="G239" s="7" t="s">
        <v>692</v>
      </c>
      <c r="H239" s="7" t="s">
        <v>693</v>
      </c>
      <c r="I239" s="7" t="s">
        <v>694</v>
      </c>
      <c r="J239" s="7" t="s">
        <v>695</v>
      </c>
      <c r="K239" s="7" t="s">
        <v>696</v>
      </c>
      <c r="L239" s="7" t="s">
        <v>697</v>
      </c>
      <c r="M239" s="7" t="s">
        <v>698</v>
      </c>
      <c r="N239" s="7" t="s">
        <v>699</v>
      </c>
      <c r="O239" s="7" t="s">
        <v>700</v>
      </c>
      <c r="P239" s="7" t="s">
        <v>701</v>
      </c>
      <c r="Q239" s="7" t="s">
        <v>702</v>
      </c>
      <c r="R239" s="7" t="s">
        <v>703</v>
      </c>
      <c r="S239" s="7" t="s">
        <v>704</v>
      </c>
      <c r="T239" s="7" t="s">
        <v>705</v>
      </c>
      <c r="U239" s="7" t="s">
        <v>706</v>
      </c>
      <c r="V239" s="7" t="s">
        <v>707</v>
      </c>
      <c r="W239" s="7" t="s">
        <v>708</v>
      </c>
      <c r="X239" s="7" t="s">
        <v>709</v>
      </c>
      <c r="Y239" s="7" t="s">
        <v>710</v>
      </c>
      <c r="Z239" s="7" t="s">
        <v>711</v>
      </c>
      <c r="AA239" s="7" t="s">
        <v>712</v>
      </c>
      <c r="AB239" s="7" t="s">
        <v>694</v>
      </c>
      <c r="AC239" s="7" t="s">
        <v>713</v>
      </c>
      <c r="AD239" s="7" t="s">
        <v>714</v>
      </c>
      <c r="AE239" s="7" t="s">
        <v>715</v>
      </c>
      <c r="AF239" s="7" t="s">
        <v>716</v>
      </c>
      <c r="AG239" s="7" t="s">
        <v>688</v>
      </c>
      <c r="AH239" s="7" t="s">
        <v>689</v>
      </c>
      <c r="AI239" s="7" t="s">
        <v>747</v>
      </c>
      <c r="AJ239" s="7" t="s">
        <v>696</v>
      </c>
      <c r="AK239" s="7" t="s">
        <v>773</v>
      </c>
      <c r="AL239" s="7" t="s">
        <v>940</v>
      </c>
      <c r="AM239" s="7" t="s">
        <v>941</v>
      </c>
      <c r="AN239" s="7" t="s">
        <v>942</v>
      </c>
      <c r="AO239" s="7" t="s">
        <v>695</v>
      </c>
      <c r="AP239" s="7" t="s">
        <v>694</v>
      </c>
      <c r="AQ239" s="7" t="s">
        <v>1290</v>
      </c>
      <c r="AR239" s="7" t="s">
        <v>1291</v>
      </c>
      <c r="AS239" s="7" t="s">
        <v>1292</v>
      </c>
      <c r="AT239" s="7" t="s">
        <v>1293</v>
      </c>
      <c r="AU239" s="7" t="s">
        <v>1294</v>
      </c>
      <c r="AV239" s="7" t="s">
        <v>1295</v>
      </c>
      <c r="AW239" s="7" t="s">
        <v>1326</v>
      </c>
      <c r="AX239" s="7" t="s">
        <v>1327</v>
      </c>
      <c r="AY239" s="7" t="s">
        <v>1298</v>
      </c>
      <c r="AZ239" s="7" t="s">
        <v>1299</v>
      </c>
      <c r="BA239" s="7" t="s">
        <v>1300</v>
      </c>
      <c r="BB239" s="7" t="s">
        <v>1301</v>
      </c>
      <c r="BC239" s="7" t="s">
        <v>1302</v>
      </c>
      <c r="BD239" s="7" t="s">
        <v>1303</v>
      </c>
      <c r="BE239" s="7" t="s">
        <v>1304</v>
      </c>
      <c r="BF239" s="7" t="s">
        <v>1305</v>
      </c>
      <c r="BG239" s="7" t="s">
        <v>1328</v>
      </c>
      <c r="BH239" s="7" t="s">
        <v>1329</v>
      </c>
    </row>
    <row r="240" spans="1:61" ht="78" customHeight="1" x14ac:dyDescent="0.4">
      <c r="A240" s="67" t="s">
        <v>194</v>
      </c>
      <c r="B240" t="e">
        <f>_xlfn.XLOOKUP(A240,'Product info'!A:A,'Product info'!C:C,,2)</f>
        <v>#N/A</v>
      </c>
      <c r="C240" s="69" t="s">
        <v>688</v>
      </c>
      <c r="D240" s="7" t="s">
        <v>689</v>
      </c>
      <c r="E240" s="7" t="s">
        <v>690</v>
      </c>
      <c r="F240" s="7" t="s">
        <v>691</v>
      </c>
      <c r="G240" s="7" t="s">
        <v>692</v>
      </c>
      <c r="H240" s="7" t="s">
        <v>693</v>
      </c>
      <c r="I240" s="7" t="s">
        <v>694</v>
      </c>
      <c r="J240" s="7" t="s">
        <v>695</v>
      </c>
      <c r="K240" s="7" t="s">
        <v>696</v>
      </c>
      <c r="L240" s="7" t="s">
        <v>697</v>
      </c>
      <c r="M240" s="7" t="s">
        <v>698</v>
      </c>
      <c r="N240" s="7" t="s">
        <v>699</v>
      </c>
      <c r="O240" s="7" t="s">
        <v>700</v>
      </c>
      <c r="P240" s="7" t="s">
        <v>701</v>
      </c>
      <c r="Q240" s="7" t="s">
        <v>702</v>
      </c>
      <c r="R240" s="7" t="s">
        <v>703</v>
      </c>
      <c r="S240" s="7" t="s">
        <v>704</v>
      </c>
      <c r="T240" s="7" t="s">
        <v>705</v>
      </c>
      <c r="U240" s="7" t="s">
        <v>706</v>
      </c>
      <c r="V240" s="7" t="s">
        <v>707</v>
      </c>
      <c r="W240" s="7" t="s">
        <v>708</v>
      </c>
      <c r="X240" s="7" t="s">
        <v>709</v>
      </c>
      <c r="Y240" s="7" t="s">
        <v>710</v>
      </c>
      <c r="Z240" s="7" t="s">
        <v>711</v>
      </c>
      <c r="AA240" s="7" t="s">
        <v>712</v>
      </c>
      <c r="AB240" s="7" t="s">
        <v>694</v>
      </c>
      <c r="AC240" s="7" t="s">
        <v>713</v>
      </c>
      <c r="AD240" s="7" t="s">
        <v>714</v>
      </c>
      <c r="AE240" s="7" t="s">
        <v>715</v>
      </c>
      <c r="AF240" s="7" t="s">
        <v>716</v>
      </c>
      <c r="AG240" s="7" t="s">
        <v>688</v>
      </c>
      <c r="AH240" s="7" t="s">
        <v>689</v>
      </c>
      <c r="AI240" s="7" t="s">
        <v>747</v>
      </c>
      <c r="AJ240" s="7" t="s">
        <v>696</v>
      </c>
      <c r="AK240" s="7" t="s">
        <v>773</v>
      </c>
      <c r="AL240" s="7" t="s">
        <v>940</v>
      </c>
      <c r="AM240" s="7" t="s">
        <v>941</v>
      </c>
      <c r="AN240" s="7" t="s">
        <v>942</v>
      </c>
      <c r="AO240" s="7" t="s">
        <v>695</v>
      </c>
      <c r="AP240" s="7" t="s">
        <v>694</v>
      </c>
      <c r="AQ240" s="7" t="s">
        <v>1290</v>
      </c>
      <c r="AR240" s="7" t="s">
        <v>1291</v>
      </c>
      <c r="AS240" s="7" t="s">
        <v>1292</v>
      </c>
      <c r="AT240" s="7" t="s">
        <v>1293</v>
      </c>
      <c r="AU240" s="7" t="s">
        <v>1294</v>
      </c>
      <c r="AV240" s="7" t="s">
        <v>1295</v>
      </c>
      <c r="AW240" s="7" t="s">
        <v>1326</v>
      </c>
      <c r="AX240" s="7" t="s">
        <v>1327</v>
      </c>
      <c r="AY240" s="7" t="s">
        <v>1298</v>
      </c>
      <c r="AZ240" s="7" t="s">
        <v>1299</v>
      </c>
      <c r="BA240" s="7" t="s">
        <v>1300</v>
      </c>
      <c r="BB240" s="7" t="s">
        <v>1301</v>
      </c>
      <c r="BC240" s="7" t="s">
        <v>1302</v>
      </c>
      <c r="BD240" s="7" t="s">
        <v>1303</v>
      </c>
      <c r="BE240" s="7" t="s">
        <v>1304</v>
      </c>
      <c r="BF240" s="7" t="s">
        <v>1305</v>
      </c>
      <c r="BG240" s="7" t="s">
        <v>1328</v>
      </c>
      <c r="BH240" s="7" t="s">
        <v>1329</v>
      </c>
      <c r="BI240" s="7" t="s">
        <v>1330</v>
      </c>
    </row>
    <row r="241" spans="1:61" ht="78" customHeight="1" x14ac:dyDescent="0.4">
      <c r="A241" s="67" t="s">
        <v>193</v>
      </c>
      <c r="B241" t="e">
        <f>_xlfn.XLOOKUP(A241,'Product info'!A:A,'Product info'!C:C,,2)</f>
        <v>#N/A</v>
      </c>
      <c r="C241" s="69" t="s">
        <v>688</v>
      </c>
      <c r="D241" s="7" t="s">
        <v>689</v>
      </c>
      <c r="E241" s="7" t="s">
        <v>690</v>
      </c>
      <c r="F241" s="7" t="s">
        <v>691</v>
      </c>
      <c r="G241" s="7" t="s">
        <v>692</v>
      </c>
      <c r="H241" s="7" t="s">
        <v>693</v>
      </c>
      <c r="I241" s="7" t="s">
        <v>694</v>
      </c>
      <c r="J241" s="7" t="s">
        <v>695</v>
      </c>
      <c r="K241" s="7" t="s">
        <v>696</v>
      </c>
      <c r="L241" s="7" t="s">
        <v>697</v>
      </c>
      <c r="M241" s="7" t="s">
        <v>698</v>
      </c>
      <c r="N241" s="7" t="s">
        <v>699</v>
      </c>
      <c r="O241" s="7" t="s">
        <v>700</v>
      </c>
      <c r="P241" s="7" t="s">
        <v>701</v>
      </c>
      <c r="Q241" s="7" t="s">
        <v>702</v>
      </c>
      <c r="R241" s="7" t="s">
        <v>703</v>
      </c>
      <c r="S241" s="7" t="s">
        <v>704</v>
      </c>
      <c r="T241" s="7" t="s">
        <v>705</v>
      </c>
      <c r="U241" s="7" t="s">
        <v>706</v>
      </c>
      <c r="V241" s="7" t="s">
        <v>707</v>
      </c>
      <c r="W241" s="7" t="s">
        <v>708</v>
      </c>
      <c r="X241" s="7" t="s">
        <v>709</v>
      </c>
      <c r="Y241" s="7" t="s">
        <v>710</v>
      </c>
      <c r="Z241" s="7" t="s">
        <v>711</v>
      </c>
      <c r="AA241" s="7" t="s">
        <v>712</v>
      </c>
      <c r="AB241" s="7" t="s">
        <v>694</v>
      </c>
      <c r="AC241" s="7" t="s">
        <v>713</v>
      </c>
      <c r="AD241" s="7" t="s">
        <v>714</v>
      </c>
      <c r="AE241" s="7" t="s">
        <v>715</v>
      </c>
      <c r="AF241" s="7" t="s">
        <v>716</v>
      </c>
      <c r="AG241" s="7" t="s">
        <v>688</v>
      </c>
      <c r="AH241" s="7" t="s">
        <v>689</v>
      </c>
      <c r="AI241" s="7" t="s">
        <v>747</v>
      </c>
      <c r="AJ241" s="7" t="s">
        <v>696</v>
      </c>
      <c r="AK241" s="7" t="s">
        <v>773</v>
      </c>
      <c r="AL241" s="7" t="s">
        <v>940</v>
      </c>
      <c r="AM241" s="7" t="s">
        <v>941</v>
      </c>
      <c r="AN241" s="7" t="s">
        <v>942</v>
      </c>
      <c r="AO241" s="7" t="s">
        <v>695</v>
      </c>
      <c r="AP241" s="7" t="s">
        <v>694</v>
      </c>
      <c r="AQ241" s="7" t="s">
        <v>1290</v>
      </c>
      <c r="AR241" s="7" t="s">
        <v>1291</v>
      </c>
      <c r="AS241" s="7" t="s">
        <v>1292</v>
      </c>
      <c r="AT241" s="7" t="s">
        <v>1293</v>
      </c>
      <c r="AU241" s="7" t="s">
        <v>1294</v>
      </c>
      <c r="AV241" s="7" t="s">
        <v>1295</v>
      </c>
      <c r="AW241" s="7" t="s">
        <v>1326</v>
      </c>
      <c r="AX241" s="7" t="s">
        <v>1327</v>
      </c>
      <c r="AY241" s="7" t="s">
        <v>1298</v>
      </c>
      <c r="AZ241" s="7" t="s">
        <v>1299</v>
      </c>
      <c r="BA241" s="7" t="s">
        <v>1300</v>
      </c>
      <c r="BB241" s="7" t="s">
        <v>1301</v>
      </c>
      <c r="BC241" s="7" t="s">
        <v>1302</v>
      </c>
      <c r="BD241" s="7" t="s">
        <v>1303</v>
      </c>
      <c r="BE241" s="7" t="s">
        <v>1304</v>
      </c>
      <c r="BF241" s="7" t="s">
        <v>1305</v>
      </c>
      <c r="BG241" s="7" t="s">
        <v>1328</v>
      </c>
      <c r="BH241" s="7" t="s">
        <v>1329</v>
      </c>
      <c r="BI241" s="7" t="s">
        <v>1330</v>
      </c>
    </row>
    <row r="242" spans="1:61" ht="78" customHeight="1" x14ac:dyDescent="0.4">
      <c r="A242" s="67" t="s">
        <v>205</v>
      </c>
      <c r="B242" t="e">
        <f>_xlfn.XLOOKUP(A242,'Product info'!A:A,'Product info'!C:C,,2)</f>
        <v>#N/A</v>
      </c>
      <c r="C242" s="69" t="s">
        <v>688</v>
      </c>
      <c r="D242" s="7" t="s">
        <v>689</v>
      </c>
      <c r="E242" s="7" t="s">
        <v>747</v>
      </c>
      <c r="F242" s="7" t="s">
        <v>696</v>
      </c>
      <c r="G242" s="7" t="s">
        <v>773</v>
      </c>
      <c r="H242" s="7" t="s">
        <v>940</v>
      </c>
      <c r="I242" s="7" t="s">
        <v>941</v>
      </c>
      <c r="J242" s="7" t="s">
        <v>942</v>
      </c>
      <c r="K242" s="7" t="s">
        <v>695</v>
      </c>
      <c r="L242" s="7" t="s">
        <v>694</v>
      </c>
      <c r="M242" s="7" t="s">
        <v>1331</v>
      </c>
      <c r="N242" s="7" t="s">
        <v>1332</v>
      </c>
      <c r="O242" s="7" t="s">
        <v>1333</v>
      </c>
      <c r="P242" s="7" t="s">
        <v>1334</v>
      </c>
      <c r="Q242" s="7" t="s">
        <v>1335</v>
      </c>
      <c r="R242" s="7" t="s">
        <v>1336</v>
      </c>
      <c r="S242" s="7" t="s">
        <v>1337</v>
      </c>
      <c r="T242" s="7" t="s">
        <v>1338</v>
      </c>
      <c r="U242" s="7" t="s">
        <v>1339</v>
      </c>
      <c r="V242" s="7" t="s">
        <v>1172</v>
      </c>
      <c r="W242" s="7" t="s">
        <v>1340</v>
      </c>
      <c r="X242" s="7" t="s">
        <v>1341</v>
      </c>
      <c r="Y242" s="7" t="s">
        <v>1342</v>
      </c>
      <c r="Z242" s="7" t="s">
        <v>1343</v>
      </c>
      <c r="AA242" s="7" t="s">
        <v>1344</v>
      </c>
      <c r="AB242" s="7" t="s">
        <v>1345</v>
      </c>
      <c r="AC242" s="7" t="s">
        <v>1346</v>
      </c>
      <c r="AD242" s="7" t="s">
        <v>1347</v>
      </c>
      <c r="AE242" s="7" t="s">
        <v>1348</v>
      </c>
      <c r="AF242" s="7" t="s">
        <v>1349</v>
      </c>
      <c r="AG242" s="7" t="s">
        <v>1179</v>
      </c>
      <c r="AH242" s="7" t="s">
        <v>1350</v>
      </c>
      <c r="AI242" s="7" t="s">
        <v>1351</v>
      </c>
      <c r="AJ242" s="7" t="s">
        <v>1182</v>
      </c>
    </row>
    <row r="243" spans="1:61" ht="78" customHeight="1" x14ac:dyDescent="0.4">
      <c r="A243" s="67" t="s">
        <v>206</v>
      </c>
      <c r="B243" t="e">
        <f>_xlfn.XLOOKUP(A243,'Product info'!A:A,'Product info'!C:C,,2)</f>
        <v>#N/A</v>
      </c>
      <c r="C243" s="69" t="s">
        <v>688</v>
      </c>
      <c r="D243" s="7" t="s">
        <v>689</v>
      </c>
      <c r="E243" s="7" t="s">
        <v>747</v>
      </c>
      <c r="F243" s="7" t="s">
        <v>696</v>
      </c>
      <c r="G243" s="7" t="s">
        <v>773</v>
      </c>
      <c r="H243" s="7" t="s">
        <v>940</v>
      </c>
      <c r="I243" s="7" t="s">
        <v>941</v>
      </c>
      <c r="J243" s="7" t="s">
        <v>942</v>
      </c>
      <c r="K243" s="7" t="s">
        <v>695</v>
      </c>
      <c r="L243" s="7" t="s">
        <v>694</v>
      </c>
      <c r="M243" s="7" t="s">
        <v>1331</v>
      </c>
      <c r="N243" s="7" t="s">
        <v>1332</v>
      </c>
      <c r="O243" s="7" t="s">
        <v>1333</v>
      </c>
      <c r="P243" s="7" t="s">
        <v>1334</v>
      </c>
      <c r="Q243" s="7" t="s">
        <v>1335</v>
      </c>
      <c r="R243" s="7" t="s">
        <v>1336</v>
      </c>
      <c r="S243" s="7" t="s">
        <v>1337</v>
      </c>
      <c r="T243" s="7" t="s">
        <v>1338</v>
      </c>
      <c r="U243" s="7" t="s">
        <v>1339</v>
      </c>
      <c r="V243" s="7" t="s">
        <v>1172</v>
      </c>
      <c r="W243" s="7" t="s">
        <v>1352</v>
      </c>
      <c r="X243" s="7" t="s">
        <v>1341</v>
      </c>
      <c r="Y243" s="7" t="s">
        <v>1353</v>
      </c>
      <c r="Z243" s="7" t="s">
        <v>1175</v>
      </c>
      <c r="AA243" s="7" t="s">
        <v>1354</v>
      </c>
      <c r="AB243" s="7" t="s">
        <v>1355</v>
      </c>
      <c r="AC243" s="7" t="s">
        <v>1356</v>
      </c>
      <c r="AD243" s="7" t="s">
        <v>1357</v>
      </c>
      <c r="AE243" s="7" t="s">
        <v>1358</v>
      </c>
      <c r="AF243" s="7" t="s">
        <v>1359</v>
      </c>
      <c r="AG243" s="7" t="s">
        <v>1360</v>
      </c>
      <c r="AH243" s="7" t="s">
        <v>1361</v>
      </c>
    </row>
    <row r="244" spans="1:61" ht="78" customHeight="1" x14ac:dyDescent="0.4">
      <c r="A244" s="67" t="s">
        <v>476</v>
      </c>
      <c r="B244" t="e">
        <f>_xlfn.XLOOKUP(A244,'Product info'!A:A,'Product info'!C:C,,2)</f>
        <v>#N/A</v>
      </c>
      <c r="C244" s="69" t="s">
        <v>688</v>
      </c>
      <c r="D244" s="7" t="s">
        <v>689</v>
      </c>
      <c r="E244" s="7" t="s">
        <v>690</v>
      </c>
      <c r="F244" s="7" t="s">
        <v>691</v>
      </c>
      <c r="G244" s="7" t="s">
        <v>692</v>
      </c>
      <c r="H244" s="7" t="s">
        <v>693</v>
      </c>
      <c r="I244" s="7" t="s">
        <v>694</v>
      </c>
      <c r="J244" s="7" t="s">
        <v>695</v>
      </c>
      <c r="K244" s="7" t="s">
        <v>696</v>
      </c>
      <c r="L244" s="7" t="s">
        <v>697</v>
      </c>
      <c r="M244" s="7" t="s">
        <v>698</v>
      </c>
      <c r="N244" s="7" t="s">
        <v>699</v>
      </c>
      <c r="O244" s="7" t="s">
        <v>700</v>
      </c>
      <c r="P244" s="7" t="s">
        <v>701</v>
      </c>
      <c r="Q244" s="7" t="s">
        <v>702</v>
      </c>
      <c r="R244" s="7" t="s">
        <v>703</v>
      </c>
      <c r="S244" s="7" t="s">
        <v>704</v>
      </c>
      <c r="T244" s="7" t="s">
        <v>705</v>
      </c>
      <c r="U244" s="7" t="s">
        <v>706</v>
      </c>
      <c r="V244" s="7" t="s">
        <v>707</v>
      </c>
      <c r="W244" s="7" t="s">
        <v>708</v>
      </c>
      <c r="X244" s="7" t="s">
        <v>709</v>
      </c>
      <c r="Y244" s="7" t="s">
        <v>710</v>
      </c>
      <c r="Z244" s="7" t="s">
        <v>711</v>
      </c>
      <c r="AA244" s="7" t="s">
        <v>712</v>
      </c>
      <c r="AB244" s="7" t="s">
        <v>694</v>
      </c>
      <c r="AC244" s="7" t="s">
        <v>713</v>
      </c>
      <c r="AD244" s="7" t="s">
        <v>714</v>
      </c>
      <c r="AE244" s="7" t="s">
        <v>715</v>
      </c>
      <c r="AF244" s="7" t="s">
        <v>716</v>
      </c>
      <c r="AG244" s="7" t="s">
        <v>688</v>
      </c>
      <c r="AH244" s="7" t="s">
        <v>689</v>
      </c>
      <c r="AI244" s="7" t="s">
        <v>747</v>
      </c>
      <c r="AJ244" s="7" t="s">
        <v>696</v>
      </c>
      <c r="AK244" s="7" t="s">
        <v>773</v>
      </c>
      <c r="AL244" s="7" t="s">
        <v>940</v>
      </c>
      <c r="AM244" s="7" t="s">
        <v>941</v>
      </c>
      <c r="AN244" s="7" t="s">
        <v>942</v>
      </c>
      <c r="AO244" s="7" t="s">
        <v>773</v>
      </c>
      <c r="AP244" s="7" t="s">
        <v>877</v>
      </c>
      <c r="AQ244" s="7" t="s">
        <v>878</v>
      </c>
      <c r="AR244" s="7" t="s">
        <v>879</v>
      </c>
      <c r="AS244" s="7" t="s">
        <v>880</v>
      </c>
      <c r="AT244" s="7" t="s">
        <v>881</v>
      </c>
      <c r="AU244" s="7" t="s">
        <v>882</v>
      </c>
      <c r="AV244" s="7" t="s">
        <v>883</v>
      </c>
      <c r="AW244" s="7" t="s">
        <v>1362</v>
      </c>
      <c r="AX244" s="7" t="s">
        <v>1363</v>
      </c>
      <c r="AY244" s="7" t="s">
        <v>1364</v>
      </c>
      <c r="AZ244" s="7" t="s">
        <v>1365</v>
      </c>
      <c r="BA244" s="7" t="s">
        <v>1366</v>
      </c>
      <c r="BB244" s="7" t="s">
        <v>1367</v>
      </c>
      <c r="BC244" s="7" t="s">
        <v>1368</v>
      </c>
      <c r="BD244" s="7" t="s">
        <v>1369</v>
      </c>
    </row>
    <row r="245" spans="1:61" ht="78" customHeight="1" x14ac:dyDescent="0.4">
      <c r="A245" s="67" t="s">
        <v>481</v>
      </c>
      <c r="B245" t="e">
        <f>_xlfn.XLOOKUP(A245,'Product info'!A:A,'Product info'!C:C,,2)</f>
        <v>#N/A</v>
      </c>
      <c r="C245" s="69" t="s">
        <v>688</v>
      </c>
      <c r="D245" s="7" t="s">
        <v>689</v>
      </c>
      <c r="E245" s="7" t="s">
        <v>690</v>
      </c>
      <c r="F245" s="7" t="s">
        <v>691</v>
      </c>
      <c r="G245" s="7" t="s">
        <v>692</v>
      </c>
      <c r="H245" s="7" t="s">
        <v>693</v>
      </c>
      <c r="I245" s="7" t="s">
        <v>694</v>
      </c>
      <c r="J245" s="7" t="s">
        <v>695</v>
      </c>
      <c r="K245" s="7" t="s">
        <v>696</v>
      </c>
      <c r="L245" s="7" t="s">
        <v>697</v>
      </c>
      <c r="M245" s="7" t="s">
        <v>698</v>
      </c>
      <c r="N245" s="7" t="s">
        <v>699</v>
      </c>
      <c r="O245" s="7" t="s">
        <v>700</v>
      </c>
      <c r="P245" s="7" t="s">
        <v>701</v>
      </c>
      <c r="Q245" s="7" t="s">
        <v>702</v>
      </c>
      <c r="R245" s="7" t="s">
        <v>703</v>
      </c>
      <c r="S245" s="7" t="s">
        <v>704</v>
      </c>
      <c r="T245" s="7" t="s">
        <v>705</v>
      </c>
      <c r="U245" s="7" t="s">
        <v>706</v>
      </c>
      <c r="V245" s="7" t="s">
        <v>707</v>
      </c>
      <c r="W245" s="7" t="s">
        <v>708</v>
      </c>
      <c r="X245" s="7" t="s">
        <v>709</v>
      </c>
      <c r="Y245" s="7" t="s">
        <v>710</v>
      </c>
      <c r="Z245" s="7" t="s">
        <v>711</v>
      </c>
      <c r="AA245" s="7" t="s">
        <v>712</v>
      </c>
      <c r="AB245" s="7" t="s">
        <v>694</v>
      </c>
      <c r="AC245" s="7" t="s">
        <v>713</v>
      </c>
      <c r="AD245" s="7" t="s">
        <v>714</v>
      </c>
      <c r="AE245" s="7" t="s">
        <v>715</v>
      </c>
      <c r="AF245" s="7" t="s">
        <v>716</v>
      </c>
      <c r="AG245" s="7" t="s">
        <v>1370</v>
      </c>
      <c r="AH245" s="7" t="s">
        <v>1371</v>
      </c>
      <c r="AI245" s="7" t="s">
        <v>1372</v>
      </c>
      <c r="AJ245" s="7" t="s">
        <v>1373</v>
      </c>
      <c r="AK245" s="7" t="s">
        <v>1374</v>
      </c>
      <c r="AL245" s="7" t="s">
        <v>1375</v>
      </c>
      <c r="AM245" s="7" t="s">
        <v>1376</v>
      </c>
      <c r="AN245" s="7" t="s">
        <v>1377</v>
      </c>
      <c r="AO245" s="7" t="s">
        <v>1378</v>
      </c>
      <c r="AP245" s="7" t="s">
        <v>1379</v>
      </c>
    </row>
    <row r="246" spans="1:61" ht="78" customHeight="1" x14ac:dyDescent="0.4">
      <c r="A246" s="67" t="s">
        <v>478</v>
      </c>
      <c r="B246" t="e">
        <f>_xlfn.XLOOKUP(A246,'Product info'!A:A,'Product info'!C:C,,2)</f>
        <v>#N/A</v>
      </c>
      <c r="C246" s="69" t="s">
        <v>688</v>
      </c>
      <c r="D246" s="7" t="s">
        <v>689</v>
      </c>
      <c r="E246" s="7" t="s">
        <v>690</v>
      </c>
      <c r="F246" s="7" t="s">
        <v>691</v>
      </c>
      <c r="G246" s="7" t="s">
        <v>692</v>
      </c>
      <c r="H246" s="7" t="s">
        <v>693</v>
      </c>
      <c r="I246" s="7" t="s">
        <v>694</v>
      </c>
      <c r="J246" s="7" t="s">
        <v>695</v>
      </c>
      <c r="K246" s="7" t="s">
        <v>696</v>
      </c>
      <c r="L246" s="7" t="s">
        <v>697</v>
      </c>
      <c r="M246" s="7" t="s">
        <v>698</v>
      </c>
      <c r="N246" s="7" t="s">
        <v>699</v>
      </c>
      <c r="O246" s="7" t="s">
        <v>700</v>
      </c>
      <c r="P246" s="7" t="s">
        <v>701</v>
      </c>
      <c r="Q246" s="7" t="s">
        <v>702</v>
      </c>
      <c r="R246" s="7" t="s">
        <v>703</v>
      </c>
      <c r="S246" s="7" t="s">
        <v>704</v>
      </c>
      <c r="T246" s="7" t="s">
        <v>705</v>
      </c>
      <c r="U246" s="7" t="s">
        <v>706</v>
      </c>
      <c r="V246" s="7" t="s">
        <v>707</v>
      </c>
      <c r="W246" s="7" t="s">
        <v>708</v>
      </c>
      <c r="X246" s="7" t="s">
        <v>709</v>
      </c>
      <c r="Y246" s="7" t="s">
        <v>710</v>
      </c>
      <c r="Z246" s="7" t="s">
        <v>711</v>
      </c>
      <c r="AA246" s="7" t="s">
        <v>712</v>
      </c>
      <c r="AB246" s="7" t="s">
        <v>694</v>
      </c>
      <c r="AC246" s="7" t="s">
        <v>713</v>
      </c>
      <c r="AD246" s="7" t="s">
        <v>714</v>
      </c>
      <c r="AE246" s="7" t="s">
        <v>715</v>
      </c>
      <c r="AF246" s="7" t="s">
        <v>716</v>
      </c>
      <c r="AG246" s="7" t="s">
        <v>688</v>
      </c>
      <c r="AH246" s="7" t="s">
        <v>689</v>
      </c>
      <c r="AI246" s="7" t="s">
        <v>747</v>
      </c>
      <c r="AJ246" s="7" t="s">
        <v>696</v>
      </c>
      <c r="AK246" s="7" t="s">
        <v>773</v>
      </c>
      <c r="AL246" s="7" t="s">
        <v>940</v>
      </c>
      <c r="AM246" s="7" t="s">
        <v>941</v>
      </c>
      <c r="AN246" s="7" t="s">
        <v>942</v>
      </c>
      <c r="AO246" s="7" t="s">
        <v>1307</v>
      </c>
      <c r="AP246" s="7" t="s">
        <v>1308</v>
      </c>
      <c r="AQ246" s="7" t="s">
        <v>1309</v>
      </c>
      <c r="AR246" s="7" t="s">
        <v>1310</v>
      </c>
      <c r="AS246" s="7" t="s">
        <v>1311</v>
      </c>
      <c r="AT246" s="7" t="s">
        <v>1312</v>
      </c>
      <c r="AU246" s="7" t="s">
        <v>1313</v>
      </c>
      <c r="AV246" s="7" t="s">
        <v>1314</v>
      </c>
      <c r="AW246" s="7" t="s">
        <v>1315</v>
      </c>
      <c r="AX246" s="7" t="s">
        <v>1316</v>
      </c>
      <c r="AY246" s="7" t="s">
        <v>1317</v>
      </c>
      <c r="AZ246" s="7" t="s">
        <v>1318</v>
      </c>
      <c r="BA246" s="7" t="s">
        <v>1319</v>
      </c>
      <c r="BB246" s="7" t="s">
        <v>1320</v>
      </c>
      <c r="BC246" s="7" t="s">
        <v>1321</v>
      </c>
      <c r="BD246" s="7" t="s">
        <v>1322</v>
      </c>
      <c r="BE246" s="7" t="s">
        <v>1323</v>
      </c>
      <c r="BF246" s="7" t="s">
        <v>1324</v>
      </c>
      <c r="BG246" s="7" t="s">
        <v>1325</v>
      </c>
    </row>
    <row r="247" spans="1:61" ht="78" customHeight="1" x14ac:dyDescent="0.4">
      <c r="A247" s="67" t="s">
        <v>160</v>
      </c>
      <c r="B247" t="e">
        <f>_xlfn.XLOOKUP(A247,'Product info'!A:A,'Product info'!C:C,,2)</f>
        <v>#N/A</v>
      </c>
      <c r="C247" s="69" t="s">
        <v>688</v>
      </c>
      <c r="D247" s="7" t="s">
        <v>689</v>
      </c>
      <c r="E247" s="7" t="s">
        <v>690</v>
      </c>
      <c r="F247" s="7" t="s">
        <v>691</v>
      </c>
      <c r="G247" s="7" t="s">
        <v>692</v>
      </c>
      <c r="H247" s="7" t="s">
        <v>693</v>
      </c>
      <c r="I247" s="7" t="s">
        <v>694</v>
      </c>
      <c r="J247" s="7" t="s">
        <v>695</v>
      </c>
      <c r="K247" s="7" t="s">
        <v>696</v>
      </c>
      <c r="L247" s="7" t="s">
        <v>697</v>
      </c>
      <c r="M247" s="7" t="s">
        <v>698</v>
      </c>
      <c r="N247" s="7" t="s">
        <v>699</v>
      </c>
      <c r="O247" s="7" t="s">
        <v>700</v>
      </c>
      <c r="P247" s="7" t="s">
        <v>701</v>
      </c>
      <c r="Q247" s="7" t="s">
        <v>702</v>
      </c>
      <c r="R247" s="7" t="s">
        <v>703</v>
      </c>
      <c r="S247" s="7" t="s">
        <v>704</v>
      </c>
      <c r="T247" s="7" t="s">
        <v>705</v>
      </c>
      <c r="U247" s="7" t="s">
        <v>706</v>
      </c>
      <c r="V247" s="7" t="s">
        <v>707</v>
      </c>
      <c r="W247" s="7" t="s">
        <v>708</v>
      </c>
      <c r="X247" s="7" t="s">
        <v>709</v>
      </c>
      <c r="Y247" s="7" t="s">
        <v>710</v>
      </c>
      <c r="Z247" s="7" t="s">
        <v>711</v>
      </c>
      <c r="AA247" s="7" t="s">
        <v>712</v>
      </c>
      <c r="AB247" s="7" t="s">
        <v>694</v>
      </c>
      <c r="AC247" s="7" t="s">
        <v>713</v>
      </c>
      <c r="AD247" s="7" t="s">
        <v>714</v>
      </c>
      <c r="AE247" s="7" t="s">
        <v>715</v>
      </c>
      <c r="AF247" s="7" t="s">
        <v>716</v>
      </c>
      <c r="AG247" s="7" t="s">
        <v>688</v>
      </c>
      <c r="AH247" s="7" t="s">
        <v>689</v>
      </c>
      <c r="AI247" s="7" t="s">
        <v>747</v>
      </c>
      <c r="AJ247" s="7" t="s">
        <v>696</v>
      </c>
      <c r="AK247" s="7" t="s">
        <v>773</v>
      </c>
    </row>
    <row r="248" spans="1:61" ht="78" customHeight="1" x14ac:dyDescent="0.4">
      <c r="A248" s="67" t="s">
        <v>433</v>
      </c>
      <c r="B248" t="e">
        <f>_xlfn.XLOOKUP(A248,'Product info'!A:A,'Product info'!C:C,,2)</f>
        <v>#N/A</v>
      </c>
      <c r="C248" s="69" t="s">
        <v>688</v>
      </c>
      <c r="D248" s="7" t="s">
        <v>689</v>
      </c>
      <c r="E248" s="7" t="s">
        <v>747</v>
      </c>
      <c r="F248" s="7" t="s">
        <v>748</v>
      </c>
      <c r="G248" s="7" t="s">
        <v>749</v>
      </c>
      <c r="H248" s="7" t="s">
        <v>1380</v>
      </c>
      <c r="I248" s="7" t="s">
        <v>751</v>
      </c>
      <c r="J248" s="7" t="s">
        <v>752</v>
      </c>
      <c r="K248" s="7" t="s">
        <v>862</v>
      </c>
      <c r="L248" s="7" t="s">
        <v>754</v>
      </c>
      <c r="M248" s="7" t="s">
        <v>755</v>
      </c>
      <c r="N248" s="7" t="s">
        <v>863</v>
      </c>
      <c r="O248" s="7" t="s">
        <v>1381</v>
      </c>
      <c r="P248" s="7" t="s">
        <v>1382</v>
      </c>
      <c r="Q248" s="7" t="s">
        <v>1383</v>
      </c>
      <c r="R248" s="7" t="s">
        <v>1384</v>
      </c>
      <c r="S248" s="7" t="s">
        <v>1385</v>
      </c>
      <c r="T248" s="7" t="s">
        <v>1386</v>
      </c>
      <c r="U248" s="7" t="s">
        <v>867</v>
      </c>
      <c r="V248" s="7" t="s">
        <v>1387</v>
      </c>
      <c r="W248" s="7" t="s">
        <v>1388</v>
      </c>
      <c r="X248" s="7" t="s">
        <v>1389</v>
      </c>
      <c r="Y248" s="7" t="s">
        <v>1390</v>
      </c>
      <c r="Z248" s="7" t="s">
        <v>1391</v>
      </c>
      <c r="AA248" s="7" t="s">
        <v>1392</v>
      </c>
    </row>
    <row r="249" spans="1:61" ht="78" customHeight="1" x14ac:dyDescent="0.4">
      <c r="A249" s="67" t="s">
        <v>430</v>
      </c>
      <c r="B249" t="e">
        <f>_xlfn.XLOOKUP(A249,'Product info'!A:A,'Product info'!C:C,,2)</f>
        <v>#N/A</v>
      </c>
      <c r="C249" s="69" t="s">
        <v>688</v>
      </c>
      <c r="D249" s="7" t="s">
        <v>689</v>
      </c>
      <c r="E249" s="7" t="s">
        <v>747</v>
      </c>
      <c r="F249" s="7" t="s">
        <v>748</v>
      </c>
      <c r="G249" s="7" t="s">
        <v>749</v>
      </c>
      <c r="H249" s="7" t="s">
        <v>1380</v>
      </c>
      <c r="I249" s="7" t="s">
        <v>751</v>
      </c>
      <c r="J249" s="7" t="s">
        <v>752</v>
      </c>
      <c r="K249" s="7" t="s">
        <v>862</v>
      </c>
      <c r="L249" s="7" t="s">
        <v>754</v>
      </c>
      <c r="M249" s="7" t="s">
        <v>755</v>
      </c>
      <c r="N249" s="7" t="s">
        <v>863</v>
      </c>
      <c r="O249" s="7" t="s">
        <v>1381</v>
      </c>
      <c r="P249" s="7" t="s">
        <v>1382</v>
      </c>
      <c r="Q249" s="7" t="s">
        <v>758</v>
      </c>
      <c r="R249" s="7" t="s">
        <v>759</v>
      </c>
      <c r="S249" s="7" t="s">
        <v>760</v>
      </c>
      <c r="T249" s="7" t="s">
        <v>1386</v>
      </c>
      <c r="U249" s="7" t="s">
        <v>867</v>
      </c>
      <c r="V249" s="7" t="s">
        <v>1387</v>
      </c>
      <c r="W249" s="7" t="s">
        <v>1388</v>
      </c>
      <c r="X249" s="7" t="s">
        <v>1389</v>
      </c>
      <c r="Y249" s="7" t="s">
        <v>1390</v>
      </c>
      <c r="Z249" s="7" t="s">
        <v>1391</v>
      </c>
      <c r="AA249" s="7" t="s">
        <v>1392</v>
      </c>
    </row>
    <row r="250" spans="1:61" ht="78" customHeight="1" x14ac:dyDescent="0.4">
      <c r="A250" s="67" t="s">
        <v>142</v>
      </c>
      <c r="B250" t="e">
        <f>_xlfn.XLOOKUP(A250,'Product info'!A:A,'Product info'!C:C,,2)</f>
        <v>#N/A</v>
      </c>
      <c r="C250" s="69" t="s">
        <v>688</v>
      </c>
      <c r="D250" s="7" t="s">
        <v>689</v>
      </c>
      <c r="E250" s="7" t="s">
        <v>690</v>
      </c>
      <c r="F250" s="7" t="s">
        <v>691</v>
      </c>
      <c r="G250" s="7" t="s">
        <v>692</v>
      </c>
      <c r="H250" s="7" t="s">
        <v>693</v>
      </c>
      <c r="I250" s="7" t="s">
        <v>694</v>
      </c>
      <c r="J250" s="7" t="s">
        <v>695</v>
      </c>
      <c r="K250" s="7" t="s">
        <v>696</v>
      </c>
      <c r="L250" s="7" t="s">
        <v>697</v>
      </c>
      <c r="M250" s="7" t="s">
        <v>698</v>
      </c>
      <c r="N250" s="7" t="s">
        <v>699</v>
      </c>
      <c r="O250" s="7" t="s">
        <v>700</v>
      </c>
      <c r="P250" s="7" t="s">
        <v>701</v>
      </c>
      <c r="Q250" s="7" t="s">
        <v>702</v>
      </c>
      <c r="R250" s="7" t="s">
        <v>703</v>
      </c>
      <c r="S250" s="7" t="s">
        <v>704</v>
      </c>
      <c r="T250" s="7" t="s">
        <v>705</v>
      </c>
      <c r="U250" s="7" t="s">
        <v>706</v>
      </c>
      <c r="V250" s="7" t="s">
        <v>707</v>
      </c>
      <c r="W250" s="7" t="s">
        <v>708</v>
      </c>
      <c r="X250" s="7" t="s">
        <v>709</v>
      </c>
      <c r="Y250" s="7" t="s">
        <v>710</v>
      </c>
      <c r="Z250" s="7" t="s">
        <v>711</v>
      </c>
      <c r="AA250" s="7" t="s">
        <v>712</v>
      </c>
      <c r="AB250" s="7" t="s">
        <v>694</v>
      </c>
      <c r="AC250" s="7" t="s">
        <v>713</v>
      </c>
      <c r="AD250" s="7" t="s">
        <v>714</v>
      </c>
      <c r="AE250" s="7" t="s">
        <v>715</v>
      </c>
      <c r="AF250" s="7" t="s">
        <v>716</v>
      </c>
      <c r="AG250" s="7" t="s">
        <v>688</v>
      </c>
      <c r="AH250" s="7" t="s">
        <v>689</v>
      </c>
      <c r="AI250" s="7" t="s">
        <v>747</v>
      </c>
      <c r="AJ250" s="7" t="s">
        <v>696</v>
      </c>
      <c r="AK250" s="7" t="s">
        <v>773</v>
      </c>
    </row>
    <row r="251" spans="1:61" ht="78" customHeight="1" x14ac:dyDescent="0.4">
      <c r="A251" s="67" t="s">
        <v>434</v>
      </c>
      <c r="B251" t="e">
        <f>_xlfn.XLOOKUP(A251,'Product info'!A:A,'Product info'!C:C,,2)</f>
        <v>#N/A</v>
      </c>
      <c r="C251" s="69" t="s">
        <v>688</v>
      </c>
      <c r="D251" s="7" t="s">
        <v>689</v>
      </c>
      <c r="E251" s="7" t="s">
        <v>747</v>
      </c>
      <c r="F251" s="7" t="s">
        <v>748</v>
      </c>
      <c r="G251" s="7" t="s">
        <v>749</v>
      </c>
      <c r="H251" s="7" t="s">
        <v>1380</v>
      </c>
      <c r="I251" s="7" t="s">
        <v>751</v>
      </c>
      <c r="J251" s="7" t="s">
        <v>752</v>
      </c>
      <c r="K251" s="7" t="s">
        <v>862</v>
      </c>
      <c r="L251" s="7" t="s">
        <v>754</v>
      </c>
      <c r="M251" s="7" t="s">
        <v>755</v>
      </c>
      <c r="N251" s="7" t="s">
        <v>863</v>
      </c>
      <c r="O251" s="7" t="s">
        <v>1381</v>
      </c>
      <c r="P251" s="7" t="s">
        <v>1382</v>
      </c>
      <c r="Q251" s="7" t="s">
        <v>1383</v>
      </c>
      <c r="R251" s="7" t="s">
        <v>1384</v>
      </c>
      <c r="S251" s="7" t="s">
        <v>1385</v>
      </c>
      <c r="T251" s="7" t="s">
        <v>1386</v>
      </c>
      <c r="U251" s="7" t="s">
        <v>867</v>
      </c>
      <c r="V251" s="7" t="s">
        <v>1387</v>
      </c>
      <c r="W251" s="7" t="s">
        <v>1388</v>
      </c>
      <c r="X251" s="7" t="s">
        <v>1389</v>
      </c>
      <c r="Y251" s="7" t="s">
        <v>1390</v>
      </c>
      <c r="Z251" s="7" t="s">
        <v>1391</v>
      </c>
      <c r="AA251" s="7" t="s">
        <v>1392</v>
      </c>
      <c r="AB251" s="7" t="s">
        <v>1393</v>
      </c>
    </row>
    <row r="252" spans="1:61" ht="78" customHeight="1" x14ac:dyDescent="0.4">
      <c r="A252" s="67" t="s">
        <v>431</v>
      </c>
      <c r="B252" t="e">
        <f>_xlfn.XLOOKUP(A252,'Product info'!A:A,'Product info'!C:C,,2)</f>
        <v>#N/A</v>
      </c>
      <c r="C252" s="69" t="s">
        <v>688</v>
      </c>
      <c r="D252" s="7" t="s">
        <v>689</v>
      </c>
      <c r="E252" s="7" t="s">
        <v>747</v>
      </c>
      <c r="F252" s="7" t="s">
        <v>748</v>
      </c>
      <c r="G252" s="7" t="s">
        <v>749</v>
      </c>
      <c r="H252" s="7" t="s">
        <v>1380</v>
      </c>
      <c r="I252" s="7" t="s">
        <v>751</v>
      </c>
      <c r="J252" s="7" t="s">
        <v>752</v>
      </c>
      <c r="K252" s="7" t="s">
        <v>862</v>
      </c>
      <c r="L252" s="7" t="s">
        <v>754</v>
      </c>
      <c r="M252" s="7" t="s">
        <v>755</v>
      </c>
      <c r="N252" s="7" t="s">
        <v>863</v>
      </c>
      <c r="O252" s="7" t="s">
        <v>1381</v>
      </c>
      <c r="P252" s="7" t="s">
        <v>1382</v>
      </c>
      <c r="Q252" s="7" t="s">
        <v>758</v>
      </c>
      <c r="R252" s="7" t="s">
        <v>759</v>
      </c>
      <c r="S252" s="7" t="s">
        <v>760</v>
      </c>
      <c r="T252" s="7" t="s">
        <v>1386</v>
      </c>
      <c r="U252" s="7" t="s">
        <v>867</v>
      </c>
      <c r="V252" s="7" t="s">
        <v>1387</v>
      </c>
      <c r="W252" s="7" t="s">
        <v>1388</v>
      </c>
      <c r="X252" s="7" t="s">
        <v>1389</v>
      </c>
      <c r="Y252" s="7" t="s">
        <v>1390</v>
      </c>
      <c r="Z252" s="7" t="s">
        <v>1391</v>
      </c>
      <c r="AA252" s="7" t="s">
        <v>1392</v>
      </c>
      <c r="AB252" s="7" t="s">
        <v>1393</v>
      </c>
    </row>
    <row r="253" spans="1:61" ht="78" customHeight="1" x14ac:dyDescent="0.4">
      <c r="A253" s="67" t="s">
        <v>436</v>
      </c>
      <c r="B253" t="e">
        <f>_xlfn.XLOOKUP(A253,'Product info'!A:A,'Product info'!C:C,,2)</f>
        <v>#N/A</v>
      </c>
      <c r="C253" s="69" t="s">
        <v>688</v>
      </c>
      <c r="D253" s="7" t="s">
        <v>689</v>
      </c>
      <c r="E253" s="7" t="s">
        <v>690</v>
      </c>
      <c r="F253" s="7" t="s">
        <v>691</v>
      </c>
      <c r="G253" s="7" t="s">
        <v>692</v>
      </c>
      <c r="H253" s="7" t="s">
        <v>693</v>
      </c>
      <c r="I253" s="7" t="s">
        <v>694</v>
      </c>
      <c r="J253" s="7" t="s">
        <v>695</v>
      </c>
      <c r="K253" s="7" t="s">
        <v>696</v>
      </c>
      <c r="L253" s="7" t="s">
        <v>697</v>
      </c>
      <c r="M253" s="7" t="s">
        <v>698</v>
      </c>
      <c r="N253" s="7" t="s">
        <v>699</v>
      </c>
      <c r="O253" s="7" t="s">
        <v>700</v>
      </c>
      <c r="P253" s="7" t="s">
        <v>701</v>
      </c>
      <c r="Q253" s="7" t="s">
        <v>702</v>
      </c>
      <c r="R253" s="7" t="s">
        <v>703</v>
      </c>
      <c r="S253" s="7" t="s">
        <v>704</v>
      </c>
      <c r="T253" s="7" t="s">
        <v>705</v>
      </c>
      <c r="U253" s="7" t="s">
        <v>706</v>
      </c>
      <c r="V253" s="7" t="s">
        <v>707</v>
      </c>
      <c r="W253" s="7" t="s">
        <v>708</v>
      </c>
      <c r="X253" s="7" t="s">
        <v>709</v>
      </c>
      <c r="Y253" s="7" t="s">
        <v>710</v>
      </c>
      <c r="Z253" s="7" t="s">
        <v>711</v>
      </c>
      <c r="AA253" s="7" t="s">
        <v>712</v>
      </c>
      <c r="AB253" s="7" t="s">
        <v>694</v>
      </c>
      <c r="AC253" s="7" t="s">
        <v>713</v>
      </c>
      <c r="AD253" s="7" t="s">
        <v>714</v>
      </c>
      <c r="AE253" s="7" t="s">
        <v>715</v>
      </c>
      <c r="AF253" s="7" t="s">
        <v>716</v>
      </c>
      <c r="AG253" s="7" t="s">
        <v>688</v>
      </c>
      <c r="AH253" s="7" t="s">
        <v>689</v>
      </c>
      <c r="AI253" s="7" t="s">
        <v>747</v>
      </c>
      <c r="AJ253" s="7" t="s">
        <v>696</v>
      </c>
      <c r="AK253" s="7" t="s">
        <v>773</v>
      </c>
      <c r="AL253" s="7" t="s">
        <v>940</v>
      </c>
      <c r="AM253" s="7" t="s">
        <v>941</v>
      </c>
      <c r="AN253" s="7" t="s">
        <v>942</v>
      </c>
      <c r="AO253" s="7" t="s">
        <v>1394</v>
      </c>
      <c r="AP253" s="7" t="s">
        <v>1395</v>
      </c>
      <c r="AQ253" s="7" t="s">
        <v>967</v>
      </c>
      <c r="AR253" s="7" t="s">
        <v>1396</v>
      </c>
      <c r="AS253" s="7" t="s">
        <v>969</v>
      </c>
      <c r="AT253" s="7" t="s">
        <v>1397</v>
      </c>
      <c r="AU253" s="7" t="s">
        <v>971</v>
      </c>
      <c r="AV253" s="7" t="s">
        <v>1398</v>
      </c>
      <c r="AW253" s="7" t="s">
        <v>1399</v>
      </c>
      <c r="AX253" s="7" t="s">
        <v>973</v>
      </c>
      <c r="AY253" s="7" t="s">
        <v>1400</v>
      </c>
      <c r="AZ253" s="7" t="s">
        <v>1401</v>
      </c>
      <c r="BA253" s="7" t="s">
        <v>1402</v>
      </c>
      <c r="BB253" s="7" t="s">
        <v>1403</v>
      </c>
      <c r="BC253" s="7" t="s">
        <v>1404</v>
      </c>
      <c r="BD253" s="7" t="s">
        <v>1405</v>
      </c>
      <c r="BE253" s="7" t="s">
        <v>1406</v>
      </c>
      <c r="BF253" s="7" t="s">
        <v>1407</v>
      </c>
      <c r="BG253" s="7" t="s">
        <v>1408</v>
      </c>
    </row>
    <row r="254" spans="1:61" ht="78" customHeight="1" x14ac:dyDescent="0.4">
      <c r="A254" s="67" t="s">
        <v>432</v>
      </c>
      <c r="B254" t="e">
        <f>_xlfn.XLOOKUP(A254,'Product info'!A:A,'Product info'!C:C,,2)</f>
        <v>#N/A</v>
      </c>
      <c r="C254" s="69" t="s">
        <v>688</v>
      </c>
      <c r="D254" s="7" t="s">
        <v>689</v>
      </c>
      <c r="E254" s="7" t="s">
        <v>747</v>
      </c>
      <c r="F254" s="7" t="s">
        <v>748</v>
      </c>
      <c r="G254" s="7" t="s">
        <v>749</v>
      </c>
      <c r="H254" s="7" t="s">
        <v>1380</v>
      </c>
      <c r="I254" s="7" t="s">
        <v>751</v>
      </c>
      <c r="J254" s="7" t="s">
        <v>752</v>
      </c>
      <c r="K254" s="7" t="s">
        <v>862</v>
      </c>
      <c r="L254" s="7" t="s">
        <v>754</v>
      </c>
      <c r="M254" s="7" t="s">
        <v>755</v>
      </c>
      <c r="N254" s="7" t="s">
        <v>863</v>
      </c>
      <c r="O254" s="7" t="s">
        <v>1381</v>
      </c>
      <c r="P254" s="7" t="s">
        <v>1382</v>
      </c>
      <c r="Q254" s="7" t="s">
        <v>758</v>
      </c>
      <c r="R254" s="7" t="s">
        <v>759</v>
      </c>
      <c r="S254" s="7" t="s">
        <v>760</v>
      </c>
      <c r="T254" s="7" t="s">
        <v>1386</v>
      </c>
      <c r="U254" s="7" t="s">
        <v>867</v>
      </c>
      <c r="V254" s="7" t="s">
        <v>1387</v>
      </c>
      <c r="W254" s="7" t="s">
        <v>1388</v>
      </c>
      <c r="X254" s="7" t="s">
        <v>1389</v>
      </c>
      <c r="Y254" s="7" t="s">
        <v>1390</v>
      </c>
      <c r="Z254" s="7" t="s">
        <v>1391</v>
      </c>
      <c r="AA254" s="7" t="s">
        <v>1392</v>
      </c>
      <c r="AB254" s="7" t="s">
        <v>1409</v>
      </c>
    </row>
    <row r="255" spans="1:61" ht="78" customHeight="1" x14ac:dyDescent="0.4">
      <c r="A255" s="67" t="s">
        <v>435</v>
      </c>
      <c r="B255" t="e">
        <f>_xlfn.XLOOKUP(A255,'Product info'!A:A,'Product info'!C:C,,2)</f>
        <v>#N/A</v>
      </c>
      <c r="C255" s="69" t="s">
        <v>688</v>
      </c>
      <c r="D255" s="7" t="s">
        <v>689</v>
      </c>
      <c r="E255" s="7" t="s">
        <v>747</v>
      </c>
      <c r="F255" s="7" t="s">
        <v>748</v>
      </c>
      <c r="G255" s="7" t="s">
        <v>749</v>
      </c>
      <c r="H255" s="7" t="s">
        <v>1380</v>
      </c>
      <c r="I255" s="7" t="s">
        <v>751</v>
      </c>
      <c r="J255" s="7" t="s">
        <v>752</v>
      </c>
      <c r="K255" s="7" t="s">
        <v>862</v>
      </c>
      <c r="L255" s="7" t="s">
        <v>754</v>
      </c>
      <c r="M255" s="7" t="s">
        <v>755</v>
      </c>
      <c r="N255" s="7" t="s">
        <v>863</v>
      </c>
      <c r="O255" s="7" t="s">
        <v>1381</v>
      </c>
      <c r="P255" s="7" t="s">
        <v>1382</v>
      </c>
      <c r="Q255" s="7" t="s">
        <v>1383</v>
      </c>
      <c r="R255" s="7" t="s">
        <v>1384</v>
      </c>
      <c r="S255" s="7" t="s">
        <v>1385</v>
      </c>
      <c r="T255" s="7" t="s">
        <v>1386</v>
      </c>
      <c r="U255" s="7" t="s">
        <v>867</v>
      </c>
      <c r="V255" s="7" t="s">
        <v>1387</v>
      </c>
      <c r="W255" s="7" t="s">
        <v>1388</v>
      </c>
      <c r="X255" s="7" t="s">
        <v>1389</v>
      </c>
      <c r="Y255" s="7" t="s">
        <v>1390</v>
      </c>
      <c r="Z255" s="7" t="s">
        <v>1391</v>
      </c>
      <c r="AA255" s="7" t="s">
        <v>1392</v>
      </c>
      <c r="AB255" s="7" t="s">
        <v>1409</v>
      </c>
    </row>
    <row r="256" spans="1:61" ht="78" customHeight="1" x14ac:dyDescent="0.4">
      <c r="A256" s="67" t="s">
        <v>429</v>
      </c>
      <c r="B256" t="e">
        <f>_xlfn.XLOOKUP(A256,'Product info'!A:A,'Product info'!C:C,,2)</f>
        <v>#N/A</v>
      </c>
      <c r="C256" s="69" t="s">
        <v>688</v>
      </c>
      <c r="D256" s="7" t="s">
        <v>689</v>
      </c>
      <c r="E256" s="7" t="s">
        <v>747</v>
      </c>
      <c r="F256" s="7" t="s">
        <v>748</v>
      </c>
      <c r="G256" s="7" t="s">
        <v>749</v>
      </c>
      <c r="H256" s="7" t="s">
        <v>1380</v>
      </c>
      <c r="I256" s="7" t="s">
        <v>751</v>
      </c>
      <c r="J256" s="7" t="s">
        <v>752</v>
      </c>
      <c r="K256" s="7" t="s">
        <v>862</v>
      </c>
      <c r="L256" s="7" t="s">
        <v>754</v>
      </c>
      <c r="M256" s="7" t="s">
        <v>755</v>
      </c>
      <c r="N256" s="7" t="s">
        <v>863</v>
      </c>
      <c r="O256" s="7" t="s">
        <v>1381</v>
      </c>
      <c r="P256" s="7" t="s">
        <v>1382</v>
      </c>
      <c r="Q256" s="7" t="s">
        <v>758</v>
      </c>
      <c r="R256" s="7" t="s">
        <v>759</v>
      </c>
      <c r="S256" s="7" t="s">
        <v>760</v>
      </c>
      <c r="T256" s="7" t="s">
        <v>1410</v>
      </c>
      <c r="U256" s="7" t="s">
        <v>867</v>
      </c>
      <c r="V256" s="7" t="s">
        <v>1387</v>
      </c>
      <c r="W256" s="7" t="s">
        <v>1388</v>
      </c>
      <c r="X256" s="7" t="s">
        <v>1389</v>
      </c>
      <c r="Y256" s="7" t="s">
        <v>1390</v>
      </c>
      <c r="Z256" s="7" t="s">
        <v>1391</v>
      </c>
    </row>
    <row r="257" spans="1:59" ht="78" customHeight="1" x14ac:dyDescent="0.4">
      <c r="A257" s="67" t="s">
        <v>440</v>
      </c>
      <c r="B257" t="e">
        <f>_xlfn.XLOOKUP(A257,'Product info'!A:A,'Product info'!C:C,,2)</f>
        <v>#N/A</v>
      </c>
      <c r="C257" s="69" t="s">
        <v>688</v>
      </c>
      <c r="D257" s="7" t="s">
        <v>689</v>
      </c>
      <c r="E257" s="7" t="s">
        <v>747</v>
      </c>
      <c r="F257" s="7" t="s">
        <v>748</v>
      </c>
      <c r="G257" s="7" t="s">
        <v>749</v>
      </c>
      <c r="H257" s="7" t="s">
        <v>1380</v>
      </c>
      <c r="I257" s="7" t="s">
        <v>751</v>
      </c>
      <c r="J257" s="7" t="s">
        <v>752</v>
      </c>
      <c r="K257" s="7" t="s">
        <v>862</v>
      </c>
      <c r="L257" s="7" t="s">
        <v>754</v>
      </c>
      <c r="M257" s="7" t="s">
        <v>755</v>
      </c>
      <c r="N257" s="7" t="s">
        <v>863</v>
      </c>
      <c r="O257" s="7" t="s">
        <v>1381</v>
      </c>
      <c r="P257" s="7" t="s">
        <v>1382</v>
      </c>
      <c r="Q257" s="7" t="s">
        <v>758</v>
      </c>
      <c r="R257" s="7" t="s">
        <v>759</v>
      </c>
      <c r="S257" s="7" t="s">
        <v>760</v>
      </c>
      <c r="T257" s="7" t="s">
        <v>1410</v>
      </c>
      <c r="U257" s="7" t="s">
        <v>867</v>
      </c>
      <c r="V257" s="7" t="s">
        <v>1387</v>
      </c>
      <c r="W257" s="7" t="s">
        <v>1388</v>
      </c>
      <c r="X257" s="7" t="s">
        <v>1389</v>
      </c>
      <c r="Y257" s="7" t="s">
        <v>1390</v>
      </c>
      <c r="Z257" s="7" t="s">
        <v>1391</v>
      </c>
    </row>
    <row r="258" spans="1:59" ht="78" customHeight="1" x14ac:dyDescent="0.4">
      <c r="A258" s="67" t="s">
        <v>439</v>
      </c>
      <c r="B258" t="e">
        <f>_xlfn.XLOOKUP(A258,'Product info'!A:A,'Product info'!C:C,,2)</f>
        <v>#N/A</v>
      </c>
      <c r="C258" s="69" t="s">
        <v>688</v>
      </c>
      <c r="D258" s="7" t="s">
        <v>689</v>
      </c>
      <c r="E258" s="7" t="s">
        <v>690</v>
      </c>
      <c r="F258" s="7" t="s">
        <v>691</v>
      </c>
      <c r="G258" s="7" t="s">
        <v>692</v>
      </c>
      <c r="H258" s="7" t="s">
        <v>693</v>
      </c>
      <c r="I258" s="7" t="s">
        <v>694</v>
      </c>
      <c r="J258" s="7" t="s">
        <v>695</v>
      </c>
      <c r="K258" s="7" t="s">
        <v>696</v>
      </c>
      <c r="L258" s="7" t="s">
        <v>697</v>
      </c>
      <c r="M258" s="7" t="s">
        <v>698</v>
      </c>
      <c r="N258" s="7" t="s">
        <v>699</v>
      </c>
      <c r="O258" s="7" t="s">
        <v>700</v>
      </c>
      <c r="P258" s="7" t="s">
        <v>701</v>
      </c>
      <c r="Q258" s="7" t="s">
        <v>702</v>
      </c>
      <c r="R258" s="7" t="s">
        <v>703</v>
      </c>
      <c r="S258" s="7" t="s">
        <v>704</v>
      </c>
      <c r="T258" s="7" t="s">
        <v>705</v>
      </c>
      <c r="U258" s="7" t="s">
        <v>706</v>
      </c>
      <c r="V258" s="7" t="s">
        <v>707</v>
      </c>
      <c r="W258" s="7" t="s">
        <v>708</v>
      </c>
      <c r="X258" s="7" t="s">
        <v>709</v>
      </c>
      <c r="Y258" s="7" t="s">
        <v>710</v>
      </c>
      <c r="Z258" s="7" t="s">
        <v>711</v>
      </c>
      <c r="AA258" s="7" t="s">
        <v>712</v>
      </c>
      <c r="AB258" s="7" t="s">
        <v>694</v>
      </c>
      <c r="AC258" s="7" t="s">
        <v>713</v>
      </c>
      <c r="AD258" s="7" t="s">
        <v>714</v>
      </c>
      <c r="AE258" s="7" t="s">
        <v>715</v>
      </c>
      <c r="AF258" s="7" t="s">
        <v>716</v>
      </c>
      <c r="AG258" s="7" t="s">
        <v>688</v>
      </c>
      <c r="AH258" s="7" t="s">
        <v>689</v>
      </c>
      <c r="AI258" s="7" t="s">
        <v>747</v>
      </c>
      <c r="AJ258" s="7" t="s">
        <v>696</v>
      </c>
      <c r="AK258" s="7" t="s">
        <v>773</v>
      </c>
      <c r="AL258" s="7" t="s">
        <v>940</v>
      </c>
      <c r="AM258" s="7" t="s">
        <v>941</v>
      </c>
      <c r="AN258" s="7" t="s">
        <v>942</v>
      </c>
      <c r="AO258" s="7" t="s">
        <v>1394</v>
      </c>
      <c r="AP258" s="7" t="s">
        <v>1395</v>
      </c>
      <c r="AQ258" s="7" t="s">
        <v>967</v>
      </c>
      <c r="AR258" s="7" t="s">
        <v>1396</v>
      </c>
      <c r="AS258" s="7" t="s">
        <v>969</v>
      </c>
      <c r="AT258" s="7" t="s">
        <v>1397</v>
      </c>
      <c r="AU258" s="7" t="s">
        <v>971</v>
      </c>
      <c r="AV258" s="7" t="s">
        <v>1398</v>
      </c>
      <c r="AW258" s="7" t="s">
        <v>1399</v>
      </c>
      <c r="AX258" s="7" t="s">
        <v>973</v>
      </c>
      <c r="AY258" s="7" t="s">
        <v>1400</v>
      </c>
      <c r="AZ258" s="7" t="s">
        <v>1401</v>
      </c>
      <c r="BA258" s="7" t="s">
        <v>1402</v>
      </c>
      <c r="BB258" s="7" t="s">
        <v>1403</v>
      </c>
      <c r="BC258" s="7" t="s">
        <v>1404</v>
      </c>
      <c r="BD258" s="7" t="s">
        <v>1405</v>
      </c>
      <c r="BE258" s="7" t="s">
        <v>1406</v>
      </c>
      <c r="BF258" s="7" t="s">
        <v>1407</v>
      </c>
      <c r="BG258" s="7" t="s">
        <v>1408</v>
      </c>
    </row>
    <row r="259" spans="1:59" ht="78" customHeight="1" x14ac:dyDescent="0.4">
      <c r="A259" s="67" t="s">
        <v>196</v>
      </c>
      <c r="B259" t="e">
        <f>_xlfn.XLOOKUP(A259,'Product info'!A:A,'Product info'!C:C,,2)</f>
        <v>#N/A</v>
      </c>
      <c r="C259" s="69" t="s">
        <v>688</v>
      </c>
      <c r="D259" s="7" t="s">
        <v>689</v>
      </c>
      <c r="E259" s="7" t="s">
        <v>690</v>
      </c>
      <c r="F259" s="7" t="s">
        <v>691</v>
      </c>
      <c r="G259" s="7" t="s">
        <v>692</v>
      </c>
      <c r="H259" s="7" t="s">
        <v>693</v>
      </c>
      <c r="I259" s="7" t="s">
        <v>694</v>
      </c>
      <c r="J259" s="7" t="s">
        <v>695</v>
      </c>
      <c r="K259" s="7" t="s">
        <v>696</v>
      </c>
      <c r="L259" s="7" t="s">
        <v>697</v>
      </c>
      <c r="M259" s="7" t="s">
        <v>698</v>
      </c>
      <c r="N259" s="7" t="s">
        <v>699</v>
      </c>
      <c r="O259" s="7" t="s">
        <v>700</v>
      </c>
      <c r="P259" s="7" t="s">
        <v>701</v>
      </c>
      <c r="Q259" s="7" t="s">
        <v>702</v>
      </c>
      <c r="R259" s="7" t="s">
        <v>703</v>
      </c>
      <c r="S259" s="7" t="s">
        <v>704</v>
      </c>
      <c r="T259" s="7" t="s">
        <v>705</v>
      </c>
      <c r="U259" s="7" t="s">
        <v>706</v>
      </c>
      <c r="V259" s="7" t="s">
        <v>707</v>
      </c>
      <c r="W259" s="7" t="s">
        <v>708</v>
      </c>
      <c r="X259" s="7" t="s">
        <v>709</v>
      </c>
      <c r="Y259" s="7" t="s">
        <v>710</v>
      </c>
      <c r="Z259" s="7" t="s">
        <v>711</v>
      </c>
      <c r="AA259" s="7" t="s">
        <v>712</v>
      </c>
      <c r="AB259" s="7" t="s">
        <v>694</v>
      </c>
      <c r="AC259" s="7" t="s">
        <v>713</v>
      </c>
      <c r="AD259" s="7" t="s">
        <v>714</v>
      </c>
      <c r="AE259" s="7" t="s">
        <v>715</v>
      </c>
      <c r="AF259" s="7" t="s">
        <v>716</v>
      </c>
      <c r="AG259" s="7" t="s">
        <v>688</v>
      </c>
      <c r="AH259" s="7" t="s">
        <v>689</v>
      </c>
      <c r="AI259" s="7" t="s">
        <v>747</v>
      </c>
      <c r="AJ259" s="7" t="s">
        <v>696</v>
      </c>
      <c r="AK259" s="7" t="s">
        <v>773</v>
      </c>
      <c r="AL259" s="7" t="s">
        <v>940</v>
      </c>
      <c r="AM259" s="7" t="s">
        <v>941</v>
      </c>
      <c r="AN259" s="7" t="s">
        <v>942</v>
      </c>
      <c r="AO259" s="7" t="s">
        <v>695</v>
      </c>
      <c r="AP259" s="7" t="s">
        <v>694</v>
      </c>
      <c r="AQ259" s="7" t="s">
        <v>1411</v>
      </c>
      <c r="AR259" s="7" t="s">
        <v>1412</v>
      </c>
      <c r="AS259" s="7" t="s">
        <v>1292</v>
      </c>
      <c r="AT259" s="7" t="s">
        <v>1413</v>
      </c>
      <c r="AU259" s="7" t="s">
        <v>1294</v>
      </c>
      <c r="AV259" s="7" t="s">
        <v>1414</v>
      </c>
      <c r="AW259" s="7" t="s">
        <v>1296</v>
      </c>
      <c r="AX259" s="7" t="s">
        <v>1415</v>
      </c>
      <c r="AY259" s="7" t="s">
        <v>1416</v>
      </c>
      <c r="AZ259" s="7" t="s">
        <v>1417</v>
      </c>
      <c r="BA259" s="7" t="s">
        <v>1418</v>
      </c>
      <c r="BB259" s="7" t="s">
        <v>1419</v>
      </c>
      <c r="BC259" s="7" t="s">
        <v>1420</v>
      </c>
      <c r="BD259" s="7" t="s">
        <v>1421</v>
      </c>
      <c r="BE259" s="7" t="s">
        <v>1422</v>
      </c>
      <c r="BF259" s="7" t="s">
        <v>1423</v>
      </c>
      <c r="BG259" s="7" t="s">
        <v>1424</v>
      </c>
    </row>
    <row r="260" spans="1:59" ht="78" customHeight="1" x14ac:dyDescent="0.4">
      <c r="A260" s="67" t="s">
        <v>197</v>
      </c>
      <c r="B260" t="e">
        <f>_xlfn.XLOOKUP(A260,'Product info'!A:A,'Product info'!C:C,,2)</f>
        <v>#N/A</v>
      </c>
      <c r="C260" s="69" t="s">
        <v>688</v>
      </c>
      <c r="D260" s="7" t="s">
        <v>689</v>
      </c>
      <c r="E260" s="7" t="s">
        <v>690</v>
      </c>
      <c r="F260" s="7" t="s">
        <v>691</v>
      </c>
      <c r="G260" s="7" t="s">
        <v>692</v>
      </c>
      <c r="H260" s="7" t="s">
        <v>693</v>
      </c>
      <c r="I260" s="7" t="s">
        <v>694</v>
      </c>
      <c r="J260" s="7" t="s">
        <v>695</v>
      </c>
      <c r="K260" s="7" t="s">
        <v>696</v>
      </c>
      <c r="L260" s="7" t="s">
        <v>697</v>
      </c>
      <c r="M260" s="7" t="s">
        <v>698</v>
      </c>
      <c r="N260" s="7" t="s">
        <v>699</v>
      </c>
      <c r="O260" s="7" t="s">
        <v>700</v>
      </c>
      <c r="P260" s="7" t="s">
        <v>701</v>
      </c>
      <c r="Q260" s="7" t="s">
        <v>702</v>
      </c>
      <c r="R260" s="7" t="s">
        <v>703</v>
      </c>
      <c r="S260" s="7" t="s">
        <v>704</v>
      </c>
      <c r="T260" s="7" t="s">
        <v>705</v>
      </c>
      <c r="U260" s="7" t="s">
        <v>706</v>
      </c>
      <c r="V260" s="7" t="s">
        <v>707</v>
      </c>
      <c r="W260" s="7" t="s">
        <v>708</v>
      </c>
      <c r="X260" s="7" t="s">
        <v>709</v>
      </c>
      <c r="Y260" s="7" t="s">
        <v>710</v>
      </c>
      <c r="Z260" s="7" t="s">
        <v>711</v>
      </c>
      <c r="AA260" s="7" t="s">
        <v>712</v>
      </c>
      <c r="AB260" s="7" t="s">
        <v>694</v>
      </c>
      <c r="AC260" s="7" t="s">
        <v>713</v>
      </c>
      <c r="AD260" s="7" t="s">
        <v>714</v>
      </c>
      <c r="AE260" s="7" t="s">
        <v>715</v>
      </c>
      <c r="AF260" s="7" t="s">
        <v>716</v>
      </c>
      <c r="AG260" s="7" t="s">
        <v>688</v>
      </c>
      <c r="AH260" s="7" t="s">
        <v>689</v>
      </c>
      <c r="AI260" s="7" t="s">
        <v>747</v>
      </c>
      <c r="AJ260" s="7" t="s">
        <v>696</v>
      </c>
      <c r="AK260" s="7" t="s">
        <v>773</v>
      </c>
      <c r="AL260" s="7" t="s">
        <v>940</v>
      </c>
      <c r="AM260" s="7" t="s">
        <v>941</v>
      </c>
      <c r="AN260" s="7" t="s">
        <v>942</v>
      </c>
      <c r="AO260" s="7" t="s">
        <v>695</v>
      </c>
      <c r="AP260" s="7" t="s">
        <v>694</v>
      </c>
      <c r="AQ260" s="7" t="s">
        <v>1423</v>
      </c>
      <c r="AR260" s="7" t="s">
        <v>1412</v>
      </c>
      <c r="AS260" s="7" t="s">
        <v>1292</v>
      </c>
      <c r="AT260" s="7" t="s">
        <v>1425</v>
      </c>
      <c r="AU260" s="7" t="s">
        <v>1294</v>
      </c>
      <c r="AV260" s="7" t="s">
        <v>1414</v>
      </c>
      <c r="AW260" s="7" t="s">
        <v>1296</v>
      </c>
      <c r="AX260" s="7" t="s">
        <v>1415</v>
      </c>
      <c r="AY260" s="7" t="s">
        <v>1416</v>
      </c>
      <c r="AZ260" s="7" t="s">
        <v>1417</v>
      </c>
      <c r="BA260" s="7" t="s">
        <v>1418</v>
      </c>
      <c r="BB260" s="7" t="s">
        <v>1419</v>
      </c>
      <c r="BC260" s="7" t="s">
        <v>1420</v>
      </c>
      <c r="BD260" s="7" t="s">
        <v>1421</v>
      </c>
      <c r="BE260" s="7" t="s">
        <v>1422</v>
      </c>
      <c r="BF260" s="7" t="s">
        <v>1424</v>
      </c>
    </row>
    <row r="261" spans="1:59" ht="78" customHeight="1" x14ac:dyDescent="0.4">
      <c r="A261" s="67" t="s">
        <v>198</v>
      </c>
      <c r="B261" t="e">
        <f>_xlfn.XLOOKUP(A261,'Product info'!A:A,'Product info'!C:C,,2)</f>
        <v>#N/A</v>
      </c>
      <c r="C261" s="69" t="s">
        <v>688</v>
      </c>
      <c r="D261" s="7" t="s">
        <v>689</v>
      </c>
      <c r="E261" s="7" t="s">
        <v>690</v>
      </c>
      <c r="F261" s="7" t="s">
        <v>691</v>
      </c>
      <c r="G261" s="7" t="s">
        <v>692</v>
      </c>
      <c r="H261" s="7" t="s">
        <v>693</v>
      </c>
      <c r="I261" s="7" t="s">
        <v>694</v>
      </c>
      <c r="J261" s="7" t="s">
        <v>695</v>
      </c>
      <c r="K261" s="7" t="s">
        <v>696</v>
      </c>
      <c r="L261" s="7" t="s">
        <v>697</v>
      </c>
      <c r="M261" s="7" t="s">
        <v>698</v>
      </c>
      <c r="N261" s="7" t="s">
        <v>699</v>
      </c>
      <c r="O261" s="7" t="s">
        <v>700</v>
      </c>
      <c r="P261" s="7" t="s">
        <v>701</v>
      </c>
      <c r="Q261" s="7" t="s">
        <v>702</v>
      </c>
      <c r="R261" s="7" t="s">
        <v>703</v>
      </c>
      <c r="S261" s="7" t="s">
        <v>704</v>
      </c>
      <c r="T261" s="7" t="s">
        <v>705</v>
      </c>
      <c r="U261" s="7" t="s">
        <v>706</v>
      </c>
      <c r="V261" s="7" t="s">
        <v>707</v>
      </c>
      <c r="W261" s="7" t="s">
        <v>708</v>
      </c>
      <c r="X261" s="7" t="s">
        <v>709</v>
      </c>
      <c r="Y261" s="7" t="s">
        <v>710</v>
      </c>
      <c r="Z261" s="7" t="s">
        <v>711</v>
      </c>
      <c r="AA261" s="7" t="s">
        <v>712</v>
      </c>
      <c r="AB261" s="7" t="s">
        <v>694</v>
      </c>
      <c r="AC261" s="7" t="s">
        <v>713</v>
      </c>
      <c r="AD261" s="7" t="s">
        <v>714</v>
      </c>
      <c r="AE261" s="7" t="s">
        <v>715</v>
      </c>
      <c r="AF261" s="7" t="s">
        <v>716</v>
      </c>
      <c r="AG261" s="7" t="s">
        <v>688</v>
      </c>
      <c r="AH261" s="7" t="s">
        <v>689</v>
      </c>
      <c r="AI261" s="7" t="s">
        <v>747</v>
      </c>
      <c r="AJ261" s="7" t="s">
        <v>696</v>
      </c>
      <c r="AK261" s="7" t="s">
        <v>773</v>
      </c>
      <c r="AL261" s="7" t="s">
        <v>940</v>
      </c>
      <c r="AM261" s="7" t="s">
        <v>941</v>
      </c>
      <c r="AN261" s="7" t="s">
        <v>942</v>
      </c>
      <c r="AO261" s="7" t="s">
        <v>695</v>
      </c>
      <c r="AP261" s="7" t="s">
        <v>694</v>
      </c>
      <c r="AQ261" s="7" t="s">
        <v>1423</v>
      </c>
      <c r="AR261" s="7" t="s">
        <v>1412</v>
      </c>
      <c r="AS261" s="7" t="s">
        <v>1292</v>
      </c>
      <c r="AT261" s="7" t="s">
        <v>1425</v>
      </c>
      <c r="AU261" s="7" t="s">
        <v>1420</v>
      </c>
      <c r="AV261" s="7" t="s">
        <v>1414</v>
      </c>
      <c r="AW261" s="7" t="s">
        <v>1421</v>
      </c>
      <c r="AX261" s="7" t="s">
        <v>1422</v>
      </c>
      <c r="AY261" s="7" t="s">
        <v>1416</v>
      </c>
      <c r="AZ261" s="7" t="s">
        <v>1417</v>
      </c>
      <c r="BA261" s="7" t="s">
        <v>1418</v>
      </c>
    </row>
    <row r="262" spans="1:59" ht="78" customHeight="1" x14ac:dyDescent="0.4">
      <c r="A262" s="67" t="s">
        <v>199</v>
      </c>
      <c r="B262" t="e">
        <f>_xlfn.XLOOKUP(A262,'Product info'!A:A,'Product info'!C:C,,2)</f>
        <v>#N/A</v>
      </c>
      <c r="C262" s="69" t="s">
        <v>688</v>
      </c>
      <c r="D262" s="7" t="s">
        <v>689</v>
      </c>
      <c r="E262" s="7" t="s">
        <v>690</v>
      </c>
      <c r="F262" s="7" t="s">
        <v>691</v>
      </c>
      <c r="G262" s="7" t="s">
        <v>692</v>
      </c>
      <c r="H262" s="7" t="s">
        <v>693</v>
      </c>
      <c r="I262" s="7" t="s">
        <v>694</v>
      </c>
      <c r="J262" s="7" t="s">
        <v>695</v>
      </c>
      <c r="K262" s="7" t="s">
        <v>696</v>
      </c>
      <c r="L262" s="7" t="s">
        <v>697</v>
      </c>
      <c r="M262" s="7" t="s">
        <v>698</v>
      </c>
      <c r="N262" s="7" t="s">
        <v>699</v>
      </c>
      <c r="O262" s="7" t="s">
        <v>700</v>
      </c>
      <c r="P262" s="7" t="s">
        <v>701</v>
      </c>
      <c r="Q262" s="7" t="s">
        <v>702</v>
      </c>
      <c r="R262" s="7" t="s">
        <v>703</v>
      </c>
      <c r="S262" s="7" t="s">
        <v>704</v>
      </c>
      <c r="T262" s="7" t="s">
        <v>705</v>
      </c>
      <c r="U262" s="7" t="s">
        <v>706</v>
      </c>
      <c r="V262" s="7" t="s">
        <v>707</v>
      </c>
      <c r="W262" s="7" t="s">
        <v>708</v>
      </c>
      <c r="X262" s="7" t="s">
        <v>709</v>
      </c>
      <c r="Y262" s="7" t="s">
        <v>710</v>
      </c>
      <c r="Z262" s="7" t="s">
        <v>711</v>
      </c>
      <c r="AA262" s="7" t="s">
        <v>712</v>
      </c>
      <c r="AB262" s="7" t="s">
        <v>694</v>
      </c>
      <c r="AC262" s="7" t="s">
        <v>713</v>
      </c>
      <c r="AD262" s="7" t="s">
        <v>714</v>
      </c>
      <c r="AE262" s="7" t="s">
        <v>715</v>
      </c>
      <c r="AF262" s="7" t="s">
        <v>716</v>
      </c>
      <c r="AG262" s="7" t="s">
        <v>688</v>
      </c>
      <c r="AH262" s="7" t="s">
        <v>689</v>
      </c>
      <c r="AI262" s="7" t="s">
        <v>747</v>
      </c>
      <c r="AJ262" s="7" t="s">
        <v>696</v>
      </c>
      <c r="AK262" s="7" t="s">
        <v>773</v>
      </c>
      <c r="AL262" s="7" t="s">
        <v>940</v>
      </c>
      <c r="AM262" s="7" t="s">
        <v>941</v>
      </c>
      <c r="AN262" s="7" t="s">
        <v>942</v>
      </c>
      <c r="AO262" s="7" t="s">
        <v>695</v>
      </c>
      <c r="AP262" s="7" t="s">
        <v>694</v>
      </c>
      <c r="AQ262" s="7" t="s">
        <v>1411</v>
      </c>
      <c r="AR262" s="7" t="s">
        <v>1412</v>
      </c>
      <c r="AS262" s="7" t="s">
        <v>1292</v>
      </c>
      <c r="AT262" s="7" t="s">
        <v>1413</v>
      </c>
      <c r="AU262" s="7" t="s">
        <v>1294</v>
      </c>
      <c r="AV262" s="7" t="s">
        <v>1414</v>
      </c>
      <c r="AW262" s="7" t="s">
        <v>1296</v>
      </c>
      <c r="AX262" s="7" t="s">
        <v>1415</v>
      </c>
      <c r="AY262" s="7" t="s">
        <v>1416</v>
      </c>
      <c r="AZ262" s="7" t="s">
        <v>1417</v>
      </c>
      <c r="BA262" s="7" t="s">
        <v>1418</v>
      </c>
      <c r="BB262" s="7" t="s">
        <v>1423</v>
      </c>
      <c r="BC262" s="7" t="s">
        <v>1420</v>
      </c>
      <c r="BD262" s="7" t="s">
        <v>1421</v>
      </c>
      <c r="BE262" s="7" t="s">
        <v>1422</v>
      </c>
      <c r="BF262" s="7" t="s">
        <v>1426</v>
      </c>
    </row>
    <row r="263" spans="1:59" ht="78" customHeight="1" x14ac:dyDescent="0.4">
      <c r="A263" s="67" t="s">
        <v>200</v>
      </c>
      <c r="B263" t="e">
        <f>_xlfn.XLOOKUP(A263,'Product info'!A:A,'Product info'!C:C,,2)</f>
        <v>#N/A</v>
      </c>
      <c r="C263" s="69" t="s">
        <v>688</v>
      </c>
      <c r="D263" s="7" t="s">
        <v>689</v>
      </c>
      <c r="E263" s="7" t="s">
        <v>690</v>
      </c>
      <c r="F263" s="7" t="s">
        <v>691</v>
      </c>
      <c r="G263" s="7" t="s">
        <v>692</v>
      </c>
      <c r="H263" s="7" t="s">
        <v>693</v>
      </c>
      <c r="I263" s="7" t="s">
        <v>694</v>
      </c>
      <c r="J263" s="7" t="s">
        <v>695</v>
      </c>
      <c r="K263" s="7" t="s">
        <v>696</v>
      </c>
      <c r="L263" s="7" t="s">
        <v>697</v>
      </c>
      <c r="M263" s="7" t="s">
        <v>698</v>
      </c>
      <c r="N263" s="7" t="s">
        <v>699</v>
      </c>
      <c r="O263" s="7" t="s">
        <v>700</v>
      </c>
      <c r="P263" s="7" t="s">
        <v>701</v>
      </c>
      <c r="Q263" s="7" t="s">
        <v>702</v>
      </c>
      <c r="R263" s="7" t="s">
        <v>703</v>
      </c>
      <c r="S263" s="7" t="s">
        <v>704</v>
      </c>
      <c r="T263" s="7" t="s">
        <v>705</v>
      </c>
      <c r="U263" s="7" t="s">
        <v>706</v>
      </c>
      <c r="V263" s="7" t="s">
        <v>707</v>
      </c>
      <c r="W263" s="7" t="s">
        <v>708</v>
      </c>
      <c r="X263" s="7" t="s">
        <v>709</v>
      </c>
      <c r="Y263" s="7" t="s">
        <v>710</v>
      </c>
      <c r="Z263" s="7" t="s">
        <v>711</v>
      </c>
      <c r="AA263" s="7" t="s">
        <v>712</v>
      </c>
      <c r="AB263" s="7" t="s">
        <v>694</v>
      </c>
      <c r="AC263" s="7" t="s">
        <v>713</v>
      </c>
      <c r="AD263" s="7" t="s">
        <v>714</v>
      </c>
      <c r="AE263" s="7" t="s">
        <v>715</v>
      </c>
      <c r="AF263" s="7" t="s">
        <v>716</v>
      </c>
      <c r="AG263" s="7" t="s">
        <v>688</v>
      </c>
      <c r="AH263" s="7" t="s">
        <v>689</v>
      </c>
      <c r="AI263" s="7" t="s">
        <v>747</v>
      </c>
      <c r="AJ263" s="7" t="s">
        <v>696</v>
      </c>
      <c r="AK263" s="7" t="s">
        <v>773</v>
      </c>
      <c r="AL263" s="7" t="s">
        <v>940</v>
      </c>
      <c r="AM263" s="7" t="s">
        <v>941</v>
      </c>
      <c r="AN263" s="7" t="s">
        <v>942</v>
      </c>
      <c r="AO263" s="7" t="s">
        <v>695</v>
      </c>
      <c r="AP263" s="7" t="s">
        <v>694</v>
      </c>
      <c r="AQ263" s="7" t="s">
        <v>1423</v>
      </c>
      <c r="AR263" s="7" t="s">
        <v>1412</v>
      </c>
      <c r="AS263" s="7" t="s">
        <v>1292</v>
      </c>
      <c r="AT263" s="7" t="s">
        <v>1425</v>
      </c>
      <c r="AU263" s="7" t="s">
        <v>1294</v>
      </c>
      <c r="AV263" s="7" t="s">
        <v>1414</v>
      </c>
      <c r="AW263" s="7" t="s">
        <v>1296</v>
      </c>
      <c r="AX263" s="7" t="s">
        <v>1415</v>
      </c>
      <c r="AY263" s="7" t="s">
        <v>1416</v>
      </c>
      <c r="AZ263" s="7" t="s">
        <v>1417</v>
      </c>
      <c r="BA263" s="7" t="s">
        <v>1418</v>
      </c>
      <c r="BB263" s="7" t="s">
        <v>1426</v>
      </c>
      <c r="BC263" s="7" t="s">
        <v>1420</v>
      </c>
      <c r="BD263" s="7" t="s">
        <v>1421</v>
      </c>
      <c r="BE263" s="7" t="s">
        <v>1422</v>
      </c>
    </row>
    <row r="264" spans="1:59" ht="78" customHeight="1" x14ac:dyDescent="0.4">
      <c r="A264" s="67" t="s">
        <v>201</v>
      </c>
      <c r="B264" t="e">
        <f>_xlfn.XLOOKUP(A264,'Product info'!A:A,'Product info'!C:C,,2)</f>
        <v>#N/A</v>
      </c>
      <c r="C264" s="69" t="s">
        <v>688</v>
      </c>
      <c r="D264" s="7" t="s">
        <v>689</v>
      </c>
      <c r="E264" s="7" t="s">
        <v>690</v>
      </c>
      <c r="F264" s="7" t="s">
        <v>691</v>
      </c>
      <c r="G264" s="7" t="s">
        <v>692</v>
      </c>
      <c r="H264" s="7" t="s">
        <v>693</v>
      </c>
      <c r="I264" s="7" t="s">
        <v>694</v>
      </c>
      <c r="J264" s="7" t="s">
        <v>695</v>
      </c>
      <c r="K264" s="7" t="s">
        <v>696</v>
      </c>
      <c r="L264" s="7" t="s">
        <v>697</v>
      </c>
      <c r="M264" s="7" t="s">
        <v>698</v>
      </c>
      <c r="N264" s="7" t="s">
        <v>699</v>
      </c>
      <c r="O264" s="7" t="s">
        <v>700</v>
      </c>
      <c r="P264" s="7" t="s">
        <v>701</v>
      </c>
      <c r="Q264" s="7" t="s">
        <v>702</v>
      </c>
      <c r="R264" s="7" t="s">
        <v>703</v>
      </c>
      <c r="S264" s="7" t="s">
        <v>704</v>
      </c>
      <c r="T264" s="7" t="s">
        <v>705</v>
      </c>
      <c r="U264" s="7" t="s">
        <v>706</v>
      </c>
      <c r="V264" s="7" t="s">
        <v>707</v>
      </c>
      <c r="W264" s="7" t="s">
        <v>708</v>
      </c>
      <c r="X264" s="7" t="s">
        <v>709</v>
      </c>
      <c r="Y264" s="7" t="s">
        <v>710</v>
      </c>
      <c r="Z264" s="7" t="s">
        <v>711</v>
      </c>
      <c r="AA264" s="7" t="s">
        <v>712</v>
      </c>
      <c r="AB264" s="7" t="s">
        <v>694</v>
      </c>
      <c r="AC264" s="7" t="s">
        <v>713</v>
      </c>
      <c r="AD264" s="7" t="s">
        <v>714</v>
      </c>
      <c r="AE264" s="7" t="s">
        <v>715</v>
      </c>
      <c r="AF264" s="7" t="s">
        <v>716</v>
      </c>
      <c r="AG264" s="7" t="s">
        <v>688</v>
      </c>
      <c r="AH264" s="7" t="s">
        <v>689</v>
      </c>
      <c r="AI264" s="7" t="s">
        <v>747</v>
      </c>
      <c r="AJ264" s="7" t="s">
        <v>696</v>
      </c>
      <c r="AK264" s="7" t="s">
        <v>773</v>
      </c>
      <c r="AL264" s="7" t="s">
        <v>940</v>
      </c>
      <c r="AM264" s="7" t="s">
        <v>941</v>
      </c>
      <c r="AN264" s="7" t="s">
        <v>942</v>
      </c>
      <c r="AO264" s="7" t="s">
        <v>695</v>
      </c>
      <c r="AP264" s="7" t="s">
        <v>694</v>
      </c>
      <c r="AQ264" s="7" t="s">
        <v>1423</v>
      </c>
      <c r="AR264" s="7" t="s">
        <v>1412</v>
      </c>
      <c r="AS264" s="7" t="s">
        <v>1292</v>
      </c>
      <c r="AT264" s="7" t="s">
        <v>1425</v>
      </c>
      <c r="AU264" s="7" t="s">
        <v>1420</v>
      </c>
      <c r="AV264" s="7" t="s">
        <v>1414</v>
      </c>
      <c r="AW264" s="7" t="s">
        <v>1421</v>
      </c>
      <c r="AX264" s="7" t="s">
        <v>1422</v>
      </c>
      <c r="AY264" s="7" t="s">
        <v>1416</v>
      </c>
      <c r="AZ264" s="7" t="s">
        <v>1417</v>
      </c>
      <c r="BA264" s="7" t="s">
        <v>1418</v>
      </c>
    </row>
    <row r="265" spans="1:59" ht="78" customHeight="1" x14ac:dyDescent="0.4">
      <c r="A265" s="67" t="s">
        <v>537</v>
      </c>
      <c r="B265" t="e">
        <f>_xlfn.XLOOKUP(A265,'Product info'!A:A,'Product info'!C:C,,2)</f>
        <v>#N/A</v>
      </c>
      <c r="C265" s="69" t="s">
        <v>688</v>
      </c>
      <c r="D265" s="7" t="s">
        <v>689</v>
      </c>
      <c r="E265" s="7" t="s">
        <v>747</v>
      </c>
      <c r="F265" s="7" t="s">
        <v>696</v>
      </c>
      <c r="G265" s="7" t="s">
        <v>773</v>
      </c>
      <c r="H265" s="7" t="s">
        <v>940</v>
      </c>
      <c r="I265" s="7" t="s">
        <v>941</v>
      </c>
      <c r="J265" s="7" t="s">
        <v>942</v>
      </c>
      <c r="K265" s="7" t="s">
        <v>695</v>
      </c>
      <c r="L265" s="7" t="s">
        <v>694</v>
      </c>
      <c r="M265" s="7" t="s">
        <v>1427</v>
      </c>
    </row>
    <row r="266" spans="1:59" ht="78" customHeight="1" x14ac:dyDescent="0.4">
      <c r="A266" s="67" t="s">
        <v>534</v>
      </c>
      <c r="B266" t="e">
        <f>_xlfn.XLOOKUP(A266,'Product info'!A:A,'Product info'!C:C,,2)</f>
        <v>#N/A</v>
      </c>
      <c r="C266" s="69" t="s">
        <v>688</v>
      </c>
      <c r="D266" s="7" t="s">
        <v>689</v>
      </c>
      <c r="E266" s="7" t="s">
        <v>690</v>
      </c>
      <c r="F266" s="7" t="s">
        <v>691</v>
      </c>
      <c r="G266" s="7" t="s">
        <v>692</v>
      </c>
      <c r="H266" s="7" t="s">
        <v>693</v>
      </c>
      <c r="I266" s="7" t="s">
        <v>694</v>
      </c>
      <c r="J266" s="7" t="s">
        <v>695</v>
      </c>
      <c r="K266" s="7" t="s">
        <v>696</v>
      </c>
      <c r="L266" s="7" t="s">
        <v>697</v>
      </c>
      <c r="M266" s="7" t="s">
        <v>698</v>
      </c>
      <c r="N266" s="7" t="s">
        <v>699</v>
      </c>
      <c r="O266" s="7" t="s">
        <v>700</v>
      </c>
      <c r="P266" s="7" t="s">
        <v>701</v>
      </c>
      <c r="Q266" s="7" t="s">
        <v>702</v>
      </c>
      <c r="R266" s="7" t="s">
        <v>703</v>
      </c>
      <c r="S266" s="7" t="s">
        <v>704</v>
      </c>
      <c r="T266" s="7" t="s">
        <v>705</v>
      </c>
      <c r="U266" s="7" t="s">
        <v>706</v>
      </c>
      <c r="V266" s="7" t="s">
        <v>707</v>
      </c>
      <c r="W266" s="7" t="s">
        <v>708</v>
      </c>
      <c r="X266" s="7" t="s">
        <v>709</v>
      </c>
      <c r="Y266" s="7" t="s">
        <v>710</v>
      </c>
      <c r="Z266" s="7" t="s">
        <v>711</v>
      </c>
      <c r="AA266" s="7" t="s">
        <v>712</v>
      </c>
      <c r="AB266" s="7" t="s">
        <v>694</v>
      </c>
      <c r="AC266" s="7" t="s">
        <v>713</v>
      </c>
      <c r="AD266" s="7" t="s">
        <v>714</v>
      </c>
      <c r="AE266" s="7" t="s">
        <v>715</v>
      </c>
      <c r="AF266" s="7" t="s">
        <v>716</v>
      </c>
      <c r="AG266" s="7" t="s">
        <v>688</v>
      </c>
      <c r="AH266" s="7" t="s">
        <v>689</v>
      </c>
      <c r="AI266" s="7" t="s">
        <v>747</v>
      </c>
      <c r="AJ266" s="7" t="s">
        <v>696</v>
      </c>
      <c r="AK266" s="7" t="s">
        <v>773</v>
      </c>
      <c r="AL266" s="7" t="s">
        <v>940</v>
      </c>
      <c r="AM266" s="7" t="s">
        <v>941</v>
      </c>
      <c r="AN266" s="7" t="s">
        <v>942</v>
      </c>
      <c r="AO266" s="7" t="s">
        <v>695</v>
      </c>
      <c r="AP266" s="7" t="s">
        <v>694</v>
      </c>
      <c r="AQ266" s="7" t="s">
        <v>1427</v>
      </c>
    </row>
    <row r="267" spans="1:59" ht="78" customHeight="1" x14ac:dyDescent="0.4">
      <c r="A267" s="67" t="s">
        <v>83</v>
      </c>
      <c r="B267" t="e">
        <f>_xlfn.XLOOKUP(A267,'Product info'!A:A,'Product info'!C:C,,2)</f>
        <v>#N/A</v>
      </c>
      <c r="C267" s="69" t="s">
        <v>688</v>
      </c>
      <c r="D267" s="7" t="s">
        <v>689</v>
      </c>
      <c r="E267" s="7" t="s">
        <v>747</v>
      </c>
      <c r="F267" s="7" t="s">
        <v>696</v>
      </c>
      <c r="G267" s="7" t="s">
        <v>773</v>
      </c>
      <c r="H267" s="7" t="s">
        <v>940</v>
      </c>
      <c r="I267" s="7" t="s">
        <v>941</v>
      </c>
      <c r="J267" s="7" t="s">
        <v>942</v>
      </c>
      <c r="K267" s="7" t="s">
        <v>695</v>
      </c>
      <c r="L267" s="7" t="s">
        <v>694</v>
      </c>
      <c r="M267" s="7" t="s">
        <v>1427</v>
      </c>
      <c r="N267" s="7" t="s">
        <v>1132</v>
      </c>
      <c r="O267" s="7" t="s">
        <v>688</v>
      </c>
      <c r="P267" s="7" t="s">
        <v>689</v>
      </c>
      <c r="Q267" s="7" t="s">
        <v>690</v>
      </c>
      <c r="R267" s="7" t="s">
        <v>691</v>
      </c>
      <c r="S267" s="7" t="s">
        <v>692</v>
      </c>
      <c r="T267" s="7" t="s">
        <v>693</v>
      </c>
      <c r="U267" s="7" t="s">
        <v>694</v>
      </c>
      <c r="V267" s="7" t="s">
        <v>695</v>
      </c>
      <c r="W267" s="7" t="s">
        <v>696</v>
      </c>
      <c r="X267" s="7" t="s">
        <v>697</v>
      </c>
      <c r="Y267" s="7" t="s">
        <v>698</v>
      </c>
      <c r="Z267" s="7" t="s">
        <v>699</v>
      </c>
      <c r="AA267" s="7" t="s">
        <v>700</v>
      </c>
      <c r="AB267" s="7" t="s">
        <v>701</v>
      </c>
      <c r="AC267" s="7" t="s">
        <v>702</v>
      </c>
      <c r="AD267" s="7" t="s">
        <v>703</v>
      </c>
      <c r="AE267" s="7" t="s">
        <v>704</v>
      </c>
      <c r="AF267" s="7" t="s">
        <v>1133</v>
      </c>
      <c r="AG267" s="7" t="s">
        <v>1099</v>
      </c>
      <c r="AH267" s="7" t="s">
        <v>1134</v>
      </c>
      <c r="AI267" s="7" t="s">
        <v>1101</v>
      </c>
      <c r="AJ267" s="7" t="s">
        <v>1102</v>
      </c>
      <c r="AK267" s="7" t="s">
        <v>1135</v>
      </c>
      <c r="AL267" s="7" t="s">
        <v>1136</v>
      </c>
      <c r="AM267" s="7" t="s">
        <v>1105</v>
      </c>
      <c r="AN267" s="7" t="s">
        <v>1137</v>
      </c>
      <c r="AO267" s="7" t="s">
        <v>1138</v>
      </c>
      <c r="AP267" s="7" t="s">
        <v>1139</v>
      </c>
      <c r="AQ267" s="7" t="s">
        <v>1140</v>
      </c>
      <c r="AR267" s="7" t="s">
        <v>1141</v>
      </c>
    </row>
    <row r="268" spans="1:59" ht="78" customHeight="1" x14ac:dyDescent="0.4">
      <c r="A268" s="67" t="s">
        <v>536</v>
      </c>
      <c r="B268" t="e">
        <f>_xlfn.XLOOKUP(A268,'Product info'!A:A,'Product info'!C:C,,2)</f>
        <v>#N/A</v>
      </c>
      <c r="C268" s="69" t="s">
        <v>688</v>
      </c>
      <c r="D268" s="7" t="s">
        <v>689</v>
      </c>
      <c r="E268" s="7" t="s">
        <v>747</v>
      </c>
      <c r="F268" s="7" t="s">
        <v>696</v>
      </c>
      <c r="G268" s="7" t="s">
        <v>773</v>
      </c>
      <c r="H268" s="7" t="s">
        <v>940</v>
      </c>
      <c r="I268" s="7" t="s">
        <v>941</v>
      </c>
      <c r="J268" s="7" t="s">
        <v>942</v>
      </c>
      <c r="K268" s="7" t="s">
        <v>1110</v>
      </c>
      <c r="L268" s="7" t="s">
        <v>1113</v>
      </c>
      <c r="M268" s="7" t="s">
        <v>1279</v>
      </c>
      <c r="N268" s="7" t="s">
        <v>1280</v>
      </c>
      <c r="O268" s="7" t="s">
        <v>1281</v>
      </c>
      <c r="P268" s="7" t="s">
        <v>1282</v>
      </c>
      <c r="Q268" s="7" t="s">
        <v>1283</v>
      </c>
      <c r="R268" s="7" t="s">
        <v>1284</v>
      </c>
      <c r="S268" s="7" t="s">
        <v>1285</v>
      </c>
      <c r="T268" s="7" t="s">
        <v>1286</v>
      </c>
      <c r="U268" s="7" t="s">
        <v>1428</v>
      </c>
      <c r="V268" s="7" t="s">
        <v>1110</v>
      </c>
      <c r="W268" s="7" t="s">
        <v>1113</v>
      </c>
      <c r="X268" s="7" t="s">
        <v>1279</v>
      </c>
      <c r="Y268" s="7" t="s">
        <v>1280</v>
      </c>
      <c r="Z268" s="7" t="s">
        <v>1281</v>
      </c>
      <c r="AA268" s="7" t="s">
        <v>1282</v>
      </c>
      <c r="AB268" s="7" t="s">
        <v>1283</v>
      </c>
      <c r="AC268" s="7" t="s">
        <v>1284</v>
      </c>
      <c r="AD268" s="7" t="s">
        <v>1285</v>
      </c>
      <c r="AE268" s="7" t="s">
        <v>1286</v>
      </c>
      <c r="AF268" s="7" t="s">
        <v>1428</v>
      </c>
    </row>
    <row r="269" spans="1:59" ht="78" customHeight="1" x14ac:dyDescent="0.4">
      <c r="A269" s="67" t="s">
        <v>549</v>
      </c>
      <c r="B269" t="e">
        <f>_xlfn.XLOOKUP(A269,'Product info'!A:A,'Product info'!C:C,,2)</f>
        <v>#N/A</v>
      </c>
      <c r="C269" s="69" t="s">
        <v>688</v>
      </c>
      <c r="D269" s="7" t="s">
        <v>689</v>
      </c>
      <c r="E269" s="7" t="s">
        <v>747</v>
      </c>
      <c r="F269" s="7" t="s">
        <v>696</v>
      </c>
      <c r="G269" s="7" t="s">
        <v>773</v>
      </c>
      <c r="H269" s="7" t="s">
        <v>940</v>
      </c>
      <c r="I269" s="7" t="s">
        <v>941</v>
      </c>
      <c r="J269" s="7" t="s">
        <v>942</v>
      </c>
      <c r="K269" s="7" t="s">
        <v>1110</v>
      </c>
      <c r="L269" s="7" t="s">
        <v>1191</v>
      </c>
      <c r="M269" s="7" t="s">
        <v>1112</v>
      </c>
      <c r="N269" s="7" t="s">
        <v>1113</v>
      </c>
      <c r="O269" s="7" t="s">
        <v>1192</v>
      </c>
      <c r="P269" s="7" t="s">
        <v>1115</v>
      </c>
      <c r="Q269" s="7" t="s">
        <v>1193</v>
      </c>
      <c r="R269" s="7" t="s">
        <v>1117</v>
      </c>
    </row>
    <row r="270" spans="1:59" ht="78" customHeight="1" x14ac:dyDescent="0.4">
      <c r="A270" s="67" t="s">
        <v>504</v>
      </c>
      <c r="B270" t="e">
        <f>_xlfn.XLOOKUP(A270,'Product info'!A:A,'Product info'!C:C,,2)</f>
        <v>#N/A</v>
      </c>
      <c r="C270" s="69" t="s">
        <v>688</v>
      </c>
      <c r="D270" s="7" t="s">
        <v>689</v>
      </c>
      <c r="E270" s="7" t="s">
        <v>747</v>
      </c>
      <c r="F270" s="7" t="s">
        <v>696</v>
      </c>
      <c r="G270" s="7" t="s">
        <v>773</v>
      </c>
      <c r="H270" s="7" t="s">
        <v>940</v>
      </c>
      <c r="I270" s="7" t="s">
        <v>941</v>
      </c>
      <c r="J270" s="7" t="s">
        <v>942</v>
      </c>
      <c r="K270" s="7" t="s">
        <v>695</v>
      </c>
      <c r="L270" s="7" t="s">
        <v>694</v>
      </c>
      <c r="M270" s="7" t="s">
        <v>1427</v>
      </c>
      <c r="N270" s="7" t="s">
        <v>844</v>
      </c>
      <c r="O270" s="7" t="s">
        <v>845</v>
      </c>
      <c r="P270" s="7" t="s">
        <v>846</v>
      </c>
      <c r="Q270" s="7" t="s">
        <v>847</v>
      </c>
      <c r="R270" s="7" t="s">
        <v>848</v>
      </c>
      <c r="S270" s="7" t="s">
        <v>849</v>
      </c>
      <c r="T270" s="7" t="s">
        <v>850</v>
      </c>
      <c r="U270" s="7" t="s">
        <v>851</v>
      </c>
      <c r="V270" s="7" t="s">
        <v>852</v>
      </c>
      <c r="W270" s="7" t="s">
        <v>853</v>
      </c>
      <c r="X270" s="7" t="s">
        <v>854</v>
      </c>
      <c r="Y270" s="7" t="s">
        <v>855</v>
      </c>
      <c r="Z270" s="7" t="s">
        <v>856</v>
      </c>
      <c r="AA270" s="7" t="s">
        <v>857</v>
      </c>
      <c r="AB270" s="7" t="s">
        <v>858</v>
      </c>
      <c r="AC270" s="7" t="s">
        <v>1429</v>
      </c>
    </row>
    <row r="271" spans="1:59" ht="78" customHeight="1" x14ac:dyDescent="0.4">
      <c r="A271" s="67" t="s">
        <v>505</v>
      </c>
      <c r="B271" t="e">
        <f>_xlfn.XLOOKUP(A271,'Product info'!A:A,'Product info'!C:C,,2)</f>
        <v>#N/A</v>
      </c>
      <c r="C271" s="69" t="s">
        <v>688</v>
      </c>
      <c r="D271" s="7" t="s">
        <v>689</v>
      </c>
      <c r="E271" s="7" t="s">
        <v>747</v>
      </c>
      <c r="F271" s="7" t="s">
        <v>696</v>
      </c>
      <c r="G271" s="7" t="s">
        <v>773</v>
      </c>
      <c r="H271" s="7" t="s">
        <v>940</v>
      </c>
      <c r="I271" s="7" t="s">
        <v>941</v>
      </c>
      <c r="J271" s="7" t="s">
        <v>942</v>
      </c>
      <c r="K271" s="7" t="s">
        <v>695</v>
      </c>
      <c r="L271" s="7" t="s">
        <v>694</v>
      </c>
      <c r="M271" s="7" t="s">
        <v>1427</v>
      </c>
      <c r="N271" s="7" t="s">
        <v>844</v>
      </c>
      <c r="O271" s="7" t="s">
        <v>845</v>
      </c>
      <c r="P271" s="7" t="s">
        <v>846</v>
      </c>
      <c r="Q271" s="7" t="s">
        <v>847</v>
      </c>
      <c r="R271" s="7" t="s">
        <v>848</v>
      </c>
      <c r="S271" s="7" t="s">
        <v>849</v>
      </c>
      <c r="T271" s="7" t="s">
        <v>850</v>
      </c>
      <c r="U271" s="7" t="s">
        <v>851</v>
      </c>
      <c r="V271" s="7" t="s">
        <v>852</v>
      </c>
      <c r="W271" s="7" t="s">
        <v>853</v>
      </c>
      <c r="X271" s="7" t="s">
        <v>854</v>
      </c>
      <c r="Y271" s="7" t="s">
        <v>855</v>
      </c>
      <c r="Z271" s="7" t="s">
        <v>856</v>
      </c>
      <c r="AA271" s="7" t="s">
        <v>857</v>
      </c>
      <c r="AB271" s="7" t="s">
        <v>858</v>
      </c>
      <c r="AC271" s="7" t="s">
        <v>1429</v>
      </c>
    </row>
    <row r="272" spans="1:59" ht="78" customHeight="1" x14ac:dyDescent="0.4">
      <c r="A272" s="67" t="s">
        <v>376</v>
      </c>
      <c r="B272" t="e">
        <f>_xlfn.XLOOKUP(A272,'Product info'!A:A,'Product info'!C:C,,2)</f>
        <v>#N/A</v>
      </c>
      <c r="C272" s="69" t="s">
        <v>688</v>
      </c>
      <c r="D272" s="7" t="s">
        <v>689</v>
      </c>
      <c r="E272" s="7" t="s">
        <v>690</v>
      </c>
      <c r="F272" s="7" t="s">
        <v>691</v>
      </c>
      <c r="G272" s="7" t="s">
        <v>692</v>
      </c>
      <c r="H272" s="7" t="s">
        <v>693</v>
      </c>
      <c r="I272" s="7" t="s">
        <v>694</v>
      </c>
      <c r="J272" s="7" t="s">
        <v>695</v>
      </c>
      <c r="K272" s="7" t="s">
        <v>696</v>
      </c>
      <c r="L272" s="7" t="s">
        <v>697</v>
      </c>
      <c r="M272" s="7" t="s">
        <v>698</v>
      </c>
      <c r="N272" s="7" t="s">
        <v>699</v>
      </c>
      <c r="O272" s="7" t="s">
        <v>700</v>
      </c>
      <c r="P272" s="7" t="s">
        <v>701</v>
      </c>
      <c r="Q272" s="7" t="s">
        <v>702</v>
      </c>
      <c r="R272" s="7" t="s">
        <v>703</v>
      </c>
      <c r="S272" s="7" t="s">
        <v>704</v>
      </c>
      <c r="T272" s="7" t="s">
        <v>705</v>
      </c>
      <c r="U272" s="7" t="s">
        <v>706</v>
      </c>
      <c r="V272" s="7" t="s">
        <v>707</v>
      </c>
      <c r="W272" s="7" t="s">
        <v>708</v>
      </c>
      <c r="X272" s="7" t="s">
        <v>709</v>
      </c>
      <c r="Y272" s="7" t="s">
        <v>710</v>
      </c>
      <c r="Z272" s="7" t="s">
        <v>711</v>
      </c>
      <c r="AA272" s="7" t="s">
        <v>712</v>
      </c>
      <c r="AB272" s="7" t="s">
        <v>694</v>
      </c>
      <c r="AC272" s="7" t="s">
        <v>713</v>
      </c>
      <c r="AD272" s="7" t="s">
        <v>714</v>
      </c>
      <c r="AE272" s="7" t="s">
        <v>715</v>
      </c>
      <c r="AF272" s="7" t="s">
        <v>716</v>
      </c>
      <c r="AG272" s="7" t="s">
        <v>688</v>
      </c>
      <c r="AH272" s="7" t="s">
        <v>689</v>
      </c>
      <c r="AI272" s="7" t="s">
        <v>747</v>
      </c>
      <c r="AJ272" s="7" t="s">
        <v>696</v>
      </c>
      <c r="AK272" s="7" t="s">
        <v>773</v>
      </c>
      <c r="AL272" s="7" t="s">
        <v>940</v>
      </c>
      <c r="AM272" s="7" t="s">
        <v>941</v>
      </c>
      <c r="AN272" s="7" t="s">
        <v>942</v>
      </c>
      <c r="AO272" s="7" t="s">
        <v>695</v>
      </c>
      <c r="AP272" s="7" t="s">
        <v>694</v>
      </c>
      <c r="AQ272" s="7" t="s">
        <v>1427</v>
      </c>
      <c r="AR272" s="7" t="s">
        <v>1430</v>
      </c>
      <c r="AS272" s="7" t="s">
        <v>1431</v>
      </c>
      <c r="AT272" s="7" t="s">
        <v>1432</v>
      </c>
      <c r="AU272" s="7" t="s">
        <v>1433</v>
      </c>
      <c r="AV272" s="7" t="s">
        <v>1434</v>
      </c>
      <c r="AW272" s="7" t="s">
        <v>1435</v>
      </c>
    </row>
    <row r="273" spans="1:64" ht="78" customHeight="1" x14ac:dyDescent="0.4">
      <c r="A273" s="67" t="s">
        <v>375</v>
      </c>
      <c r="B273" t="e">
        <f>_xlfn.XLOOKUP(A273,'Product info'!A:A,'Product info'!C:C,,2)</f>
        <v>#N/A</v>
      </c>
      <c r="C273" s="69" t="s">
        <v>688</v>
      </c>
      <c r="D273" s="7" t="s">
        <v>689</v>
      </c>
      <c r="E273" s="7" t="s">
        <v>690</v>
      </c>
      <c r="F273" s="7" t="s">
        <v>691</v>
      </c>
      <c r="G273" s="7" t="s">
        <v>692</v>
      </c>
      <c r="H273" s="7" t="s">
        <v>693</v>
      </c>
      <c r="I273" s="7" t="s">
        <v>694</v>
      </c>
      <c r="J273" s="7" t="s">
        <v>695</v>
      </c>
      <c r="K273" s="7" t="s">
        <v>696</v>
      </c>
      <c r="L273" s="7" t="s">
        <v>697</v>
      </c>
      <c r="M273" s="7" t="s">
        <v>698</v>
      </c>
      <c r="N273" s="7" t="s">
        <v>699</v>
      </c>
      <c r="O273" s="7" t="s">
        <v>700</v>
      </c>
      <c r="P273" s="7" t="s">
        <v>701</v>
      </c>
      <c r="Q273" s="7" t="s">
        <v>702</v>
      </c>
      <c r="R273" s="7" t="s">
        <v>703</v>
      </c>
      <c r="S273" s="7" t="s">
        <v>704</v>
      </c>
      <c r="T273" s="7" t="s">
        <v>705</v>
      </c>
      <c r="U273" s="7" t="s">
        <v>706</v>
      </c>
      <c r="V273" s="7" t="s">
        <v>707</v>
      </c>
      <c r="W273" s="7" t="s">
        <v>708</v>
      </c>
      <c r="X273" s="7" t="s">
        <v>709</v>
      </c>
      <c r="Y273" s="7" t="s">
        <v>710</v>
      </c>
      <c r="Z273" s="7" t="s">
        <v>711</v>
      </c>
      <c r="AA273" s="7" t="s">
        <v>712</v>
      </c>
      <c r="AB273" s="7" t="s">
        <v>694</v>
      </c>
      <c r="AC273" s="7" t="s">
        <v>713</v>
      </c>
      <c r="AD273" s="7" t="s">
        <v>714</v>
      </c>
      <c r="AE273" s="7" t="s">
        <v>715</v>
      </c>
      <c r="AF273" s="7" t="s">
        <v>716</v>
      </c>
      <c r="AG273" s="7" t="s">
        <v>688</v>
      </c>
      <c r="AH273" s="7" t="s">
        <v>689</v>
      </c>
      <c r="AI273" s="7" t="s">
        <v>747</v>
      </c>
      <c r="AJ273" s="7" t="s">
        <v>696</v>
      </c>
      <c r="AK273" s="7" t="s">
        <v>773</v>
      </c>
      <c r="AL273" s="7" t="s">
        <v>940</v>
      </c>
      <c r="AM273" s="7" t="s">
        <v>941</v>
      </c>
      <c r="AN273" s="7" t="s">
        <v>942</v>
      </c>
      <c r="AO273" s="7" t="s">
        <v>695</v>
      </c>
      <c r="AP273" s="7" t="s">
        <v>694</v>
      </c>
      <c r="AQ273" s="7" t="s">
        <v>1427</v>
      </c>
      <c r="AR273" s="7" t="s">
        <v>1436</v>
      </c>
      <c r="AS273" s="7" t="s">
        <v>1437</v>
      </c>
      <c r="AT273" s="7" t="s">
        <v>1438</v>
      </c>
      <c r="AU273" s="7" t="s">
        <v>1431</v>
      </c>
      <c r="AV273" s="7" t="s">
        <v>1439</v>
      </c>
      <c r="AW273" s="7" t="s">
        <v>1440</v>
      </c>
      <c r="AX273" s="7" t="s">
        <v>1432</v>
      </c>
      <c r="AY273" s="7" t="s">
        <v>1433</v>
      </c>
      <c r="AZ273" s="7" t="s">
        <v>1434</v>
      </c>
      <c r="BA273" s="7" t="s">
        <v>1435</v>
      </c>
    </row>
    <row r="274" spans="1:64" ht="78" customHeight="1" x14ac:dyDescent="0.4">
      <c r="A274" s="67" t="s">
        <v>242</v>
      </c>
      <c r="B274" t="e">
        <f>_xlfn.XLOOKUP(A274,'Product info'!A:A,'Product info'!C:C,,2)</f>
        <v>#N/A</v>
      </c>
      <c r="C274" s="69" t="s">
        <v>688</v>
      </c>
      <c r="D274" s="7" t="s">
        <v>689</v>
      </c>
      <c r="E274" s="7" t="s">
        <v>690</v>
      </c>
      <c r="F274" s="7" t="s">
        <v>691</v>
      </c>
      <c r="G274" s="7" t="s">
        <v>692</v>
      </c>
      <c r="H274" s="7" t="s">
        <v>693</v>
      </c>
      <c r="I274" s="7" t="s">
        <v>694</v>
      </c>
      <c r="J274" s="7" t="s">
        <v>695</v>
      </c>
      <c r="K274" s="7" t="s">
        <v>696</v>
      </c>
      <c r="L274" s="7" t="s">
        <v>697</v>
      </c>
      <c r="M274" s="7" t="s">
        <v>698</v>
      </c>
      <c r="N274" s="7" t="s">
        <v>699</v>
      </c>
      <c r="O274" s="7" t="s">
        <v>700</v>
      </c>
      <c r="P274" s="7" t="s">
        <v>701</v>
      </c>
      <c r="Q274" s="7" t="s">
        <v>702</v>
      </c>
      <c r="R274" s="7" t="s">
        <v>703</v>
      </c>
      <c r="S274" s="7" t="s">
        <v>704</v>
      </c>
      <c r="T274" s="7" t="s">
        <v>705</v>
      </c>
      <c r="U274" s="7" t="s">
        <v>706</v>
      </c>
      <c r="V274" s="7" t="s">
        <v>707</v>
      </c>
      <c r="W274" s="7" t="s">
        <v>708</v>
      </c>
      <c r="X274" s="7" t="s">
        <v>709</v>
      </c>
      <c r="Y274" s="7" t="s">
        <v>710</v>
      </c>
      <c r="Z274" s="7" t="s">
        <v>711</v>
      </c>
      <c r="AA274" s="7" t="s">
        <v>712</v>
      </c>
      <c r="AB274" s="7" t="s">
        <v>694</v>
      </c>
      <c r="AC274" s="7" t="s">
        <v>713</v>
      </c>
      <c r="AD274" s="7" t="s">
        <v>714</v>
      </c>
      <c r="AE274" s="7" t="s">
        <v>715</v>
      </c>
      <c r="AF274" s="7" t="s">
        <v>716</v>
      </c>
      <c r="AG274" s="7" t="s">
        <v>688</v>
      </c>
      <c r="AH274" s="7" t="s">
        <v>689</v>
      </c>
      <c r="AI274" s="7" t="s">
        <v>747</v>
      </c>
      <c r="AJ274" s="7" t="s">
        <v>696</v>
      </c>
      <c r="AK274" s="7" t="s">
        <v>773</v>
      </c>
      <c r="AL274" s="7" t="s">
        <v>940</v>
      </c>
      <c r="AM274" s="7" t="s">
        <v>941</v>
      </c>
      <c r="AN274" s="7" t="s">
        <v>942</v>
      </c>
      <c r="AO274" s="7" t="s">
        <v>695</v>
      </c>
      <c r="AP274" s="7" t="s">
        <v>694</v>
      </c>
      <c r="AQ274" s="7" t="s">
        <v>1427</v>
      </c>
      <c r="AR274" s="7" t="s">
        <v>1441</v>
      </c>
      <c r="AS274" s="7" t="s">
        <v>1442</v>
      </c>
      <c r="AT274" s="7" t="s">
        <v>1443</v>
      </c>
      <c r="AU274" s="7" t="s">
        <v>1444</v>
      </c>
      <c r="AV274" s="7" t="s">
        <v>1445</v>
      </c>
      <c r="AW274" s="7" t="s">
        <v>1446</v>
      </c>
      <c r="AX274" s="7" t="s">
        <v>1447</v>
      </c>
      <c r="AY274" s="7" t="s">
        <v>1448</v>
      </c>
      <c r="AZ274" s="7" t="s">
        <v>1449</v>
      </c>
      <c r="BA274" s="7" t="s">
        <v>1450</v>
      </c>
      <c r="BB274" s="7" t="s">
        <v>1451</v>
      </c>
      <c r="BC274" s="7" t="s">
        <v>1452</v>
      </c>
      <c r="BD274" s="7" t="s">
        <v>1453</v>
      </c>
      <c r="BE274" s="7" t="s">
        <v>1454</v>
      </c>
      <c r="BF274" s="7" t="s">
        <v>1455</v>
      </c>
      <c r="BG274" s="7" t="s">
        <v>1456</v>
      </c>
      <c r="BH274" s="7" t="s">
        <v>1457</v>
      </c>
      <c r="BI274" s="7" t="s">
        <v>1458</v>
      </c>
    </row>
    <row r="275" spans="1:64" ht="78" customHeight="1" x14ac:dyDescent="0.4">
      <c r="A275" s="67" t="s">
        <v>235</v>
      </c>
      <c r="B275" t="e">
        <f>_xlfn.XLOOKUP(A275,'Product info'!A:A,'Product info'!C:C,,2)</f>
        <v>#N/A</v>
      </c>
      <c r="C275" s="69" t="s">
        <v>688</v>
      </c>
      <c r="D275" s="7" t="s">
        <v>689</v>
      </c>
      <c r="E275" s="7" t="s">
        <v>690</v>
      </c>
      <c r="F275" s="7" t="s">
        <v>691</v>
      </c>
      <c r="G275" s="7" t="s">
        <v>692</v>
      </c>
      <c r="H275" s="7" t="s">
        <v>693</v>
      </c>
      <c r="I275" s="7" t="s">
        <v>694</v>
      </c>
      <c r="J275" s="7" t="s">
        <v>695</v>
      </c>
      <c r="K275" s="7" t="s">
        <v>696</v>
      </c>
      <c r="L275" s="7" t="s">
        <v>697</v>
      </c>
      <c r="M275" s="7" t="s">
        <v>698</v>
      </c>
      <c r="N275" s="7" t="s">
        <v>699</v>
      </c>
      <c r="O275" s="7" t="s">
        <v>700</v>
      </c>
      <c r="P275" s="7" t="s">
        <v>701</v>
      </c>
      <c r="Q275" s="7" t="s">
        <v>702</v>
      </c>
      <c r="R275" s="7" t="s">
        <v>703</v>
      </c>
      <c r="S275" s="7" t="s">
        <v>704</v>
      </c>
      <c r="T275" s="7" t="s">
        <v>705</v>
      </c>
      <c r="U275" s="7" t="s">
        <v>706</v>
      </c>
      <c r="V275" s="7" t="s">
        <v>707</v>
      </c>
      <c r="W275" s="7" t="s">
        <v>708</v>
      </c>
      <c r="X275" s="7" t="s">
        <v>709</v>
      </c>
      <c r="Y275" s="7" t="s">
        <v>710</v>
      </c>
      <c r="Z275" s="7" t="s">
        <v>711</v>
      </c>
      <c r="AA275" s="7" t="s">
        <v>712</v>
      </c>
      <c r="AB275" s="7" t="s">
        <v>694</v>
      </c>
      <c r="AC275" s="7" t="s">
        <v>713</v>
      </c>
      <c r="AD275" s="7" t="s">
        <v>714</v>
      </c>
      <c r="AE275" s="7" t="s">
        <v>715</v>
      </c>
      <c r="AF275" s="7" t="s">
        <v>716</v>
      </c>
      <c r="AG275" s="7" t="s">
        <v>688</v>
      </c>
      <c r="AH275" s="7" t="s">
        <v>689</v>
      </c>
      <c r="AI275" s="7" t="s">
        <v>747</v>
      </c>
      <c r="AJ275" s="7" t="s">
        <v>696</v>
      </c>
      <c r="AK275" s="7" t="s">
        <v>773</v>
      </c>
      <c r="AL275" s="7" t="s">
        <v>940</v>
      </c>
      <c r="AM275" s="7" t="s">
        <v>941</v>
      </c>
      <c r="AN275" s="7" t="s">
        <v>942</v>
      </c>
      <c r="AO275" s="7" t="s">
        <v>695</v>
      </c>
      <c r="AP275" s="7" t="s">
        <v>694</v>
      </c>
      <c r="AQ275" s="7" t="s">
        <v>1427</v>
      </c>
      <c r="AR275" s="7" t="s">
        <v>1459</v>
      </c>
      <c r="AS275" s="7" t="s">
        <v>1460</v>
      </c>
      <c r="AT275" s="7" t="s">
        <v>1461</v>
      </c>
      <c r="AU275" s="7" t="s">
        <v>1462</v>
      </c>
      <c r="AV275" s="7" t="s">
        <v>1463</v>
      </c>
      <c r="AW275" s="7" t="s">
        <v>1464</v>
      </c>
      <c r="AX275" s="7" t="s">
        <v>1465</v>
      </c>
      <c r="AY275" s="7" t="s">
        <v>1466</v>
      </c>
      <c r="AZ275" s="7" t="s">
        <v>1467</v>
      </c>
      <c r="BA275" s="7" t="s">
        <v>1468</v>
      </c>
      <c r="BB275" s="7" t="s">
        <v>1469</v>
      </c>
      <c r="BC275" s="7" t="s">
        <v>1470</v>
      </c>
      <c r="BD275" s="7" t="s">
        <v>1471</v>
      </c>
      <c r="BE275" s="7" t="s">
        <v>1472</v>
      </c>
      <c r="BF275" s="7" t="s">
        <v>1473</v>
      </c>
      <c r="BG275" s="7" t="s">
        <v>1474</v>
      </c>
      <c r="BH275" s="7" t="s">
        <v>1475</v>
      </c>
      <c r="BI275" s="7" t="s">
        <v>1476</v>
      </c>
      <c r="BJ275" s="7" t="s">
        <v>1477</v>
      </c>
      <c r="BK275" t="s">
        <v>1478</v>
      </c>
      <c r="BL275" t="s">
        <v>1479</v>
      </c>
    </row>
    <row r="276" spans="1:64" ht="78" customHeight="1" x14ac:dyDescent="0.4">
      <c r="A276" s="67" t="s">
        <v>560</v>
      </c>
      <c r="B276" t="e">
        <f>_xlfn.XLOOKUP(A276,'Product info'!A:A,'Product info'!C:C,,2)</f>
        <v>#N/A</v>
      </c>
      <c r="C276" s="69" t="s">
        <v>688</v>
      </c>
      <c r="D276" s="7" t="s">
        <v>689</v>
      </c>
      <c r="E276" s="7" t="s">
        <v>747</v>
      </c>
      <c r="F276" s="7" t="s">
        <v>696</v>
      </c>
      <c r="G276" s="7" t="s">
        <v>773</v>
      </c>
      <c r="H276" s="7" t="s">
        <v>926</v>
      </c>
      <c r="I276" s="7" t="s">
        <v>927</v>
      </c>
      <c r="J276" s="7" t="s">
        <v>928</v>
      </c>
      <c r="K276" s="7" t="s">
        <v>929</v>
      </c>
      <c r="L276" s="7" t="s">
        <v>930</v>
      </c>
      <c r="M276" s="7" t="s">
        <v>931</v>
      </c>
      <c r="N276" s="7" t="s">
        <v>932</v>
      </c>
      <c r="O276" s="7" t="s">
        <v>933</v>
      </c>
      <c r="P276" s="7" t="s">
        <v>934</v>
      </c>
      <c r="Q276" s="7" t="s">
        <v>935</v>
      </c>
      <c r="R276" s="7" t="s">
        <v>936</v>
      </c>
      <c r="S276" s="7" t="s">
        <v>937</v>
      </c>
      <c r="T276" s="7" t="s">
        <v>938</v>
      </c>
      <c r="U276" s="7" t="s">
        <v>939</v>
      </c>
    </row>
    <row r="277" spans="1:64" ht="78" customHeight="1" x14ac:dyDescent="0.4">
      <c r="A277" s="67" t="s">
        <v>559</v>
      </c>
      <c r="B277" t="e">
        <f>_xlfn.XLOOKUP(A277,'Product info'!A:A,'Product info'!C:C,,2)</f>
        <v>#N/A</v>
      </c>
      <c r="C277" s="69" t="s">
        <v>688</v>
      </c>
      <c r="D277" s="7" t="s">
        <v>689</v>
      </c>
      <c r="E277" s="7" t="s">
        <v>747</v>
      </c>
      <c r="F277" s="7" t="s">
        <v>696</v>
      </c>
      <c r="G277" s="7" t="s">
        <v>773</v>
      </c>
      <c r="H277" s="7" t="s">
        <v>926</v>
      </c>
      <c r="I277" s="7" t="s">
        <v>927</v>
      </c>
      <c r="J277" s="7" t="s">
        <v>928</v>
      </c>
      <c r="K277" s="7" t="s">
        <v>929</v>
      </c>
      <c r="L277" s="7" t="s">
        <v>930</v>
      </c>
      <c r="M277" s="7" t="s">
        <v>931</v>
      </c>
      <c r="N277" s="7" t="s">
        <v>932</v>
      </c>
      <c r="O277" s="7" t="s">
        <v>933</v>
      </c>
      <c r="P277" s="7" t="s">
        <v>934</v>
      </c>
      <c r="Q277" s="7" t="s">
        <v>935</v>
      </c>
      <c r="R277" s="7" t="s">
        <v>936</v>
      </c>
      <c r="S277" s="7" t="s">
        <v>937</v>
      </c>
      <c r="T277" s="7" t="s">
        <v>938</v>
      </c>
      <c r="U277" s="7" t="s">
        <v>939</v>
      </c>
    </row>
    <row r="278" spans="1:64" ht="78" customHeight="1" x14ac:dyDescent="0.4">
      <c r="A278" s="67" t="s">
        <v>557</v>
      </c>
      <c r="B278" t="e">
        <f>_xlfn.XLOOKUP(A278,'Product info'!A:A,'Product info'!C:C,,2)</f>
        <v>#N/A</v>
      </c>
      <c r="C278" s="69" t="s">
        <v>688</v>
      </c>
      <c r="D278" s="7" t="s">
        <v>689</v>
      </c>
      <c r="E278" s="7" t="s">
        <v>747</v>
      </c>
      <c r="F278" s="7" t="s">
        <v>696</v>
      </c>
      <c r="G278" s="7" t="s">
        <v>773</v>
      </c>
      <c r="H278" s="7" t="s">
        <v>926</v>
      </c>
      <c r="I278" s="7" t="s">
        <v>927</v>
      </c>
      <c r="J278" s="7" t="s">
        <v>928</v>
      </c>
      <c r="K278" s="7" t="s">
        <v>929</v>
      </c>
      <c r="L278" s="7" t="s">
        <v>930</v>
      </c>
      <c r="M278" s="7" t="s">
        <v>931</v>
      </c>
      <c r="N278" s="7" t="s">
        <v>932</v>
      </c>
      <c r="O278" s="7" t="s">
        <v>933</v>
      </c>
      <c r="P278" s="7" t="s">
        <v>934</v>
      </c>
      <c r="Q278" s="7" t="s">
        <v>935</v>
      </c>
      <c r="R278" s="7" t="s">
        <v>936</v>
      </c>
      <c r="S278" s="7" t="s">
        <v>937</v>
      </c>
      <c r="T278" s="7" t="s">
        <v>938</v>
      </c>
      <c r="U278" s="7" t="s">
        <v>939</v>
      </c>
    </row>
    <row r="279" spans="1:64" ht="78" customHeight="1" x14ac:dyDescent="0.4">
      <c r="A279" s="67" t="s">
        <v>555</v>
      </c>
      <c r="B279" t="e">
        <f>_xlfn.XLOOKUP(A279,'Product info'!A:A,'Product info'!C:C,,2)</f>
        <v>#N/A</v>
      </c>
      <c r="C279" s="69" t="s">
        <v>688</v>
      </c>
      <c r="D279" s="7" t="s">
        <v>689</v>
      </c>
      <c r="E279" s="7" t="s">
        <v>747</v>
      </c>
      <c r="F279" s="7" t="s">
        <v>696</v>
      </c>
      <c r="G279" s="7" t="s">
        <v>773</v>
      </c>
      <c r="H279" s="7" t="s">
        <v>926</v>
      </c>
      <c r="I279" s="7" t="s">
        <v>927</v>
      </c>
      <c r="J279" s="7" t="s">
        <v>928</v>
      </c>
      <c r="K279" s="7" t="s">
        <v>929</v>
      </c>
      <c r="L279" s="7" t="s">
        <v>930</v>
      </c>
      <c r="M279" s="7" t="s">
        <v>931</v>
      </c>
      <c r="N279" s="7" t="s">
        <v>932</v>
      </c>
      <c r="O279" s="7" t="s">
        <v>933</v>
      </c>
      <c r="P279" s="7" t="s">
        <v>934</v>
      </c>
      <c r="Q279" s="7" t="s">
        <v>935</v>
      </c>
      <c r="R279" s="7" t="s">
        <v>936</v>
      </c>
      <c r="S279" s="7" t="s">
        <v>937</v>
      </c>
      <c r="T279" s="7" t="s">
        <v>938</v>
      </c>
      <c r="U279" s="7" t="s">
        <v>939</v>
      </c>
    </row>
    <row r="280" spans="1:64" ht="78" customHeight="1" x14ac:dyDescent="0.4">
      <c r="A280" s="67" t="s">
        <v>556</v>
      </c>
      <c r="B280" t="e">
        <f>_xlfn.XLOOKUP(A280,'Product info'!A:A,'Product info'!C:C,,2)</f>
        <v>#N/A</v>
      </c>
      <c r="C280" s="69" t="s">
        <v>688</v>
      </c>
      <c r="D280" s="7" t="s">
        <v>689</v>
      </c>
      <c r="E280" s="7" t="s">
        <v>747</v>
      </c>
      <c r="F280" s="7" t="s">
        <v>696</v>
      </c>
      <c r="G280" s="7" t="s">
        <v>773</v>
      </c>
      <c r="H280" s="7" t="s">
        <v>926</v>
      </c>
      <c r="I280" s="7" t="s">
        <v>927</v>
      </c>
      <c r="J280" s="7" t="s">
        <v>928</v>
      </c>
      <c r="K280" s="7" t="s">
        <v>929</v>
      </c>
      <c r="L280" s="7" t="s">
        <v>930</v>
      </c>
      <c r="M280" s="7" t="s">
        <v>931</v>
      </c>
      <c r="N280" s="7" t="s">
        <v>932</v>
      </c>
      <c r="O280" s="7" t="s">
        <v>933</v>
      </c>
      <c r="P280" s="7" t="s">
        <v>934</v>
      </c>
      <c r="Q280" s="7" t="s">
        <v>935</v>
      </c>
      <c r="R280" s="7" t="s">
        <v>936</v>
      </c>
      <c r="S280" s="7" t="s">
        <v>937</v>
      </c>
      <c r="T280" s="7" t="s">
        <v>938</v>
      </c>
      <c r="U280" s="7" t="s">
        <v>939</v>
      </c>
    </row>
    <row r="281" spans="1:64" ht="78" customHeight="1" x14ac:dyDescent="0.4">
      <c r="A281" s="67" t="s">
        <v>558</v>
      </c>
      <c r="B281" t="e">
        <f>_xlfn.XLOOKUP(A281,'Product info'!A:A,'Product info'!C:C,,2)</f>
        <v>#N/A</v>
      </c>
      <c r="C281" s="69" t="s">
        <v>688</v>
      </c>
      <c r="D281" s="7" t="s">
        <v>689</v>
      </c>
      <c r="E281" s="7" t="s">
        <v>747</v>
      </c>
      <c r="F281" s="7" t="s">
        <v>696</v>
      </c>
      <c r="G281" s="7" t="s">
        <v>773</v>
      </c>
      <c r="H281" s="7" t="s">
        <v>926</v>
      </c>
      <c r="I281" s="7" t="s">
        <v>927</v>
      </c>
      <c r="J281" s="7" t="s">
        <v>928</v>
      </c>
      <c r="K281" s="7" t="s">
        <v>929</v>
      </c>
      <c r="L281" s="7" t="s">
        <v>930</v>
      </c>
      <c r="M281" s="7" t="s">
        <v>931</v>
      </c>
      <c r="N281" s="7" t="s">
        <v>933</v>
      </c>
      <c r="O281" s="7" t="s">
        <v>934</v>
      </c>
      <c r="P281" s="7" t="s">
        <v>935</v>
      </c>
      <c r="Q281" s="7" t="s">
        <v>936</v>
      </c>
      <c r="R281" s="7" t="s">
        <v>937</v>
      </c>
      <c r="S281" s="7" t="s">
        <v>938</v>
      </c>
      <c r="T281" s="7" t="s">
        <v>939</v>
      </c>
    </row>
    <row r="282" spans="1:64" ht="78" customHeight="1" x14ac:dyDescent="0.4">
      <c r="A282" s="67" t="s">
        <v>407</v>
      </c>
      <c r="B282" t="e">
        <f>_xlfn.XLOOKUP(A282,'Product info'!A:A,'Product info'!C:C,,2)</f>
        <v>#N/A</v>
      </c>
      <c r="C282" s="69" t="s">
        <v>688</v>
      </c>
      <c r="D282" s="7" t="s">
        <v>689</v>
      </c>
      <c r="E282" s="7" t="s">
        <v>690</v>
      </c>
      <c r="F282" s="7" t="s">
        <v>691</v>
      </c>
      <c r="G282" s="7" t="s">
        <v>692</v>
      </c>
      <c r="H282" s="7" t="s">
        <v>693</v>
      </c>
      <c r="I282" s="7" t="s">
        <v>694</v>
      </c>
      <c r="J282" s="7" t="s">
        <v>695</v>
      </c>
      <c r="K282" s="7" t="s">
        <v>696</v>
      </c>
      <c r="L282" s="7" t="s">
        <v>697</v>
      </c>
      <c r="M282" s="7" t="s">
        <v>698</v>
      </c>
      <c r="N282" s="7" t="s">
        <v>699</v>
      </c>
      <c r="O282" s="7" t="s">
        <v>700</v>
      </c>
      <c r="P282" s="7" t="s">
        <v>701</v>
      </c>
      <c r="Q282" s="7" t="s">
        <v>702</v>
      </c>
      <c r="R282" s="7" t="s">
        <v>703</v>
      </c>
      <c r="S282" s="7" t="s">
        <v>704</v>
      </c>
      <c r="T282" s="7" t="s">
        <v>705</v>
      </c>
      <c r="U282" s="7" t="s">
        <v>706</v>
      </c>
      <c r="V282" s="7" t="s">
        <v>707</v>
      </c>
      <c r="W282" s="7" t="s">
        <v>708</v>
      </c>
      <c r="X282" s="7" t="s">
        <v>709</v>
      </c>
      <c r="Y282" s="7" t="s">
        <v>710</v>
      </c>
      <c r="Z282" s="7" t="s">
        <v>711</v>
      </c>
      <c r="AA282" s="7" t="s">
        <v>712</v>
      </c>
      <c r="AB282" s="7" t="s">
        <v>694</v>
      </c>
      <c r="AC282" s="7" t="s">
        <v>713</v>
      </c>
      <c r="AD282" s="7" t="s">
        <v>714</v>
      </c>
      <c r="AE282" s="7" t="s">
        <v>715</v>
      </c>
      <c r="AF282" s="7" t="s">
        <v>716</v>
      </c>
      <c r="AG282" s="7" t="s">
        <v>1480</v>
      </c>
      <c r="AH282" s="7" t="s">
        <v>1481</v>
      </c>
      <c r="AI282" s="7" t="s">
        <v>1482</v>
      </c>
      <c r="AJ282" s="7" t="s">
        <v>1483</v>
      </c>
      <c r="AK282" s="7" t="s">
        <v>1484</v>
      </c>
      <c r="AL282" s="7" t="s">
        <v>1485</v>
      </c>
      <c r="AM282" s="7" t="s">
        <v>1486</v>
      </c>
      <c r="AN282" s="7" t="s">
        <v>1487</v>
      </c>
      <c r="AO282" s="7" t="s">
        <v>1488</v>
      </c>
      <c r="AP282" s="7" t="s">
        <v>1489</v>
      </c>
      <c r="AQ282" s="7" t="s">
        <v>1490</v>
      </c>
      <c r="AR282" s="7" t="s">
        <v>1491</v>
      </c>
      <c r="AS282" s="7" t="s">
        <v>1492</v>
      </c>
      <c r="AT282" s="7" t="s">
        <v>1493</v>
      </c>
      <c r="AU282" s="7" t="s">
        <v>1494</v>
      </c>
      <c r="AV282" s="7" t="s">
        <v>1495</v>
      </c>
      <c r="AW282" s="7" t="s">
        <v>1496</v>
      </c>
      <c r="AX282" s="7" t="s">
        <v>1497</v>
      </c>
      <c r="AY282" s="7" t="s">
        <v>1498</v>
      </c>
      <c r="AZ282" s="7" t="s">
        <v>1499</v>
      </c>
    </row>
    <row r="283" spans="1:64" ht="78" customHeight="1" x14ac:dyDescent="0.4">
      <c r="A283" s="67" t="s">
        <v>480</v>
      </c>
      <c r="B283" t="e">
        <f>_xlfn.XLOOKUP(A283,'Product info'!A:A,'Product info'!C:C,,2)</f>
        <v>#N/A</v>
      </c>
      <c r="C283" s="69" t="s">
        <v>688</v>
      </c>
      <c r="D283" s="7" t="s">
        <v>689</v>
      </c>
      <c r="E283" s="7" t="s">
        <v>690</v>
      </c>
      <c r="F283" s="7" t="s">
        <v>691</v>
      </c>
      <c r="G283" s="7" t="s">
        <v>692</v>
      </c>
      <c r="H283" s="7" t="s">
        <v>693</v>
      </c>
      <c r="I283" s="7" t="s">
        <v>694</v>
      </c>
      <c r="J283" s="7" t="s">
        <v>695</v>
      </c>
      <c r="K283" s="7" t="s">
        <v>696</v>
      </c>
      <c r="L283" s="7" t="s">
        <v>697</v>
      </c>
      <c r="M283" s="7" t="s">
        <v>698</v>
      </c>
      <c r="N283" s="7" t="s">
        <v>699</v>
      </c>
      <c r="O283" s="7" t="s">
        <v>700</v>
      </c>
      <c r="P283" s="7" t="s">
        <v>701</v>
      </c>
      <c r="Q283" s="7" t="s">
        <v>702</v>
      </c>
      <c r="R283" s="7" t="s">
        <v>703</v>
      </c>
      <c r="S283" s="7" t="s">
        <v>704</v>
      </c>
      <c r="T283" s="7" t="s">
        <v>705</v>
      </c>
      <c r="U283" s="7" t="s">
        <v>706</v>
      </c>
      <c r="V283" s="7" t="s">
        <v>707</v>
      </c>
      <c r="W283" s="7" t="s">
        <v>708</v>
      </c>
      <c r="X283" s="7" t="s">
        <v>709</v>
      </c>
      <c r="Y283" s="7" t="s">
        <v>710</v>
      </c>
      <c r="Z283" s="7" t="s">
        <v>711</v>
      </c>
      <c r="AA283" s="7" t="s">
        <v>712</v>
      </c>
      <c r="AB283" s="7" t="s">
        <v>694</v>
      </c>
      <c r="AC283" s="7" t="s">
        <v>713</v>
      </c>
      <c r="AD283" s="7" t="s">
        <v>714</v>
      </c>
      <c r="AE283" s="7" t="s">
        <v>715</v>
      </c>
      <c r="AF283" s="7" t="s">
        <v>716</v>
      </c>
      <c r="AG283" s="7" t="s">
        <v>1370</v>
      </c>
      <c r="AH283" s="7" t="s">
        <v>1371</v>
      </c>
      <c r="AI283" s="7" t="s">
        <v>1372</v>
      </c>
      <c r="AJ283" s="7" t="s">
        <v>1373</v>
      </c>
      <c r="AK283" s="7" t="s">
        <v>1374</v>
      </c>
      <c r="AL283" s="7" t="s">
        <v>1375</v>
      </c>
      <c r="AM283" s="7" t="s">
        <v>1376</v>
      </c>
      <c r="AN283" s="7" t="s">
        <v>1377</v>
      </c>
      <c r="AO283" s="7" t="s">
        <v>1378</v>
      </c>
      <c r="AP283" s="7" t="s">
        <v>1379</v>
      </c>
    </row>
    <row r="284" spans="1:64" ht="78" customHeight="1" x14ac:dyDescent="0.4">
      <c r="A284" s="67" t="s">
        <v>416</v>
      </c>
      <c r="B284" t="e">
        <f>_xlfn.XLOOKUP(A284,'Product info'!A:A,'Product info'!C:C,,2)</f>
        <v>#N/A</v>
      </c>
      <c r="C284" s="69" t="s">
        <v>688</v>
      </c>
      <c r="D284" s="7" t="s">
        <v>689</v>
      </c>
      <c r="E284" s="7" t="s">
        <v>690</v>
      </c>
      <c r="F284" s="7" t="s">
        <v>691</v>
      </c>
      <c r="G284" s="7" t="s">
        <v>692</v>
      </c>
      <c r="H284" s="7" t="s">
        <v>693</v>
      </c>
      <c r="I284" s="7" t="s">
        <v>694</v>
      </c>
      <c r="J284" s="7" t="s">
        <v>695</v>
      </c>
      <c r="K284" s="7" t="s">
        <v>696</v>
      </c>
      <c r="L284" s="7" t="s">
        <v>697</v>
      </c>
      <c r="M284" s="7" t="s">
        <v>698</v>
      </c>
      <c r="N284" s="7" t="s">
        <v>699</v>
      </c>
      <c r="O284" s="7" t="s">
        <v>700</v>
      </c>
      <c r="P284" s="7" t="s">
        <v>701</v>
      </c>
      <c r="Q284" s="7" t="s">
        <v>702</v>
      </c>
      <c r="R284" s="7" t="s">
        <v>703</v>
      </c>
      <c r="S284" s="7" t="s">
        <v>704</v>
      </c>
      <c r="T284" s="7" t="s">
        <v>705</v>
      </c>
      <c r="U284" s="7" t="s">
        <v>706</v>
      </c>
      <c r="V284" s="7" t="s">
        <v>707</v>
      </c>
      <c r="W284" s="7" t="s">
        <v>708</v>
      </c>
      <c r="X284" s="7" t="s">
        <v>709</v>
      </c>
      <c r="Y284" s="7" t="s">
        <v>710</v>
      </c>
      <c r="Z284" s="7" t="s">
        <v>711</v>
      </c>
      <c r="AA284" s="7" t="s">
        <v>712</v>
      </c>
      <c r="AB284" s="7" t="s">
        <v>694</v>
      </c>
      <c r="AC284" s="7" t="s">
        <v>713</v>
      </c>
      <c r="AD284" s="7" t="s">
        <v>714</v>
      </c>
      <c r="AE284" s="7" t="s">
        <v>715</v>
      </c>
      <c r="AF284" s="7" t="s">
        <v>716</v>
      </c>
      <c r="AG284" s="7" t="s">
        <v>688</v>
      </c>
      <c r="AH284" s="7" t="s">
        <v>689</v>
      </c>
      <c r="AI284" s="7" t="s">
        <v>690</v>
      </c>
      <c r="AJ284" s="7" t="s">
        <v>691</v>
      </c>
      <c r="AK284" s="7" t="s">
        <v>692</v>
      </c>
      <c r="AL284" s="7" t="s">
        <v>693</v>
      </c>
      <c r="AM284" s="7" t="s">
        <v>694</v>
      </c>
      <c r="AN284" s="7" t="s">
        <v>695</v>
      </c>
      <c r="AO284" s="7" t="s">
        <v>696</v>
      </c>
      <c r="AP284" s="7" t="s">
        <v>697</v>
      </c>
      <c r="AQ284" s="7" t="s">
        <v>698</v>
      </c>
      <c r="AR284" s="7" t="s">
        <v>699</v>
      </c>
      <c r="AS284" s="7" t="s">
        <v>700</v>
      </c>
      <c r="AT284" s="7" t="s">
        <v>701</v>
      </c>
      <c r="AU284" s="7" t="s">
        <v>702</v>
      </c>
      <c r="AV284" s="7" t="s">
        <v>703</v>
      </c>
      <c r="AW284" s="7" t="s">
        <v>704</v>
      </c>
      <c r="AX284" s="7" t="s">
        <v>705</v>
      </c>
      <c r="AY284" s="7" t="s">
        <v>706</v>
      </c>
      <c r="AZ284" s="7" t="s">
        <v>707</v>
      </c>
      <c r="BA284" s="7" t="s">
        <v>708</v>
      </c>
      <c r="BB284" s="7" t="s">
        <v>709</v>
      </c>
      <c r="BC284" s="7" t="s">
        <v>710</v>
      </c>
      <c r="BD284" s="7" t="s">
        <v>711</v>
      </c>
      <c r="BE284" s="7" t="s">
        <v>712</v>
      </c>
      <c r="BF284" s="7" t="s">
        <v>694</v>
      </c>
      <c r="BG284" s="7" t="s">
        <v>713</v>
      </c>
      <c r="BH284" s="7" t="s">
        <v>714</v>
      </c>
      <c r="BI284" s="7" t="s">
        <v>715</v>
      </c>
    </row>
    <row r="285" spans="1:64" ht="78" customHeight="1" x14ac:dyDescent="0.4">
      <c r="A285" s="67" t="s">
        <v>422</v>
      </c>
      <c r="B285" t="e">
        <f>_xlfn.XLOOKUP(A285,'Product info'!A:A,'Product info'!C:C,,2)</f>
        <v>#N/A</v>
      </c>
      <c r="C285" s="69" t="s">
        <v>688</v>
      </c>
      <c r="D285" s="7" t="s">
        <v>689</v>
      </c>
      <c r="E285" s="7" t="s">
        <v>690</v>
      </c>
      <c r="F285" s="7" t="s">
        <v>691</v>
      </c>
      <c r="G285" s="7" t="s">
        <v>692</v>
      </c>
      <c r="H285" s="7" t="s">
        <v>693</v>
      </c>
      <c r="I285" s="7" t="s">
        <v>694</v>
      </c>
      <c r="J285" s="7" t="s">
        <v>695</v>
      </c>
      <c r="K285" s="7" t="s">
        <v>696</v>
      </c>
      <c r="L285" s="7" t="s">
        <v>697</v>
      </c>
      <c r="M285" s="7" t="s">
        <v>698</v>
      </c>
      <c r="N285" s="7" t="s">
        <v>699</v>
      </c>
      <c r="O285" s="7" t="s">
        <v>700</v>
      </c>
      <c r="P285" s="7" t="s">
        <v>701</v>
      </c>
      <c r="Q285" s="7" t="s">
        <v>702</v>
      </c>
      <c r="R285" s="7" t="s">
        <v>703</v>
      </c>
      <c r="S285" s="7" t="s">
        <v>704</v>
      </c>
      <c r="T285" s="7" t="s">
        <v>705</v>
      </c>
      <c r="U285" s="7" t="s">
        <v>706</v>
      </c>
      <c r="V285" s="7" t="s">
        <v>707</v>
      </c>
      <c r="W285" s="7" t="s">
        <v>708</v>
      </c>
      <c r="X285" s="7" t="s">
        <v>709</v>
      </c>
      <c r="Y285" s="7" t="s">
        <v>710</v>
      </c>
      <c r="Z285" s="7" t="s">
        <v>711</v>
      </c>
      <c r="AA285" s="7" t="s">
        <v>712</v>
      </c>
      <c r="AB285" s="7" t="s">
        <v>694</v>
      </c>
      <c r="AC285" s="7" t="s">
        <v>713</v>
      </c>
      <c r="AD285" s="7" t="s">
        <v>714</v>
      </c>
      <c r="AE285" s="7" t="s">
        <v>715</v>
      </c>
      <c r="AF285" s="7" t="s">
        <v>716</v>
      </c>
      <c r="AG285" s="7" t="s">
        <v>1270</v>
      </c>
      <c r="AH285" s="7" t="s">
        <v>1271</v>
      </c>
      <c r="AI285" s="7" t="s">
        <v>1500</v>
      </c>
      <c r="AJ285" s="7" t="s">
        <v>1273</v>
      </c>
      <c r="AK285" s="7" t="s">
        <v>1274</v>
      </c>
      <c r="AL285" s="7" t="s">
        <v>1275</v>
      </c>
      <c r="AM285" s="7" t="s">
        <v>1276</v>
      </c>
    </row>
    <row r="286" spans="1:64" ht="78" customHeight="1" x14ac:dyDescent="0.4">
      <c r="A286" s="67" t="s">
        <v>420</v>
      </c>
      <c r="B286" t="e">
        <f>_xlfn.XLOOKUP(A286,'Product info'!A:A,'Product info'!C:C,,2)</f>
        <v>#N/A</v>
      </c>
      <c r="C286" s="69" t="s">
        <v>688</v>
      </c>
      <c r="D286" s="7" t="s">
        <v>689</v>
      </c>
      <c r="E286" s="7" t="s">
        <v>690</v>
      </c>
      <c r="F286" s="7" t="s">
        <v>691</v>
      </c>
      <c r="G286" s="7" t="s">
        <v>692</v>
      </c>
      <c r="H286" s="7" t="s">
        <v>693</v>
      </c>
      <c r="I286" s="7" t="s">
        <v>694</v>
      </c>
      <c r="J286" s="7" t="s">
        <v>695</v>
      </c>
      <c r="K286" s="7" t="s">
        <v>696</v>
      </c>
      <c r="L286" s="7" t="s">
        <v>697</v>
      </c>
      <c r="M286" s="7" t="s">
        <v>698</v>
      </c>
      <c r="N286" s="7" t="s">
        <v>699</v>
      </c>
      <c r="O286" s="7" t="s">
        <v>700</v>
      </c>
      <c r="P286" s="7" t="s">
        <v>701</v>
      </c>
      <c r="Q286" s="7" t="s">
        <v>702</v>
      </c>
      <c r="R286" s="7" t="s">
        <v>703</v>
      </c>
      <c r="S286" s="7" t="s">
        <v>704</v>
      </c>
      <c r="T286" s="7" t="s">
        <v>705</v>
      </c>
      <c r="U286" s="7" t="s">
        <v>706</v>
      </c>
      <c r="V286" s="7" t="s">
        <v>707</v>
      </c>
      <c r="W286" s="7" t="s">
        <v>708</v>
      </c>
      <c r="X286" s="7" t="s">
        <v>709</v>
      </c>
      <c r="Y286" s="7" t="s">
        <v>710</v>
      </c>
      <c r="Z286" s="7" t="s">
        <v>711</v>
      </c>
      <c r="AA286" s="7" t="s">
        <v>712</v>
      </c>
      <c r="AB286" s="7" t="s">
        <v>694</v>
      </c>
      <c r="AC286" s="7" t="s">
        <v>713</v>
      </c>
      <c r="AD286" s="7" t="s">
        <v>714</v>
      </c>
      <c r="AE286" s="7" t="s">
        <v>715</v>
      </c>
      <c r="AF286" s="7" t="s">
        <v>716</v>
      </c>
      <c r="AG286" s="7" t="s">
        <v>1500</v>
      </c>
      <c r="AH286" s="7" t="s">
        <v>1273</v>
      </c>
      <c r="AI286" s="7" t="s">
        <v>1274</v>
      </c>
      <c r="AJ286" s="7" t="s">
        <v>1501</v>
      </c>
      <c r="AK286" s="7" t="s">
        <v>1276</v>
      </c>
    </row>
    <row r="287" spans="1:64" ht="78" customHeight="1" x14ac:dyDescent="0.4">
      <c r="A287" s="67" t="s">
        <v>414</v>
      </c>
      <c r="B287" t="e">
        <f>_xlfn.XLOOKUP(A287,'Product info'!A:A,'Product info'!C:C,,2)</f>
        <v>#N/A</v>
      </c>
      <c r="C287" s="69" t="s">
        <v>688</v>
      </c>
      <c r="D287" s="7" t="s">
        <v>689</v>
      </c>
      <c r="E287" s="7" t="s">
        <v>690</v>
      </c>
      <c r="F287" s="7" t="s">
        <v>691</v>
      </c>
      <c r="G287" s="7" t="s">
        <v>692</v>
      </c>
      <c r="H287" s="7" t="s">
        <v>693</v>
      </c>
      <c r="I287" s="7" t="s">
        <v>694</v>
      </c>
      <c r="J287" s="7" t="s">
        <v>695</v>
      </c>
      <c r="K287" s="7" t="s">
        <v>696</v>
      </c>
      <c r="L287" s="7" t="s">
        <v>697</v>
      </c>
      <c r="M287" s="7" t="s">
        <v>698</v>
      </c>
      <c r="N287" s="7" t="s">
        <v>699</v>
      </c>
      <c r="O287" s="7" t="s">
        <v>700</v>
      </c>
      <c r="P287" s="7" t="s">
        <v>701</v>
      </c>
      <c r="Q287" s="7" t="s">
        <v>702</v>
      </c>
      <c r="R287" s="7" t="s">
        <v>703</v>
      </c>
      <c r="S287" s="7" t="s">
        <v>704</v>
      </c>
      <c r="T287" s="7" t="s">
        <v>705</v>
      </c>
      <c r="U287" s="7" t="s">
        <v>706</v>
      </c>
      <c r="V287" s="7" t="s">
        <v>707</v>
      </c>
      <c r="W287" s="7" t="s">
        <v>708</v>
      </c>
      <c r="X287" s="7" t="s">
        <v>709</v>
      </c>
      <c r="Y287" s="7" t="s">
        <v>710</v>
      </c>
      <c r="Z287" s="7" t="s">
        <v>711</v>
      </c>
      <c r="AA287" s="7" t="s">
        <v>712</v>
      </c>
      <c r="AB287" s="7" t="s">
        <v>694</v>
      </c>
      <c r="AC287" s="7" t="s">
        <v>713</v>
      </c>
      <c r="AD287" s="7" t="s">
        <v>714</v>
      </c>
      <c r="AE287" s="7" t="s">
        <v>715</v>
      </c>
      <c r="AF287" s="7" t="s">
        <v>716</v>
      </c>
      <c r="AG287" s="7" t="s">
        <v>1268</v>
      </c>
      <c r="AH287" s="7" t="s">
        <v>1269</v>
      </c>
      <c r="AI287" s="7" t="s">
        <v>1270</v>
      </c>
      <c r="AJ287" s="7" t="s">
        <v>1271</v>
      </c>
      <c r="AK287" s="7" t="s">
        <v>1500</v>
      </c>
      <c r="AL287" s="7" t="s">
        <v>1273</v>
      </c>
      <c r="AM287" s="7" t="s">
        <v>1274</v>
      </c>
      <c r="AN287" s="7" t="s">
        <v>1502</v>
      </c>
      <c r="AO287" s="7" t="s">
        <v>1276</v>
      </c>
    </row>
    <row r="288" spans="1:64" ht="78" customHeight="1" x14ac:dyDescent="0.4">
      <c r="A288" s="67" t="s">
        <v>421</v>
      </c>
      <c r="B288" t="e">
        <f>_xlfn.XLOOKUP(A288,'Product info'!A:A,'Product info'!C:C,,2)</f>
        <v>#N/A</v>
      </c>
      <c r="C288" s="69" t="s">
        <v>688</v>
      </c>
      <c r="D288" s="7" t="s">
        <v>689</v>
      </c>
      <c r="E288" s="7" t="s">
        <v>690</v>
      </c>
      <c r="F288" s="7" t="s">
        <v>691</v>
      </c>
      <c r="G288" s="7" t="s">
        <v>692</v>
      </c>
      <c r="H288" s="7" t="s">
        <v>693</v>
      </c>
      <c r="I288" s="7" t="s">
        <v>694</v>
      </c>
      <c r="J288" s="7" t="s">
        <v>695</v>
      </c>
      <c r="K288" s="7" t="s">
        <v>696</v>
      </c>
      <c r="L288" s="7" t="s">
        <v>697</v>
      </c>
      <c r="M288" s="7" t="s">
        <v>698</v>
      </c>
      <c r="N288" s="7" t="s">
        <v>699</v>
      </c>
      <c r="O288" s="7" t="s">
        <v>700</v>
      </c>
      <c r="P288" s="7" t="s">
        <v>701</v>
      </c>
      <c r="Q288" s="7" t="s">
        <v>702</v>
      </c>
      <c r="R288" s="7" t="s">
        <v>703</v>
      </c>
      <c r="S288" s="7" t="s">
        <v>704</v>
      </c>
      <c r="T288" s="7" t="s">
        <v>705</v>
      </c>
      <c r="U288" s="7" t="s">
        <v>706</v>
      </c>
      <c r="V288" s="7" t="s">
        <v>707</v>
      </c>
      <c r="W288" s="7" t="s">
        <v>708</v>
      </c>
      <c r="X288" s="7" t="s">
        <v>709</v>
      </c>
      <c r="Y288" s="7" t="s">
        <v>710</v>
      </c>
      <c r="Z288" s="7" t="s">
        <v>711</v>
      </c>
      <c r="AA288" s="7" t="s">
        <v>712</v>
      </c>
      <c r="AB288" s="7" t="s">
        <v>694</v>
      </c>
      <c r="AC288" s="7" t="s">
        <v>713</v>
      </c>
      <c r="AD288" s="7" t="s">
        <v>714</v>
      </c>
      <c r="AE288" s="7" t="s">
        <v>715</v>
      </c>
      <c r="AF288" s="7" t="s">
        <v>716</v>
      </c>
      <c r="AG288" s="7" t="s">
        <v>688</v>
      </c>
      <c r="AH288" s="7" t="s">
        <v>689</v>
      </c>
      <c r="AI288" s="7" t="s">
        <v>690</v>
      </c>
      <c r="AJ288" s="7" t="s">
        <v>691</v>
      </c>
      <c r="AK288" s="7" t="s">
        <v>692</v>
      </c>
      <c r="AL288" s="7" t="s">
        <v>693</v>
      </c>
      <c r="AM288" s="7" t="s">
        <v>694</v>
      </c>
      <c r="AN288" s="7" t="s">
        <v>695</v>
      </c>
      <c r="AO288" s="7" t="s">
        <v>696</v>
      </c>
      <c r="AP288" s="7" t="s">
        <v>697</v>
      </c>
      <c r="AQ288" s="7" t="s">
        <v>698</v>
      </c>
      <c r="AR288" s="7" t="s">
        <v>699</v>
      </c>
      <c r="AS288" s="7" t="s">
        <v>700</v>
      </c>
      <c r="AT288" s="7" t="s">
        <v>701</v>
      </c>
      <c r="AU288" s="7" t="s">
        <v>702</v>
      </c>
      <c r="AV288" s="7" t="s">
        <v>703</v>
      </c>
      <c r="AW288" s="7" t="s">
        <v>704</v>
      </c>
      <c r="AX288" s="7" t="s">
        <v>705</v>
      </c>
      <c r="AY288" s="7" t="s">
        <v>706</v>
      </c>
      <c r="AZ288" s="7" t="s">
        <v>707</v>
      </c>
      <c r="BA288" s="7" t="s">
        <v>708</v>
      </c>
      <c r="BB288" s="7" t="s">
        <v>709</v>
      </c>
      <c r="BC288" s="7" t="s">
        <v>710</v>
      </c>
      <c r="BD288" s="7" t="s">
        <v>711</v>
      </c>
      <c r="BE288" s="7" t="s">
        <v>712</v>
      </c>
      <c r="BF288" s="7" t="s">
        <v>694</v>
      </c>
      <c r="BG288" s="7" t="s">
        <v>713</v>
      </c>
      <c r="BH288" s="7" t="s">
        <v>714</v>
      </c>
      <c r="BI288" s="7" t="s">
        <v>715</v>
      </c>
    </row>
    <row r="289" spans="1:61" ht="78" customHeight="1" x14ac:dyDescent="0.4">
      <c r="A289" s="67" t="s">
        <v>415</v>
      </c>
      <c r="B289" t="e">
        <f>_xlfn.XLOOKUP(A289,'Product info'!A:A,'Product info'!C:C,,2)</f>
        <v>#N/A</v>
      </c>
      <c r="C289" s="69" t="s">
        <v>688</v>
      </c>
      <c r="D289" s="7" t="s">
        <v>689</v>
      </c>
      <c r="E289" s="7" t="s">
        <v>690</v>
      </c>
      <c r="F289" s="7" t="s">
        <v>691</v>
      </c>
      <c r="G289" s="7" t="s">
        <v>692</v>
      </c>
      <c r="H289" s="7" t="s">
        <v>693</v>
      </c>
      <c r="I289" s="7" t="s">
        <v>694</v>
      </c>
      <c r="J289" s="7" t="s">
        <v>695</v>
      </c>
      <c r="K289" s="7" t="s">
        <v>696</v>
      </c>
      <c r="L289" s="7" t="s">
        <v>697</v>
      </c>
      <c r="M289" s="7" t="s">
        <v>698</v>
      </c>
      <c r="N289" s="7" t="s">
        <v>699</v>
      </c>
      <c r="O289" s="7" t="s">
        <v>700</v>
      </c>
      <c r="P289" s="7" t="s">
        <v>701</v>
      </c>
      <c r="Q289" s="7" t="s">
        <v>702</v>
      </c>
      <c r="R289" s="7" t="s">
        <v>703</v>
      </c>
      <c r="S289" s="7" t="s">
        <v>704</v>
      </c>
      <c r="T289" s="7" t="s">
        <v>705</v>
      </c>
      <c r="U289" s="7" t="s">
        <v>706</v>
      </c>
      <c r="V289" s="7" t="s">
        <v>707</v>
      </c>
      <c r="W289" s="7" t="s">
        <v>708</v>
      </c>
      <c r="X289" s="7" t="s">
        <v>709</v>
      </c>
      <c r="Y289" s="7" t="s">
        <v>710</v>
      </c>
      <c r="Z289" s="7" t="s">
        <v>711</v>
      </c>
      <c r="AA289" s="7" t="s">
        <v>712</v>
      </c>
      <c r="AB289" s="7" t="s">
        <v>694</v>
      </c>
      <c r="AC289" s="7" t="s">
        <v>713</v>
      </c>
      <c r="AD289" s="7" t="s">
        <v>714</v>
      </c>
      <c r="AE289" s="7" t="s">
        <v>715</v>
      </c>
      <c r="AF289" s="7" t="s">
        <v>716</v>
      </c>
      <c r="AG289" s="7" t="s">
        <v>688</v>
      </c>
      <c r="AH289" s="7" t="s">
        <v>689</v>
      </c>
      <c r="AI289" s="7" t="s">
        <v>690</v>
      </c>
      <c r="AJ289" s="7" t="s">
        <v>691</v>
      </c>
      <c r="AK289" s="7" t="s">
        <v>692</v>
      </c>
      <c r="AL289" s="7" t="s">
        <v>693</v>
      </c>
      <c r="AM289" s="7" t="s">
        <v>694</v>
      </c>
      <c r="AN289" s="7" t="s">
        <v>695</v>
      </c>
      <c r="AO289" s="7" t="s">
        <v>696</v>
      </c>
      <c r="AP289" s="7" t="s">
        <v>697</v>
      </c>
      <c r="AQ289" s="7" t="s">
        <v>698</v>
      </c>
      <c r="AR289" s="7" t="s">
        <v>699</v>
      </c>
      <c r="AS289" s="7" t="s">
        <v>700</v>
      </c>
      <c r="AT289" s="7" t="s">
        <v>701</v>
      </c>
      <c r="AU289" s="7" t="s">
        <v>702</v>
      </c>
      <c r="AV289" s="7" t="s">
        <v>703</v>
      </c>
      <c r="AW289" s="7" t="s">
        <v>704</v>
      </c>
      <c r="AX289" s="7" t="s">
        <v>705</v>
      </c>
      <c r="AY289" s="7" t="s">
        <v>706</v>
      </c>
      <c r="AZ289" s="7" t="s">
        <v>707</v>
      </c>
      <c r="BA289" s="7" t="s">
        <v>708</v>
      </c>
      <c r="BB289" s="7" t="s">
        <v>709</v>
      </c>
      <c r="BC289" s="7" t="s">
        <v>710</v>
      </c>
      <c r="BD289" s="7" t="s">
        <v>711</v>
      </c>
      <c r="BE289" s="7" t="s">
        <v>712</v>
      </c>
      <c r="BF289" s="7" t="s">
        <v>694</v>
      </c>
      <c r="BG289" s="7" t="s">
        <v>713</v>
      </c>
      <c r="BH289" s="7" t="s">
        <v>714</v>
      </c>
      <c r="BI289" s="7" t="s">
        <v>715</v>
      </c>
    </row>
    <row r="290" spans="1:61" ht="78" customHeight="1" x14ac:dyDescent="0.4">
      <c r="A290" s="67" t="s">
        <v>428</v>
      </c>
      <c r="B290" t="e">
        <f>_xlfn.XLOOKUP(A290,'Product info'!A:A,'Product info'!C:C,,2)</f>
        <v>#N/A</v>
      </c>
      <c r="C290" s="69" t="s">
        <v>688</v>
      </c>
      <c r="D290" s="7" t="s">
        <v>689</v>
      </c>
      <c r="E290" s="7" t="s">
        <v>690</v>
      </c>
      <c r="F290" s="7" t="s">
        <v>691</v>
      </c>
      <c r="G290" s="7" t="s">
        <v>692</v>
      </c>
      <c r="H290" s="7" t="s">
        <v>693</v>
      </c>
      <c r="I290" s="7" t="s">
        <v>694</v>
      </c>
      <c r="J290" s="7" t="s">
        <v>695</v>
      </c>
      <c r="K290" s="7" t="s">
        <v>696</v>
      </c>
      <c r="L290" s="7" t="s">
        <v>697</v>
      </c>
      <c r="M290" s="7" t="s">
        <v>698</v>
      </c>
      <c r="N290" s="7" t="s">
        <v>699</v>
      </c>
      <c r="O290" s="7" t="s">
        <v>700</v>
      </c>
      <c r="P290" s="7" t="s">
        <v>701</v>
      </c>
      <c r="Q290" s="7" t="s">
        <v>702</v>
      </c>
      <c r="R290" s="7" t="s">
        <v>703</v>
      </c>
      <c r="S290" s="7" t="s">
        <v>704</v>
      </c>
      <c r="T290" s="7" t="s">
        <v>705</v>
      </c>
      <c r="U290" s="7" t="s">
        <v>706</v>
      </c>
      <c r="V290" s="7" t="s">
        <v>707</v>
      </c>
      <c r="W290" s="7" t="s">
        <v>708</v>
      </c>
      <c r="X290" s="7" t="s">
        <v>709</v>
      </c>
      <c r="Y290" s="7" t="s">
        <v>710</v>
      </c>
      <c r="Z290" s="7" t="s">
        <v>711</v>
      </c>
      <c r="AA290" s="7" t="s">
        <v>712</v>
      </c>
      <c r="AB290" s="7" t="s">
        <v>694</v>
      </c>
      <c r="AC290" s="7" t="s">
        <v>713</v>
      </c>
      <c r="AD290" s="7" t="s">
        <v>714</v>
      </c>
      <c r="AE290" s="7" t="s">
        <v>715</v>
      </c>
      <c r="AF290" s="7" t="s">
        <v>716</v>
      </c>
      <c r="AG290" s="7" t="s">
        <v>1268</v>
      </c>
      <c r="AH290" s="7" t="s">
        <v>1269</v>
      </c>
      <c r="AI290" s="7" t="s">
        <v>1270</v>
      </c>
      <c r="AJ290" s="7" t="s">
        <v>1271</v>
      </c>
      <c r="AK290" s="7" t="s">
        <v>1272</v>
      </c>
      <c r="AL290" s="7" t="s">
        <v>1273</v>
      </c>
      <c r="AM290" s="7" t="s">
        <v>1274</v>
      </c>
      <c r="AN290" s="7" t="s">
        <v>1275</v>
      </c>
      <c r="AO290" s="7" t="s">
        <v>1276</v>
      </c>
      <c r="AP290" s="7" t="s">
        <v>1500</v>
      </c>
      <c r="AQ290" s="7" t="s">
        <v>1273</v>
      </c>
      <c r="AR290" s="7" t="s">
        <v>1274</v>
      </c>
      <c r="AS290" s="7" t="s">
        <v>1275</v>
      </c>
      <c r="AT290" s="7" t="s">
        <v>1276</v>
      </c>
    </row>
    <row r="291" spans="1:61" ht="78" customHeight="1" x14ac:dyDescent="0.4">
      <c r="A291" s="67" t="s">
        <v>426</v>
      </c>
      <c r="B291" t="e">
        <f>_xlfn.XLOOKUP(A291,'Product info'!A:A,'Product info'!C:C,,2)</f>
        <v>#N/A</v>
      </c>
      <c r="C291" s="69" t="s">
        <v>688</v>
      </c>
      <c r="D291" s="7" t="s">
        <v>689</v>
      </c>
      <c r="E291" s="7" t="s">
        <v>690</v>
      </c>
      <c r="F291" s="7" t="s">
        <v>691</v>
      </c>
      <c r="G291" s="7" t="s">
        <v>692</v>
      </c>
      <c r="H291" s="7" t="s">
        <v>693</v>
      </c>
      <c r="I291" s="7" t="s">
        <v>694</v>
      </c>
      <c r="J291" s="7" t="s">
        <v>695</v>
      </c>
      <c r="K291" s="7" t="s">
        <v>696</v>
      </c>
      <c r="L291" s="7" t="s">
        <v>697</v>
      </c>
      <c r="M291" s="7" t="s">
        <v>698</v>
      </c>
      <c r="N291" s="7" t="s">
        <v>699</v>
      </c>
      <c r="O291" s="7" t="s">
        <v>700</v>
      </c>
      <c r="P291" s="7" t="s">
        <v>701</v>
      </c>
      <c r="Q291" s="7" t="s">
        <v>702</v>
      </c>
      <c r="R291" s="7" t="s">
        <v>703</v>
      </c>
      <c r="S291" s="7" t="s">
        <v>704</v>
      </c>
      <c r="T291" s="7" t="s">
        <v>705</v>
      </c>
      <c r="U291" s="7" t="s">
        <v>706</v>
      </c>
      <c r="V291" s="7" t="s">
        <v>707</v>
      </c>
      <c r="W291" s="7" t="s">
        <v>708</v>
      </c>
      <c r="X291" s="7" t="s">
        <v>709</v>
      </c>
      <c r="Y291" s="7" t="s">
        <v>710</v>
      </c>
      <c r="Z291" s="7" t="s">
        <v>711</v>
      </c>
      <c r="AA291" s="7" t="s">
        <v>712</v>
      </c>
      <c r="AB291" s="7" t="s">
        <v>694</v>
      </c>
      <c r="AC291" s="7" t="s">
        <v>713</v>
      </c>
      <c r="AD291" s="7" t="s">
        <v>714</v>
      </c>
      <c r="AE291" s="7" t="s">
        <v>715</v>
      </c>
      <c r="AF291" s="7" t="s">
        <v>716</v>
      </c>
      <c r="AG291" s="7" t="s">
        <v>1268</v>
      </c>
      <c r="AH291" s="7" t="s">
        <v>1269</v>
      </c>
      <c r="AI291" s="7" t="s">
        <v>1270</v>
      </c>
      <c r="AJ291" s="7" t="s">
        <v>1271</v>
      </c>
      <c r="AK291" s="7" t="s">
        <v>1272</v>
      </c>
      <c r="AL291" s="7" t="s">
        <v>1273</v>
      </c>
      <c r="AM291" s="7" t="s">
        <v>1274</v>
      </c>
      <c r="AN291" s="7" t="s">
        <v>1275</v>
      </c>
      <c r="AO291" s="7" t="s">
        <v>1276</v>
      </c>
      <c r="AP291" s="7" t="s">
        <v>1500</v>
      </c>
      <c r="AQ291" s="7" t="s">
        <v>1273</v>
      </c>
      <c r="AR291" s="7" t="s">
        <v>1274</v>
      </c>
      <c r="AS291" s="7" t="s">
        <v>1275</v>
      </c>
      <c r="AT291" s="7" t="s">
        <v>1276</v>
      </c>
    </row>
    <row r="292" spans="1:61" ht="78" customHeight="1" x14ac:dyDescent="0.4">
      <c r="A292" s="67" t="s">
        <v>427</v>
      </c>
      <c r="B292" t="e">
        <f>_xlfn.XLOOKUP(A292,'Product info'!A:A,'Product info'!C:C,,2)</f>
        <v>#N/A</v>
      </c>
      <c r="C292" s="69" t="s">
        <v>688</v>
      </c>
      <c r="D292" s="7" t="s">
        <v>689</v>
      </c>
      <c r="E292" s="7" t="s">
        <v>690</v>
      </c>
      <c r="F292" s="7" t="s">
        <v>691</v>
      </c>
      <c r="G292" s="7" t="s">
        <v>692</v>
      </c>
      <c r="H292" s="7" t="s">
        <v>693</v>
      </c>
      <c r="I292" s="7" t="s">
        <v>694</v>
      </c>
      <c r="J292" s="7" t="s">
        <v>695</v>
      </c>
      <c r="K292" s="7" t="s">
        <v>696</v>
      </c>
      <c r="L292" s="7" t="s">
        <v>697</v>
      </c>
      <c r="M292" s="7" t="s">
        <v>698</v>
      </c>
      <c r="N292" s="7" t="s">
        <v>699</v>
      </c>
      <c r="O292" s="7" t="s">
        <v>700</v>
      </c>
      <c r="P292" s="7" t="s">
        <v>701</v>
      </c>
      <c r="Q292" s="7" t="s">
        <v>702</v>
      </c>
      <c r="R292" s="7" t="s">
        <v>703</v>
      </c>
      <c r="S292" s="7" t="s">
        <v>704</v>
      </c>
      <c r="T292" s="7" t="s">
        <v>705</v>
      </c>
      <c r="U292" s="7" t="s">
        <v>706</v>
      </c>
      <c r="V292" s="7" t="s">
        <v>707</v>
      </c>
      <c r="W292" s="7" t="s">
        <v>708</v>
      </c>
      <c r="X292" s="7" t="s">
        <v>709</v>
      </c>
      <c r="Y292" s="7" t="s">
        <v>710</v>
      </c>
      <c r="Z292" s="7" t="s">
        <v>711</v>
      </c>
      <c r="AA292" s="7" t="s">
        <v>712</v>
      </c>
      <c r="AB292" s="7" t="s">
        <v>694</v>
      </c>
      <c r="AC292" s="7" t="s">
        <v>713</v>
      </c>
      <c r="AD292" s="7" t="s">
        <v>714</v>
      </c>
      <c r="AE292" s="7" t="s">
        <v>715</v>
      </c>
      <c r="AF292" s="7" t="s">
        <v>716</v>
      </c>
      <c r="AG292" s="7" t="s">
        <v>1268</v>
      </c>
      <c r="AH292" s="7" t="s">
        <v>1269</v>
      </c>
      <c r="AI292" s="7" t="s">
        <v>1270</v>
      </c>
      <c r="AJ292" s="7" t="s">
        <v>1271</v>
      </c>
      <c r="AK292" s="7" t="s">
        <v>1272</v>
      </c>
      <c r="AL292" s="7" t="s">
        <v>1273</v>
      </c>
      <c r="AM292" s="7" t="s">
        <v>1274</v>
      </c>
      <c r="AN292" s="7" t="s">
        <v>1275</v>
      </c>
      <c r="AO292" s="7" t="s">
        <v>1276</v>
      </c>
      <c r="AP292" s="7" t="s">
        <v>1500</v>
      </c>
      <c r="AQ292" s="7" t="s">
        <v>1273</v>
      </c>
      <c r="AR292" s="7" t="s">
        <v>1274</v>
      </c>
      <c r="AS292" s="7" t="s">
        <v>1275</v>
      </c>
      <c r="AT292" s="7" t="s">
        <v>1276</v>
      </c>
    </row>
    <row r="293" spans="1:61" ht="78" customHeight="1" x14ac:dyDescent="0.4">
      <c r="A293" s="67" t="s">
        <v>247</v>
      </c>
      <c r="B293" t="e">
        <f>_xlfn.XLOOKUP(A293,'Product info'!A:A,'Product info'!C:C,,2)</f>
        <v>#N/A</v>
      </c>
      <c r="C293" s="69" t="s">
        <v>688</v>
      </c>
      <c r="D293" s="7" t="s">
        <v>689</v>
      </c>
      <c r="E293" s="7" t="s">
        <v>690</v>
      </c>
      <c r="F293" s="7" t="s">
        <v>691</v>
      </c>
      <c r="G293" s="7" t="s">
        <v>692</v>
      </c>
      <c r="H293" s="7" t="s">
        <v>693</v>
      </c>
      <c r="I293" s="7" t="s">
        <v>694</v>
      </c>
      <c r="J293" s="7" t="s">
        <v>695</v>
      </c>
      <c r="K293" s="7" t="s">
        <v>696</v>
      </c>
      <c r="L293" s="7" t="s">
        <v>697</v>
      </c>
      <c r="M293" s="7" t="s">
        <v>698</v>
      </c>
      <c r="N293" s="7" t="s">
        <v>699</v>
      </c>
      <c r="O293" s="7" t="s">
        <v>700</v>
      </c>
      <c r="P293" s="7" t="s">
        <v>701</v>
      </c>
      <c r="Q293" s="7" t="s">
        <v>702</v>
      </c>
      <c r="R293" s="7" t="s">
        <v>703</v>
      </c>
      <c r="S293" s="7" t="s">
        <v>704</v>
      </c>
      <c r="T293" s="7" t="s">
        <v>705</v>
      </c>
      <c r="U293" s="7" t="s">
        <v>706</v>
      </c>
      <c r="V293" s="7" t="s">
        <v>707</v>
      </c>
      <c r="W293" s="7" t="s">
        <v>708</v>
      </c>
      <c r="X293" s="7" t="s">
        <v>709</v>
      </c>
      <c r="Y293" s="7" t="s">
        <v>710</v>
      </c>
      <c r="Z293" s="7" t="s">
        <v>711</v>
      </c>
      <c r="AA293" s="7" t="s">
        <v>712</v>
      </c>
      <c r="AB293" s="7" t="s">
        <v>694</v>
      </c>
      <c r="AC293" s="7" t="s">
        <v>713</v>
      </c>
      <c r="AD293" s="7" t="s">
        <v>714</v>
      </c>
      <c r="AE293" s="7" t="s">
        <v>715</v>
      </c>
      <c r="AF293" s="7" t="s">
        <v>716</v>
      </c>
      <c r="AG293" s="7" t="s">
        <v>1503</v>
      </c>
      <c r="AH293" s="7" t="s">
        <v>1504</v>
      </c>
      <c r="AI293" s="7" t="s">
        <v>1505</v>
      </c>
      <c r="AJ293" s="7" t="s">
        <v>1506</v>
      </c>
      <c r="AK293" s="7" t="s">
        <v>1507</v>
      </c>
      <c r="AL293" s="7" t="s">
        <v>1508</v>
      </c>
      <c r="AM293" s="7" t="s">
        <v>1509</v>
      </c>
      <c r="AN293" s="7" t="s">
        <v>1510</v>
      </c>
      <c r="AO293" s="7" t="s">
        <v>1511</v>
      </c>
      <c r="AP293" s="7" t="s">
        <v>1512</v>
      </c>
      <c r="AQ293" s="7" t="s">
        <v>1513</v>
      </c>
      <c r="AR293" s="7" t="s">
        <v>1514</v>
      </c>
    </row>
    <row r="294" spans="1:61" ht="78" customHeight="1" x14ac:dyDescent="0.4">
      <c r="A294" s="67" t="s">
        <v>535</v>
      </c>
      <c r="B294" t="e">
        <f>_xlfn.XLOOKUP(A294,'Product info'!A:A,'Product info'!C:C,,2)</f>
        <v>#N/A</v>
      </c>
      <c r="C294" s="69" t="s">
        <v>688</v>
      </c>
      <c r="D294" s="7" t="s">
        <v>689</v>
      </c>
      <c r="E294" s="7" t="s">
        <v>690</v>
      </c>
      <c r="F294" s="7" t="s">
        <v>691</v>
      </c>
      <c r="G294" s="7" t="s">
        <v>692</v>
      </c>
      <c r="H294" s="7" t="s">
        <v>693</v>
      </c>
      <c r="I294" s="7" t="s">
        <v>694</v>
      </c>
      <c r="J294" s="7" t="s">
        <v>695</v>
      </c>
      <c r="K294" s="7" t="s">
        <v>696</v>
      </c>
      <c r="L294" s="7" t="s">
        <v>697</v>
      </c>
      <c r="M294" s="7" t="s">
        <v>698</v>
      </c>
      <c r="N294" s="7" t="s">
        <v>699</v>
      </c>
      <c r="O294" s="7" t="s">
        <v>700</v>
      </c>
      <c r="P294" s="7" t="s">
        <v>701</v>
      </c>
      <c r="Q294" s="7" t="s">
        <v>702</v>
      </c>
      <c r="R294" s="7" t="s">
        <v>703</v>
      </c>
      <c r="S294" s="7" t="s">
        <v>704</v>
      </c>
      <c r="T294" s="7" t="s">
        <v>705</v>
      </c>
      <c r="U294" s="7" t="s">
        <v>706</v>
      </c>
      <c r="V294" s="7" t="s">
        <v>707</v>
      </c>
      <c r="W294" s="7" t="s">
        <v>708</v>
      </c>
      <c r="X294" s="7" t="s">
        <v>709</v>
      </c>
      <c r="Y294" s="7" t="s">
        <v>710</v>
      </c>
      <c r="Z294" s="7" t="s">
        <v>711</v>
      </c>
      <c r="AA294" s="7" t="s">
        <v>712</v>
      </c>
      <c r="AB294" s="7" t="s">
        <v>694</v>
      </c>
      <c r="AC294" s="7" t="s">
        <v>713</v>
      </c>
      <c r="AD294" s="7" t="s">
        <v>714</v>
      </c>
      <c r="AE294" s="7" t="s">
        <v>715</v>
      </c>
      <c r="AF294" s="7" t="s">
        <v>716</v>
      </c>
      <c r="AG294" s="7" t="s">
        <v>1110</v>
      </c>
      <c r="AH294" s="7" t="s">
        <v>1113</v>
      </c>
      <c r="AI294" s="7" t="s">
        <v>1279</v>
      </c>
      <c r="AJ294" s="7" t="s">
        <v>1280</v>
      </c>
      <c r="AK294" s="7" t="s">
        <v>1281</v>
      </c>
      <c r="AL294" s="7" t="s">
        <v>1282</v>
      </c>
      <c r="AM294" s="7" t="s">
        <v>1283</v>
      </c>
      <c r="AN294" s="7" t="s">
        <v>1284</v>
      </c>
      <c r="AO294" s="7" t="s">
        <v>1285</v>
      </c>
      <c r="AP294" s="7" t="s">
        <v>1286</v>
      </c>
      <c r="AQ294" s="7" t="s">
        <v>1428</v>
      </c>
    </row>
    <row r="295" spans="1:61" ht="78" customHeight="1" x14ac:dyDescent="0.4">
      <c r="A295" s="67" t="s">
        <v>65</v>
      </c>
      <c r="B295" t="e">
        <f>_xlfn.XLOOKUP(A295,'Product info'!A:A,'Product info'!C:C,,2)</f>
        <v>#N/A</v>
      </c>
      <c r="C295" s="69" t="s">
        <v>688</v>
      </c>
      <c r="D295" s="7" t="s">
        <v>689</v>
      </c>
      <c r="E295" s="7" t="s">
        <v>690</v>
      </c>
      <c r="F295" s="7" t="s">
        <v>691</v>
      </c>
      <c r="G295" s="7" t="s">
        <v>692</v>
      </c>
      <c r="H295" s="7" t="s">
        <v>693</v>
      </c>
      <c r="I295" s="7" t="s">
        <v>694</v>
      </c>
      <c r="J295" s="7" t="s">
        <v>695</v>
      </c>
      <c r="K295" s="7" t="s">
        <v>696</v>
      </c>
      <c r="L295" s="7" t="s">
        <v>697</v>
      </c>
      <c r="M295" s="7" t="s">
        <v>698</v>
      </c>
      <c r="N295" s="7" t="s">
        <v>699</v>
      </c>
      <c r="O295" s="7" t="s">
        <v>700</v>
      </c>
      <c r="P295" s="7" t="s">
        <v>701</v>
      </c>
      <c r="Q295" s="7" t="s">
        <v>702</v>
      </c>
      <c r="R295" s="7" t="s">
        <v>703</v>
      </c>
      <c r="S295" s="7" t="s">
        <v>704</v>
      </c>
      <c r="T295" s="7" t="s">
        <v>705</v>
      </c>
      <c r="U295" s="7" t="s">
        <v>706</v>
      </c>
      <c r="V295" s="7" t="s">
        <v>707</v>
      </c>
      <c r="W295" s="7" t="s">
        <v>708</v>
      </c>
      <c r="X295" s="7" t="s">
        <v>709</v>
      </c>
      <c r="Y295" s="7" t="s">
        <v>710</v>
      </c>
      <c r="Z295" s="7" t="s">
        <v>711</v>
      </c>
      <c r="AA295" s="7" t="s">
        <v>712</v>
      </c>
      <c r="AB295" s="7" t="s">
        <v>694</v>
      </c>
      <c r="AC295" s="7" t="s">
        <v>713</v>
      </c>
      <c r="AD295" s="7" t="s">
        <v>714</v>
      </c>
      <c r="AE295" s="7" t="s">
        <v>715</v>
      </c>
      <c r="AF295" s="7" t="s">
        <v>716</v>
      </c>
      <c r="AG295" s="7" t="s">
        <v>1515</v>
      </c>
      <c r="AH295" s="7" t="s">
        <v>1516</v>
      </c>
      <c r="AI295" s="7" t="s">
        <v>1517</v>
      </c>
      <c r="AJ295" s="7" t="s">
        <v>1518</v>
      </c>
      <c r="AK295" s="7" t="s">
        <v>1519</v>
      </c>
      <c r="AL295" s="7" t="s">
        <v>1520</v>
      </c>
      <c r="AM295" s="7" t="s">
        <v>1521</v>
      </c>
      <c r="AN295" s="7" t="s">
        <v>1522</v>
      </c>
      <c r="AO295" s="7" t="s">
        <v>1523</v>
      </c>
      <c r="AP295" s="7" t="s">
        <v>1524</v>
      </c>
      <c r="AQ295" s="7" t="s">
        <v>1525</v>
      </c>
      <c r="AR295" s="7" t="s">
        <v>1526</v>
      </c>
      <c r="AS295" s="7" t="s">
        <v>1527</v>
      </c>
      <c r="AT295" s="7" t="s">
        <v>1528</v>
      </c>
      <c r="AU295" s="7" t="s">
        <v>1529</v>
      </c>
      <c r="AV295" s="7" t="s">
        <v>1530</v>
      </c>
      <c r="AW295" s="7" t="s">
        <v>1531</v>
      </c>
      <c r="AX295" s="7" t="s">
        <v>1532</v>
      </c>
      <c r="AY295" s="7" t="s">
        <v>1533</v>
      </c>
      <c r="AZ295" s="7" t="s">
        <v>1534</v>
      </c>
    </row>
    <row r="296" spans="1:61" ht="78" customHeight="1" x14ac:dyDescent="0.4">
      <c r="A296" s="67" t="s">
        <v>438</v>
      </c>
      <c r="B296" t="e">
        <f>_xlfn.XLOOKUP(A296,'Product info'!A:A,'Product info'!C:C,,2)</f>
        <v>#N/A</v>
      </c>
      <c r="C296" s="69" t="s">
        <v>688</v>
      </c>
      <c r="D296" s="7" t="s">
        <v>689</v>
      </c>
      <c r="E296" s="7" t="s">
        <v>690</v>
      </c>
      <c r="F296" s="7" t="s">
        <v>691</v>
      </c>
      <c r="G296" s="7" t="s">
        <v>692</v>
      </c>
      <c r="H296" s="7" t="s">
        <v>693</v>
      </c>
      <c r="I296" s="7" t="s">
        <v>694</v>
      </c>
      <c r="J296" s="7" t="s">
        <v>695</v>
      </c>
      <c r="K296" s="7" t="s">
        <v>696</v>
      </c>
      <c r="L296" s="7" t="s">
        <v>697</v>
      </c>
      <c r="M296" s="7" t="s">
        <v>698</v>
      </c>
      <c r="N296" s="7" t="s">
        <v>699</v>
      </c>
      <c r="O296" s="7" t="s">
        <v>700</v>
      </c>
      <c r="P296" s="7" t="s">
        <v>701</v>
      </c>
      <c r="Q296" s="7" t="s">
        <v>702</v>
      </c>
      <c r="R296" s="7" t="s">
        <v>703</v>
      </c>
      <c r="S296" s="7" t="s">
        <v>704</v>
      </c>
      <c r="T296" s="7" t="s">
        <v>705</v>
      </c>
      <c r="U296" s="7" t="s">
        <v>706</v>
      </c>
      <c r="V296" s="7" t="s">
        <v>707</v>
      </c>
      <c r="W296" s="7" t="s">
        <v>708</v>
      </c>
      <c r="X296" s="7" t="s">
        <v>709</v>
      </c>
      <c r="Y296" s="7" t="s">
        <v>710</v>
      </c>
      <c r="Z296" s="7" t="s">
        <v>711</v>
      </c>
      <c r="AA296" s="7" t="s">
        <v>712</v>
      </c>
      <c r="AB296" s="7" t="s">
        <v>694</v>
      </c>
      <c r="AC296" s="7" t="s">
        <v>713</v>
      </c>
      <c r="AD296" s="7" t="s">
        <v>714</v>
      </c>
      <c r="AE296" s="7" t="s">
        <v>715</v>
      </c>
      <c r="AF296" s="7" t="s">
        <v>716</v>
      </c>
      <c r="AG296" s="7" t="s">
        <v>748</v>
      </c>
      <c r="AH296" s="7" t="s">
        <v>749</v>
      </c>
      <c r="AI296" s="7" t="s">
        <v>750</v>
      </c>
      <c r="AJ296" s="7" t="s">
        <v>751</v>
      </c>
      <c r="AK296" s="7" t="s">
        <v>752</v>
      </c>
      <c r="AL296" s="7" t="s">
        <v>753</v>
      </c>
      <c r="AM296" s="7" t="s">
        <v>754</v>
      </c>
      <c r="AN296" s="7" t="s">
        <v>755</v>
      </c>
      <c r="AO296" s="7" t="s">
        <v>756</v>
      </c>
      <c r="AP296" s="7" t="s">
        <v>757</v>
      </c>
      <c r="AQ296" s="7" t="s">
        <v>758</v>
      </c>
      <c r="AR296" s="7" t="s">
        <v>759</v>
      </c>
      <c r="AS296" s="7" t="s">
        <v>760</v>
      </c>
      <c r="AT296" s="7" t="s">
        <v>1535</v>
      </c>
      <c r="AU296" s="7" t="s">
        <v>762</v>
      </c>
      <c r="AV296" s="7" t="s">
        <v>763</v>
      </c>
      <c r="AW296" s="7" t="s">
        <v>767</v>
      </c>
    </row>
    <row r="297" spans="1:61" ht="78" customHeight="1" x14ac:dyDescent="0.4">
      <c r="A297" s="67" t="s">
        <v>245</v>
      </c>
      <c r="B297" t="e">
        <f>_xlfn.XLOOKUP(A297,'Product info'!A:A,'Product info'!C:C,,2)</f>
        <v>#N/A</v>
      </c>
      <c r="C297" s="69" t="s">
        <v>688</v>
      </c>
      <c r="D297" s="7" t="s">
        <v>689</v>
      </c>
      <c r="E297" s="7" t="s">
        <v>690</v>
      </c>
      <c r="F297" s="7" t="s">
        <v>691</v>
      </c>
      <c r="G297" s="7" t="s">
        <v>692</v>
      </c>
      <c r="H297" s="7" t="s">
        <v>693</v>
      </c>
      <c r="I297" s="7" t="s">
        <v>694</v>
      </c>
      <c r="J297" s="7" t="s">
        <v>695</v>
      </c>
      <c r="K297" s="7" t="s">
        <v>696</v>
      </c>
      <c r="L297" s="7" t="s">
        <v>697</v>
      </c>
      <c r="M297" s="7" t="s">
        <v>698</v>
      </c>
      <c r="N297" s="7" t="s">
        <v>699</v>
      </c>
      <c r="O297" s="7" t="s">
        <v>700</v>
      </c>
      <c r="P297" s="7" t="s">
        <v>701</v>
      </c>
      <c r="Q297" s="7" t="s">
        <v>702</v>
      </c>
      <c r="R297" s="7" t="s">
        <v>703</v>
      </c>
      <c r="S297" s="7" t="s">
        <v>704</v>
      </c>
      <c r="T297" s="7" t="s">
        <v>705</v>
      </c>
      <c r="U297" s="7" t="s">
        <v>706</v>
      </c>
      <c r="V297" s="7" t="s">
        <v>707</v>
      </c>
      <c r="W297" s="7" t="s">
        <v>708</v>
      </c>
      <c r="X297" s="7" t="s">
        <v>709</v>
      </c>
      <c r="Y297" s="7" t="s">
        <v>710</v>
      </c>
      <c r="Z297" s="7" t="s">
        <v>711</v>
      </c>
      <c r="AA297" s="7" t="s">
        <v>712</v>
      </c>
      <c r="AB297" s="7" t="s">
        <v>694</v>
      </c>
      <c r="AC297" s="7" t="s">
        <v>713</v>
      </c>
      <c r="AD297" s="7" t="s">
        <v>714</v>
      </c>
      <c r="AE297" s="7" t="s">
        <v>715</v>
      </c>
      <c r="AF297" s="7" t="s">
        <v>716</v>
      </c>
      <c r="AG297" s="7" t="s">
        <v>1536</v>
      </c>
      <c r="AH297" s="7" t="s">
        <v>1537</v>
      </c>
      <c r="AI297" s="7" t="s">
        <v>1538</v>
      </c>
      <c r="AJ297" s="7" t="s">
        <v>1539</v>
      </c>
      <c r="AK297" s="7" t="s">
        <v>1540</v>
      </c>
      <c r="AL297" s="7" t="s">
        <v>1541</v>
      </c>
      <c r="AM297" s="7" t="s">
        <v>1542</v>
      </c>
      <c r="AN297" s="7" t="s">
        <v>1543</v>
      </c>
      <c r="AO297" s="7" t="s">
        <v>1544</v>
      </c>
      <c r="AP297" s="7" t="s">
        <v>1545</v>
      </c>
      <c r="AQ297" s="7" t="s">
        <v>1546</v>
      </c>
      <c r="AR297" s="7" t="s">
        <v>1547</v>
      </c>
      <c r="AS297" s="7" t="s">
        <v>1548</v>
      </c>
      <c r="AT297" s="7" t="s">
        <v>1549</v>
      </c>
      <c r="AU297" s="7" t="s">
        <v>1550</v>
      </c>
      <c r="AV297" s="7" t="s">
        <v>1551</v>
      </c>
      <c r="AW297" s="7" t="s">
        <v>1552</v>
      </c>
      <c r="AX297" s="7" t="s">
        <v>1553</v>
      </c>
      <c r="AY297" s="7" t="s">
        <v>1554</v>
      </c>
      <c r="AZ297" s="7" t="s">
        <v>1555</v>
      </c>
      <c r="BA297" s="7" t="s">
        <v>1556</v>
      </c>
      <c r="BB297" s="7" t="s">
        <v>1557</v>
      </c>
      <c r="BC297" s="7" t="s">
        <v>1558</v>
      </c>
      <c r="BD297" s="7" t="s">
        <v>1559</v>
      </c>
      <c r="BE297" s="7" t="s">
        <v>1560</v>
      </c>
      <c r="BF297" s="7" t="s">
        <v>1561</v>
      </c>
      <c r="BG297" s="7" t="s">
        <v>1562</v>
      </c>
    </row>
    <row r="298" spans="1:61" ht="78" customHeight="1" x14ac:dyDescent="0.4">
      <c r="A298" s="67" t="s">
        <v>246</v>
      </c>
      <c r="B298" t="e">
        <f>_xlfn.XLOOKUP(A298,'Product info'!A:A,'Product info'!C:C,,2)</f>
        <v>#N/A</v>
      </c>
      <c r="C298" s="69" t="s">
        <v>688</v>
      </c>
      <c r="D298" s="7" t="s">
        <v>689</v>
      </c>
      <c r="E298" s="7" t="s">
        <v>690</v>
      </c>
      <c r="F298" s="7" t="s">
        <v>691</v>
      </c>
      <c r="G298" s="7" t="s">
        <v>692</v>
      </c>
      <c r="H298" s="7" t="s">
        <v>693</v>
      </c>
      <c r="I298" s="7" t="s">
        <v>694</v>
      </c>
      <c r="J298" s="7" t="s">
        <v>695</v>
      </c>
      <c r="K298" s="7" t="s">
        <v>696</v>
      </c>
      <c r="L298" s="7" t="s">
        <v>697</v>
      </c>
      <c r="M298" s="7" t="s">
        <v>698</v>
      </c>
      <c r="N298" s="7" t="s">
        <v>699</v>
      </c>
      <c r="O298" s="7" t="s">
        <v>700</v>
      </c>
      <c r="P298" s="7" t="s">
        <v>701</v>
      </c>
      <c r="Q298" s="7" t="s">
        <v>702</v>
      </c>
      <c r="R298" s="7" t="s">
        <v>703</v>
      </c>
      <c r="S298" s="7" t="s">
        <v>704</v>
      </c>
      <c r="T298" s="7" t="s">
        <v>705</v>
      </c>
      <c r="U298" s="7" t="s">
        <v>706</v>
      </c>
      <c r="V298" s="7" t="s">
        <v>707</v>
      </c>
      <c r="W298" s="7" t="s">
        <v>708</v>
      </c>
      <c r="X298" s="7" t="s">
        <v>709</v>
      </c>
      <c r="Y298" s="7" t="s">
        <v>710</v>
      </c>
      <c r="Z298" s="7" t="s">
        <v>711</v>
      </c>
      <c r="AA298" s="7" t="s">
        <v>712</v>
      </c>
      <c r="AB298" s="7" t="s">
        <v>694</v>
      </c>
      <c r="AC298" s="7" t="s">
        <v>713</v>
      </c>
      <c r="AD298" s="7" t="s">
        <v>714</v>
      </c>
      <c r="AE298" s="7" t="s">
        <v>715</v>
      </c>
      <c r="AF298" s="7" t="s">
        <v>716</v>
      </c>
      <c r="AG298" s="7" t="s">
        <v>1536</v>
      </c>
      <c r="AH298" s="7" t="s">
        <v>1537</v>
      </c>
      <c r="AI298" s="7" t="s">
        <v>1538</v>
      </c>
      <c r="AJ298" s="7" t="s">
        <v>1539</v>
      </c>
      <c r="AK298" s="7" t="s">
        <v>1540</v>
      </c>
      <c r="AL298" s="7" t="s">
        <v>1541</v>
      </c>
      <c r="AM298" s="7" t="s">
        <v>1542</v>
      </c>
      <c r="AN298" s="7" t="s">
        <v>1543</v>
      </c>
      <c r="AO298" s="7" t="s">
        <v>1544</v>
      </c>
      <c r="AP298" s="7" t="s">
        <v>1545</v>
      </c>
      <c r="AQ298" s="7" t="s">
        <v>1546</v>
      </c>
      <c r="AR298" s="7" t="s">
        <v>1547</v>
      </c>
      <c r="AS298" s="7" t="s">
        <v>1548</v>
      </c>
      <c r="AT298" s="7" t="s">
        <v>1549</v>
      </c>
      <c r="AU298" s="7" t="s">
        <v>1550</v>
      </c>
      <c r="AV298" s="7" t="s">
        <v>1551</v>
      </c>
      <c r="AW298" s="7" t="s">
        <v>1552</v>
      </c>
      <c r="AX298" s="7" t="s">
        <v>1553</v>
      </c>
      <c r="AY298" s="7" t="s">
        <v>1554</v>
      </c>
      <c r="AZ298" s="7" t="s">
        <v>1555</v>
      </c>
      <c r="BA298" s="7" t="s">
        <v>1556</v>
      </c>
      <c r="BB298" s="7" t="s">
        <v>1557</v>
      </c>
      <c r="BC298" s="7" t="s">
        <v>1558</v>
      </c>
      <c r="BD298" s="7" t="s">
        <v>1559</v>
      </c>
      <c r="BE298" s="7" t="s">
        <v>1560</v>
      </c>
      <c r="BF298" s="7" t="s">
        <v>1561</v>
      </c>
      <c r="BG298" s="7" t="s">
        <v>1562</v>
      </c>
      <c r="BH298" s="7" t="s">
        <v>1563</v>
      </c>
      <c r="BI298" s="7" t="s">
        <v>1564</v>
      </c>
    </row>
    <row r="299" spans="1:61" ht="78" customHeight="1" x14ac:dyDescent="0.4">
      <c r="A299" s="67" t="s">
        <v>395</v>
      </c>
      <c r="B299" t="e">
        <f>_xlfn.XLOOKUP(A299,'Product info'!A:A,'Product info'!C:C,,2)</f>
        <v>#N/A</v>
      </c>
      <c r="C299" s="69" t="s">
        <v>688</v>
      </c>
      <c r="D299" s="7" t="s">
        <v>689</v>
      </c>
      <c r="E299" s="7" t="s">
        <v>690</v>
      </c>
      <c r="F299" s="7" t="s">
        <v>691</v>
      </c>
      <c r="G299" s="7" t="s">
        <v>692</v>
      </c>
      <c r="H299" s="7" t="s">
        <v>693</v>
      </c>
      <c r="I299" s="7" t="s">
        <v>694</v>
      </c>
      <c r="J299" s="7" t="s">
        <v>695</v>
      </c>
      <c r="K299" s="7" t="s">
        <v>696</v>
      </c>
      <c r="L299" s="7" t="s">
        <v>697</v>
      </c>
      <c r="M299" s="7" t="s">
        <v>698</v>
      </c>
      <c r="N299" s="7" t="s">
        <v>699</v>
      </c>
      <c r="O299" s="7" t="s">
        <v>700</v>
      </c>
      <c r="P299" s="7" t="s">
        <v>701</v>
      </c>
      <c r="Q299" s="7" t="s">
        <v>702</v>
      </c>
      <c r="R299" s="7" t="s">
        <v>703</v>
      </c>
      <c r="S299" s="7" t="s">
        <v>704</v>
      </c>
      <c r="T299" s="7" t="s">
        <v>705</v>
      </c>
      <c r="U299" s="7" t="s">
        <v>706</v>
      </c>
      <c r="V299" s="7" t="s">
        <v>707</v>
      </c>
      <c r="W299" s="7" t="s">
        <v>708</v>
      </c>
      <c r="X299" s="7" t="s">
        <v>709</v>
      </c>
      <c r="Y299" s="7" t="s">
        <v>710</v>
      </c>
      <c r="Z299" s="7" t="s">
        <v>711</v>
      </c>
      <c r="AA299" s="7" t="s">
        <v>712</v>
      </c>
      <c r="AB299" s="7" t="s">
        <v>694</v>
      </c>
      <c r="AC299" s="7" t="s">
        <v>713</v>
      </c>
      <c r="AD299" s="7" t="s">
        <v>714</v>
      </c>
      <c r="AE299" s="7" t="s">
        <v>715</v>
      </c>
      <c r="AF299" s="7" t="s">
        <v>716</v>
      </c>
      <c r="AG299" s="7" t="s">
        <v>1565</v>
      </c>
      <c r="AH299" s="7" t="s">
        <v>1566</v>
      </c>
      <c r="AI299" s="7" t="s">
        <v>1567</v>
      </c>
      <c r="AJ299" s="7" t="s">
        <v>1568</v>
      </c>
      <c r="AK299" s="7" t="s">
        <v>1569</v>
      </c>
      <c r="AL299" s="7" t="s">
        <v>1570</v>
      </c>
      <c r="AM299" s="7" t="s">
        <v>1571</v>
      </c>
      <c r="AN299" s="7" t="s">
        <v>1572</v>
      </c>
      <c r="AO299" s="7" t="s">
        <v>1573</v>
      </c>
      <c r="AP299" s="7" t="s">
        <v>1574</v>
      </c>
      <c r="AQ299" s="7" t="s">
        <v>1575</v>
      </c>
      <c r="AR299" s="7" t="s">
        <v>1576</v>
      </c>
    </row>
    <row r="300" spans="1:61" ht="78" customHeight="1" x14ac:dyDescent="0.4">
      <c r="A300" s="67" t="s">
        <v>393</v>
      </c>
      <c r="B300" t="e">
        <f>_xlfn.XLOOKUP(A300,'Product info'!A:A,'Product info'!C:C,,2)</f>
        <v>#N/A</v>
      </c>
      <c r="C300" s="69" t="s">
        <v>688</v>
      </c>
      <c r="D300" s="7" t="s">
        <v>689</v>
      </c>
      <c r="E300" s="7" t="s">
        <v>690</v>
      </c>
      <c r="F300" s="7" t="s">
        <v>691</v>
      </c>
      <c r="G300" s="7" t="s">
        <v>692</v>
      </c>
      <c r="H300" s="7" t="s">
        <v>693</v>
      </c>
      <c r="I300" s="7" t="s">
        <v>694</v>
      </c>
      <c r="J300" s="7" t="s">
        <v>695</v>
      </c>
      <c r="K300" s="7" t="s">
        <v>696</v>
      </c>
      <c r="L300" s="7" t="s">
        <v>697</v>
      </c>
      <c r="M300" s="7" t="s">
        <v>698</v>
      </c>
      <c r="N300" s="7" t="s">
        <v>699</v>
      </c>
      <c r="O300" s="7" t="s">
        <v>700</v>
      </c>
      <c r="P300" s="7" t="s">
        <v>701</v>
      </c>
      <c r="Q300" s="7" t="s">
        <v>702</v>
      </c>
      <c r="R300" s="7" t="s">
        <v>703</v>
      </c>
      <c r="S300" s="7" t="s">
        <v>704</v>
      </c>
      <c r="T300" s="7" t="s">
        <v>705</v>
      </c>
      <c r="U300" s="7" t="s">
        <v>706</v>
      </c>
      <c r="V300" s="7" t="s">
        <v>707</v>
      </c>
      <c r="W300" s="7" t="s">
        <v>708</v>
      </c>
      <c r="X300" s="7" t="s">
        <v>709</v>
      </c>
      <c r="Y300" s="7" t="s">
        <v>710</v>
      </c>
      <c r="Z300" s="7" t="s">
        <v>711</v>
      </c>
      <c r="AA300" s="7" t="s">
        <v>712</v>
      </c>
      <c r="AB300" s="7" t="s">
        <v>694</v>
      </c>
      <c r="AC300" s="7" t="s">
        <v>713</v>
      </c>
      <c r="AD300" s="7" t="s">
        <v>714</v>
      </c>
      <c r="AE300" s="7" t="s">
        <v>715</v>
      </c>
      <c r="AF300" s="7" t="s">
        <v>716</v>
      </c>
      <c r="AG300" s="7" t="s">
        <v>1565</v>
      </c>
      <c r="AH300" s="7" t="s">
        <v>1566</v>
      </c>
      <c r="AI300" s="7" t="s">
        <v>1567</v>
      </c>
      <c r="AJ300" s="7" t="s">
        <v>1568</v>
      </c>
      <c r="AK300" s="7" t="s">
        <v>1569</v>
      </c>
      <c r="AL300" s="7" t="s">
        <v>1570</v>
      </c>
      <c r="AM300" s="7" t="s">
        <v>1571</v>
      </c>
      <c r="AN300" s="7" t="s">
        <v>1572</v>
      </c>
      <c r="AO300" s="7" t="s">
        <v>1573</v>
      </c>
      <c r="AP300" s="7" t="s">
        <v>1574</v>
      </c>
      <c r="AQ300" s="7" t="s">
        <v>1575</v>
      </c>
      <c r="AR300" s="7" t="s">
        <v>1577</v>
      </c>
      <c r="AS300" s="7" t="s">
        <v>1576</v>
      </c>
    </row>
    <row r="301" spans="1:61" ht="78" customHeight="1" x14ac:dyDescent="0.4">
      <c r="A301" s="67" t="s">
        <v>392</v>
      </c>
      <c r="B301" t="e">
        <f>_xlfn.XLOOKUP(A301,'Product info'!A:A,'Product info'!C:C,,2)</f>
        <v>#N/A</v>
      </c>
      <c r="C301" s="69" t="s">
        <v>688</v>
      </c>
      <c r="D301" s="7" t="s">
        <v>689</v>
      </c>
      <c r="E301" s="7" t="s">
        <v>690</v>
      </c>
      <c r="F301" s="7" t="s">
        <v>691</v>
      </c>
      <c r="G301" s="7" t="s">
        <v>692</v>
      </c>
      <c r="H301" s="7" t="s">
        <v>693</v>
      </c>
      <c r="I301" s="7" t="s">
        <v>694</v>
      </c>
      <c r="J301" s="7" t="s">
        <v>695</v>
      </c>
      <c r="K301" s="7" t="s">
        <v>696</v>
      </c>
      <c r="L301" s="7" t="s">
        <v>697</v>
      </c>
      <c r="M301" s="7" t="s">
        <v>698</v>
      </c>
      <c r="N301" s="7" t="s">
        <v>699</v>
      </c>
      <c r="O301" s="7" t="s">
        <v>700</v>
      </c>
      <c r="P301" s="7" t="s">
        <v>701</v>
      </c>
      <c r="Q301" s="7" t="s">
        <v>702</v>
      </c>
      <c r="R301" s="7" t="s">
        <v>703</v>
      </c>
      <c r="S301" s="7" t="s">
        <v>704</v>
      </c>
      <c r="T301" s="7" t="s">
        <v>705</v>
      </c>
      <c r="U301" s="7" t="s">
        <v>706</v>
      </c>
      <c r="V301" s="7" t="s">
        <v>707</v>
      </c>
      <c r="W301" s="7" t="s">
        <v>708</v>
      </c>
      <c r="X301" s="7" t="s">
        <v>709</v>
      </c>
      <c r="Y301" s="7" t="s">
        <v>710</v>
      </c>
      <c r="Z301" s="7" t="s">
        <v>711</v>
      </c>
      <c r="AA301" s="7" t="s">
        <v>712</v>
      </c>
      <c r="AB301" s="7" t="s">
        <v>694</v>
      </c>
      <c r="AC301" s="7" t="s">
        <v>713</v>
      </c>
      <c r="AD301" s="7" t="s">
        <v>714</v>
      </c>
      <c r="AE301" s="7" t="s">
        <v>715</v>
      </c>
      <c r="AF301" s="7" t="s">
        <v>716</v>
      </c>
      <c r="AG301" s="7" t="s">
        <v>1565</v>
      </c>
      <c r="AH301" s="7" t="s">
        <v>1566</v>
      </c>
      <c r="AI301" s="7" t="s">
        <v>1567</v>
      </c>
      <c r="AJ301" s="7" t="s">
        <v>1568</v>
      </c>
      <c r="AK301" s="7" t="s">
        <v>1569</v>
      </c>
      <c r="AL301" s="7" t="s">
        <v>1570</v>
      </c>
      <c r="AM301" s="7" t="s">
        <v>1571</v>
      </c>
      <c r="AN301" s="7" t="s">
        <v>1572</v>
      </c>
      <c r="AO301" s="7" t="s">
        <v>1573</v>
      </c>
      <c r="AP301" s="7" t="s">
        <v>1574</v>
      </c>
      <c r="AQ301" s="7" t="s">
        <v>1575</v>
      </c>
      <c r="AR301" s="7" t="s">
        <v>1577</v>
      </c>
      <c r="AS301" s="7" t="s">
        <v>1576</v>
      </c>
    </row>
    <row r="302" spans="1:61" ht="78" customHeight="1" x14ac:dyDescent="0.4">
      <c r="A302" s="67" t="s">
        <v>394</v>
      </c>
      <c r="B302" t="e">
        <f>_xlfn.XLOOKUP(A302,'Product info'!A:A,'Product info'!C:C,,2)</f>
        <v>#N/A</v>
      </c>
      <c r="C302" s="69" t="s">
        <v>688</v>
      </c>
      <c r="D302" s="7" t="s">
        <v>689</v>
      </c>
      <c r="E302" s="7" t="s">
        <v>690</v>
      </c>
      <c r="F302" s="7" t="s">
        <v>691</v>
      </c>
      <c r="G302" s="7" t="s">
        <v>692</v>
      </c>
      <c r="H302" s="7" t="s">
        <v>693</v>
      </c>
      <c r="I302" s="7" t="s">
        <v>694</v>
      </c>
      <c r="J302" s="7" t="s">
        <v>695</v>
      </c>
      <c r="K302" s="7" t="s">
        <v>696</v>
      </c>
      <c r="L302" s="7" t="s">
        <v>697</v>
      </c>
      <c r="M302" s="7" t="s">
        <v>698</v>
      </c>
      <c r="N302" s="7" t="s">
        <v>699</v>
      </c>
      <c r="O302" s="7" t="s">
        <v>700</v>
      </c>
      <c r="P302" s="7" t="s">
        <v>701</v>
      </c>
      <c r="Q302" s="7" t="s">
        <v>702</v>
      </c>
      <c r="R302" s="7" t="s">
        <v>703</v>
      </c>
      <c r="S302" s="7" t="s">
        <v>704</v>
      </c>
      <c r="T302" s="7" t="s">
        <v>705</v>
      </c>
      <c r="U302" s="7" t="s">
        <v>706</v>
      </c>
      <c r="V302" s="7" t="s">
        <v>707</v>
      </c>
      <c r="W302" s="7" t="s">
        <v>708</v>
      </c>
      <c r="X302" s="7" t="s">
        <v>709</v>
      </c>
      <c r="Y302" s="7" t="s">
        <v>710</v>
      </c>
      <c r="Z302" s="7" t="s">
        <v>711</v>
      </c>
      <c r="AA302" s="7" t="s">
        <v>712</v>
      </c>
      <c r="AB302" s="7" t="s">
        <v>694</v>
      </c>
      <c r="AC302" s="7" t="s">
        <v>713</v>
      </c>
      <c r="AD302" s="7" t="s">
        <v>714</v>
      </c>
      <c r="AE302" s="7" t="s">
        <v>715</v>
      </c>
      <c r="AF302" s="7" t="s">
        <v>716</v>
      </c>
      <c r="AG302" s="7" t="s">
        <v>1565</v>
      </c>
      <c r="AH302" s="7" t="s">
        <v>1566</v>
      </c>
      <c r="AI302" s="7" t="s">
        <v>1567</v>
      </c>
      <c r="AJ302" s="7" t="s">
        <v>1568</v>
      </c>
      <c r="AK302" s="7" t="s">
        <v>1569</v>
      </c>
      <c r="AL302" s="7" t="s">
        <v>1570</v>
      </c>
      <c r="AM302" s="7" t="s">
        <v>1571</v>
      </c>
      <c r="AN302" s="7" t="s">
        <v>1572</v>
      </c>
      <c r="AO302" s="7" t="s">
        <v>1573</v>
      </c>
      <c r="AP302" s="7" t="s">
        <v>1574</v>
      </c>
      <c r="AQ302" s="7" t="s">
        <v>1575</v>
      </c>
      <c r="AR302" s="7" t="s">
        <v>1577</v>
      </c>
      <c r="AS302" s="7" t="s">
        <v>1576</v>
      </c>
    </row>
    <row r="303" spans="1:61" ht="78" customHeight="1" x14ac:dyDescent="0.4">
      <c r="A303" s="67" t="s">
        <v>564</v>
      </c>
      <c r="B303" t="e">
        <f>_xlfn.XLOOKUP(A303,'Product info'!A:A,'Product info'!C:C,,2)</f>
        <v>#N/A</v>
      </c>
      <c r="C303" s="69" t="s">
        <v>688</v>
      </c>
      <c r="D303" s="7" t="s">
        <v>689</v>
      </c>
      <c r="E303" s="7" t="s">
        <v>690</v>
      </c>
      <c r="F303" s="7" t="s">
        <v>691</v>
      </c>
      <c r="G303" s="7" t="s">
        <v>692</v>
      </c>
      <c r="H303" s="7" t="s">
        <v>693</v>
      </c>
      <c r="I303" s="7" t="s">
        <v>694</v>
      </c>
      <c r="J303" s="7" t="s">
        <v>695</v>
      </c>
      <c r="K303" s="7" t="s">
        <v>696</v>
      </c>
      <c r="L303" s="7" t="s">
        <v>697</v>
      </c>
      <c r="M303" s="7" t="s">
        <v>698</v>
      </c>
      <c r="N303" s="7" t="s">
        <v>699</v>
      </c>
      <c r="O303" s="7" t="s">
        <v>700</v>
      </c>
      <c r="P303" s="7" t="s">
        <v>701</v>
      </c>
      <c r="Q303" s="7" t="s">
        <v>702</v>
      </c>
      <c r="R303" s="7" t="s">
        <v>703</v>
      </c>
      <c r="S303" s="7" t="s">
        <v>704</v>
      </c>
      <c r="T303" s="7" t="s">
        <v>705</v>
      </c>
      <c r="U303" s="7" t="s">
        <v>706</v>
      </c>
      <c r="V303" s="7" t="s">
        <v>707</v>
      </c>
      <c r="W303" s="7" t="s">
        <v>708</v>
      </c>
      <c r="X303" s="7" t="s">
        <v>709</v>
      </c>
      <c r="Y303" s="7" t="s">
        <v>710</v>
      </c>
      <c r="Z303" s="7" t="s">
        <v>711</v>
      </c>
      <c r="AA303" s="7" t="s">
        <v>712</v>
      </c>
      <c r="AB303" s="7" t="s">
        <v>694</v>
      </c>
      <c r="AC303" s="7" t="s">
        <v>713</v>
      </c>
      <c r="AD303" s="7" t="s">
        <v>714</v>
      </c>
      <c r="AE303" s="7" t="s">
        <v>715</v>
      </c>
      <c r="AF303" s="7" t="s">
        <v>716</v>
      </c>
      <c r="AG303" s="7" t="s">
        <v>1578</v>
      </c>
      <c r="AH303" s="7" t="s">
        <v>1579</v>
      </c>
      <c r="AI303" s="7" t="s">
        <v>1580</v>
      </c>
      <c r="AJ303" s="7" t="s">
        <v>1581</v>
      </c>
      <c r="AK303" s="7" t="s">
        <v>1582</v>
      </c>
      <c r="AL303" s="7" t="s">
        <v>1583</v>
      </c>
      <c r="AM303" s="7" t="s">
        <v>1584</v>
      </c>
      <c r="AN303" s="7" t="s">
        <v>1585</v>
      </c>
      <c r="AO303" s="7" t="s">
        <v>1586</v>
      </c>
      <c r="AP303" s="7" t="s">
        <v>1587</v>
      </c>
      <c r="AQ303" s="7" t="s">
        <v>1588</v>
      </c>
      <c r="AR303" s="7" t="s">
        <v>1589</v>
      </c>
      <c r="AS303" s="7" t="s">
        <v>1590</v>
      </c>
      <c r="AT303" s="7" t="s">
        <v>1591</v>
      </c>
      <c r="AU303" s="7" t="s">
        <v>1592</v>
      </c>
    </row>
    <row r="304" spans="1:61" ht="78" customHeight="1" x14ac:dyDescent="0.4">
      <c r="A304" s="67" t="s">
        <v>490</v>
      </c>
      <c r="B304" t="e">
        <f>_xlfn.XLOOKUP(A304,'Product info'!A:A,'Product info'!C:C,,2)</f>
        <v>#N/A</v>
      </c>
      <c r="C304" s="69" t="s">
        <v>688</v>
      </c>
      <c r="D304" s="7" t="s">
        <v>689</v>
      </c>
      <c r="E304" s="7" t="s">
        <v>690</v>
      </c>
      <c r="F304" s="7" t="s">
        <v>691</v>
      </c>
      <c r="G304" s="7" t="s">
        <v>692</v>
      </c>
      <c r="H304" s="7" t="s">
        <v>693</v>
      </c>
      <c r="I304" s="7" t="s">
        <v>694</v>
      </c>
      <c r="J304" s="7" t="s">
        <v>695</v>
      </c>
      <c r="K304" s="7" t="s">
        <v>696</v>
      </c>
      <c r="L304" s="7" t="s">
        <v>697</v>
      </c>
      <c r="M304" s="7" t="s">
        <v>698</v>
      </c>
      <c r="N304" s="7" t="s">
        <v>699</v>
      </c>
      <c r="O304" s="7" t="s">
        <v>700</v>
      </c>
      <c r="P304" s="7" t="s">
        <v>701</v>
      </c>
      <c r="Q304" s="7" t="s">
        <v>702</v>
      </c>
      <c r="R304" s="7" t="s">
        <v>703</v>
      </c>
      <c r="S304" s="7" t="s">
        <v>704</v>
      </c>
      <c r="T304" s="7" t="s">
        <v>705</v>
      </c>
      <c r="U304" s="7" t="s">
        <v>706</v>
      </c>
      <c r="V304" s="7" t="s">
        <v>707</v>
      </c>
      <c r="W304" s="7" t="s">
        <v>708</v>
      </c>
      <c r="X304" s="7" t="s">
        <v>709</v>
      </c>
      <c r="Y304" s="7" t="s">
        <v>710</v>
      </c>
      <c r="Z304" s="7" t="s">
        <v>711</v>
      </c>
      <c r="AA304" s="7" t="s">
        <v>712</v>
      </c>
      <c r="AB304" s="7" t="s">
        <v>694</v>
      </c>
      <c r="AC304" s="7" t="s">
        <v>713</v>
      </c>
      <c r="AD304" s="7" t="s">
        <v>714</v>
      </c>
      <c r="AE304" s="7" t="s">
        <v>715</v>
      </c>
      <c r="AF304" s="7" t="s">
        <v>716</v>
      </c>
      <c r="AG304" s="7" t="s">
        <v>1593</v>
      </c>
      <c r="AH304" s="7" t="s">
        <v>1594</v>
      </c>
      <c r="AI304" s="7" t="s">
        <v>1595</v>
      </c>
      <c r="AJ304" s="7" t="s">
        <v>1596</v>
      </c>
      <c r="AK304" s="7" t="s">
        <v>1597</v>
      </c>
      <c r="AL304" s="7" t="s">
        <v>1598</v>
      </c>
      <c r="AM304" s="7" t="s">
        <v>1599</v>
      </c>
    </row>
    <row r="305" spans="1:63" ht="78" customHeight="1" x14ac:dyDescent="0.4">
      <c r="A305" s="67" t="s">
        <v>491</v>
      </c>
      <c r="B305" t="e">
        <f>_xlfn.XLOOKUP(A305,'Product info'!A:A,'Product info'!C:C,,2)</f>
        <v>#N/A</v>
      </c>
      <c r="C305" s="69" t="s">
        <v>688</v>
      </c>
      <c r="D305" s="7" t="s">
        <v>689</v>
      </c>
      <c r="E305" s="7" t="s">
        <v>690</v>
      </c>
      <c r="F305" s="7" t="s">
        <v>691</v>
      </c>
      <c r="G305" s="7" t="s">
        <v>692</v>
      </c>
      <c r="H305" s="7" t="s">
        <v>693</v>
      </c>
      <c r="I305" s="7" t="s">
        <v>694</v>
      </c>
      <c r="J305" s="7" t="s">
        <v>695</v>
      </c>
      <c r="K305" s="7" t="s">
        <v>696</v>
      </c>
      <c r="L305" s="7" t="s">
        <v>697</v>
      </c>
      <c r="M305" s="7" t="s">
        <v>698</v>
      </c>
      <c r="N305" s="7" t="s">
        <v>699</v>
      </c>
      <c r="O305" s="7" t="s">
        <v>700</v>
      </c>
      <c r="P305" s="7" t="s">
        <v>701</v>
      </c>
      <c r="Q305" s="7" t="s">
        <v>702</v>
      </c>
      <c r="R305" s="7" t="s">
        <v>703</v>
      </c>
      <c r="S305" s="7" t="s">
        <v>704</v>
      </c>
      <c r="T305" s="7" t="s">
        <v>705</v>
      </c>
      <c r="U305" s="7" t="s">
        <v>706</v>
      </c>
      <c r="V305" s="7" t="s">
        <v>707</v>
      </c>
      <c r="W305" s="7" t="s">
        <v>708</v>
      </c>
      <c r="X305" s="7" t="s">
        <v>709</v>
      </c>
      <c r="Y305" s="7" t="s">
        <v>710</v>
      </c>
      <c r="Z305" s="7" t="s">
        <v>711</v>
      </c>
      <c r="AA305" s="7" t="s">
        <v>712</v>
      </c>
      <c r="AB305" s="7" t="s">
        <v>694</v>
      </c>
      <c r="AC305" s="7" t="s">
        <v>713</v>
      </c>
      <c r="AD305" s="7" t="s">
        <v>714</v>
      </c>
      <c r="AE305" s="7" t="s">
        <v>715</v>
      </c>
      <c r="AF305" s="7" t="s">
        <v>716</v>
      </c>
      <c r="AG305" s="7" t="s">
        <v>1593</v>
      </c>
      <c r="AH305" s="7" t="s">
        <v>1594</v>
      </c>
      <c r="AI305" s="7" t="s">
        <v>1595</v>
      </c>
      <c r="AJ305" s="7" t="s">
        <v>1596</v>
      </c>
      <c r="AK305" s="7" t="s">
        <v>1597</v>
      </c>
      <c r="AL305" s="7" t="s">
        <v>1598</v>
      </c>
      <c r="AM305" s="7" t="s">
        <v>1599</v>
      </c>
    </row>
    <row r="306" spans="1:63" ht="78" customHeight="1" x14ac:dyDescent="0.4">
      <c r="A306" s="67" t="s">
        <v>492</v>
      </c>
      <c r="B306" t="e">
        <f>_xlfn.XLOOKUP(A306,'Product info'!A:A,'Product info'!C:C,,2)</f>
        <v>#N/A</v>
      </c>
      <c r="C306" s="69" t="s">
        <v>688</v>
      </c>
      <c r="D306" s="7" t="s">
        <v>689</v>
      </c>
      <c r="E306" s="7" t="s">
        <v>690</v>
      </c>
      <c r="F306" s="7" t="s">
        <v>691</v>
      </c>
      <c r="G306" s="7" t="s">
        <v>692</v>
      </c>
      <c r="H306" s="7" t="s">
        <v>693</v>
      </c>
      <c r="I306" s="7" t="s">
        <v>694</v>
      </c>
      <c r="J306" s="7" t="s">
        <v>695</v>
      </c>
      <c r="K306" s="7" t="s">
        <v>696</v>
      </c>
      <c r="L306" s="7" t="s">
        <v>697</v>
      </c>
      <c r="M306" s="7" t="s">
        <v>698</v>
      </c>
      <c r="N306" s="7" t="s">
        <v>699</v>
      </c>
      <c r="O306" s="7" t="s">
        <v>700</v>
      </c>
      <c r="P306" s="7" t="s">
        <v>701</v>
      </c>
      <c r="Q306" s="7" t="s">
        <v>702</v>
      </c>
      <c r="R306" s="7" t="s">
        <v>703</v>
      </c>
      <c r="S306" s="7" t="s">
        <v>704</v>
      </c>
      <c r="T306" s="7" t="s">
        <v>705</v>
      </c>
      <c r="U306" s="7" t="s">
        <v>706</v>
      </c>
      <c r="V306" s="7" t="s">
        <v>707</v>
      </c>
      <c r="W306" s="7" t="s">
        <v>708</v>
      </c>
      <c r="X306" s="7" t="s">
        <v>709</v>
      </c>
      <c r="Y306" s="7" t="s">
        <v>710</v>
      </c>
      <c r="Z306" s="7" t="s">
        <v>711</v>
      </c>
      <c r="AA306" s="7" t="s">
        <v>712</v>
      </c>
      <c r="AB306" s="7" t="s">
        <v>694</v>
      </c>
      <c r="AC306" s="7" t="s">
        <v>713</v>
      </c>
      <c r="AD306" s="7" t="s">
        <v>714</v>
      </c>
      <c r="AE306" s="7" t="s">
        <v>715</v>
      </c>
      <c r="AF306" s="7" t="s">
        <v>716</v>
      </c>
      <c r="AG306" s="7" t="s">
        <v>1593</v>
      </c>
      <c r="AH306" s="7" t="s">
        <v>1594</v>
      </c>
      <c r="AI306" s="7" t="s">
        <v>1595</v>
      </c>
      <c r="AJ306" s="7" t="s">
        <v>1596</v>
      </c>
      <c r="AK306" s="7" t="s">
        <v>1597</v>
      </c>
      <c r="AL306" s="7" t="s">
        <v>1598</v>
      </c>
      <c r="AM306" s="7" t="s">
        <v>1599</v>
      </c>
    </row>
    <row r="307" spans="1:63" ht="78" customHeight="1" x14ac:dyDescent="0.4">
      <c r="A307" s="67" t="s">
        <v>331</v>
      </c>
      <c r="B307" t="e">
        <f>_xlfn.XLOOKUP(A307,'Product info'!A:A,'Product info'!C:C,,2)</f>
        <v>#N/A</v>
      </c>
      <c r="C307" s="69" t="s">
        <v>688</v>
      </c>
      <c r="D307" s="7" t="s">
        <v>689</v>
      </c>
      <c r="E307" s="7" t="s">
        <v>690</v>
      </c>
      <c r="F307" s="7" t="s">
        <v>691</v>
      </c>
      <c r="G307" s="7" t="s">
        <v>692</v>
      </c>
      <c r="H307" s="7" t="s">
        <v>693</v>
      </c>
      <c r="I307" s="7" t="s">
        <v>694</v>
      </c>
      <c r="J307" s="7" t="s">
        <v>695</v>
      </c>
      <c r="K307" s="7" t="s">
        <v>696</v>
      </c>
      <c r="L307" s="7" t="s">
        <v>697</v>
      </c>
      <c r="M307" s="7" t="s">
        <v>698</v>
      </c>
      <c r="N307" s="7" t="s">
        <v>699</v>
      </c>
      <c r="O307" s="7" t="s">
        <v>700</v>
      </c>
      <c r="P307" s="7" t="s">
        <v>701</v>
      </c>
      <c r="Q307" s="7" t="s">
        <v>702</v>
      </c>
      <c r="R307" s="7" t="s">
        <v>703</v>
      </c>
      <c r="S307" s="7" t="s">
        <v>704</v>
      </c>
      <c r="T307" s="7" t="s">
        <v>705</v>
      </c>
      <c r="U307" s="7" t="s">
        <v>706</v>
      </c>
      <c r="V307" s="7" t="s">
        <v>707</v>
      </c>
      <c r="W307" s="7" t="s">
        <v>708</v>
      </c>
      <c r="X307" s="7" t="s">
        <v>709</v>
      </c>
      <c r="Y307" s="7" t="s">
        <v>710</v>
      </c>
      <c r="Z307" s="7" t="s">
        <v>711</v>
      </c>
      <c r="AA307" s="7" t="s">
        <v>712</v>
      </c>
      <c r="AB307" s="7" t="s">
        <v>694</v>
      </c>
      <c r="AC307" s="7" t="s">
        <v>713</v>
      </c>
      <c r="AD307" s="7" t="s">
        <v>714</v>
      </c>
      <c r="AE307" s="7" t="s">
        <v>715</v>
      </c>
      <c r="AF307" s="7" t="s">
        <v>716</v>
      </c>
      <c r="AG307" s="7" t="s">
        <v>1600</v>
      </c>
      <c r="AH307" s="7" t="s">
        <v>1601</v>
      </c>
      <c r="AI307" s="7" t="s">
        <v>1602</v>
      </c>
      <c r="AJ307" s="7" t="s">
        <v>1603</v>
      </c>
      <c r="AK307" s="7" t="s">
        <v>1604</v>
      </c>
      <c r="AL307" s="7" t="s">
        <v>1605</v>
      </c>
      <c r="AM307" s="7" t="s">
        <v>1606</v>
      </c>
      <c r="AN307" s="7" t="s">
        <v>1607</v>
      </c>
      <c r="AO307" s="7" t="s">
        <v>1608</v>
      </c>
      <c r="AP307" s="7" t="s">
        <v>1609</v>
      </c>
    </row>
    <row r="308" spans="1:63" ht="78" customHeight="1" x14ac:dyDescent="0.4">
      <c r="A308" s="67" t="s">
        <v>382</v>
      </c>
      <c r="B308" t="e">
        <f>_xlfn.XLOOKUP(A308,'Product info'!A:A,'Product info'!C:C,,2)</f>
        <v>#N/A</v>
      </c>
      <c r="C308" s="69" t="s">
        <v>688</v>
      </c>
      <c r="D308" s="7" t="s">
        <v>689</v>
      </c>
      <c r="E308" s="7" t="s">
        <v>690</v>
      </c>
      <c r="F308" s="7" t="s">
        <v>691</v>
      </c>
      <c r="G308" s="7" t="s">
        <v>692</v>
      </c>
      <c r="H308" s="7" t="s">
        <v>693</v>
      </c>
      <c r="I308" s="7" t="s">
        <v>694</v>
      </c>
      <c r="J308" s="7" t="s">
        <v>695</v>
      </c>
      <c r="K308" s="7" t="s">
        <v>696</v>
      </c>
      <c r="L308" s="7" t="s">
        <v>697</v>
      </c>
      <c r="M308" s="7" t="s">
        <v>698</v>
      </c>
      <c r="N308" s="7" t="s">
        <v>699</v>
      </c>
      <c r="O308" s="7" t="s">
        <v>700</v>
      </c>
      <c r="P308" s="7" t="s">
        <v>701</v>
      </c>
      <c r="Q308" s="7" t="s">
        <v>702</v>
      </c>
      <c r="R308" s="7" t="s">
        <v>703</v>
      </c>
      <c r="S308" s="7" t="s">
        <v>704</v>
      </c>
      <c r="T308" s="7" t="s">
        <v>705</v>
      </c>
      <c r="U308" s="7" t="s">
        <v>706</v>
      </c>
      <c r="V308" s="7" t="s">
        <v>707</v>
      </c>
      <c r="W308" s="7" t="s">
        <v>708</v>
      </c>
      <c r="X308" s="7" t="s">
        <v>709</v>
      </c>
      <c r="Y308" s="7" t="s">
        <v>710</v>
      </c>
      <c r="Z308" s="7" t="s">
        <v>711</v>
      </c>
      <c r="AA308" s="7" t="s">
        <v>712</v>
      </c>
      <c r="AB308" s="7" t="s">
        <v>694</v>
      </c>
      <c r="AC308" s="7" t="s">
        <v>713</v>
      </c>
      <c r="AD308" s="7" t="s">
        <v>714</v>
      </c>
      <c r="AE308" s="7" t="s">
        <v>715</v>
      </c>
      <c r="AF308" s="7" t="s">
        <v>716</v>
      </c>
      <c r="AG308" s="7" t="s">
        <v>1071</v>
      </c>
      <c r="AH308" s="7" t="s">
        <v>1157</v>
      </c>
      <c r="AI308" s="7" t="s">
        <v>1196</v>
      </c>
      <c r="AJ308" s="7" t="s">
        <v>1159</v>
      </c>
      <c r="AK308" s="7" t="s">
        <v>1610</v>
      </c>
      <c r="AL308" s="7" t="s">
        <v>1611</v>
      </c>
      <c r="AM308" s="7" t="s">
        <v>1075</v>
      </c>
      <c r="AN308" s="7" t="s">
        <v>1161</v>
      </c>
      <c r="AO308" s="7" t="s">
        <v>1162</v>
      </c>
      <c r="AP308" s="7" t="s">
        <v>1576</v>
      </c>
    </row>
    <row r="309" spans="1:63" ht="78" customHeight="1" x14ac:dyDescent="0.4">
      <c r="A309" s="67" t="s">
        <v>61</v>
      </c>
      <c r="B309" t="e">
        <f>_xlfn.XLOOKUP(A309,'Product info'!A:A,'Product info'!C:C,,2)</f>
        <v>#N/A</v>
      </c>
      <c r="C309" s="69" t="s">
        <v>688</v>
      </c>
      <c r="D309" s="7" t="s">
        <v>689</v>
      </c>
      <c r="E309" s="7" t="s">
        <v>690</v>
      </c>
      <c r="F309" s="7" t="s">
        <v>691</v>
      </c>
      <c r="G309" s="7" t="s">
        <v>692</v>
      </c>
      <c r="H309" s="7" t="s">
        <v>693</v>
      </c>
      <c r="I309" s="7" t="s">
        <v>694</v>
      </c>
      <c r="J309" s="7" t="s">
        <v>695</v>
      </c>
      <c r="K309" s="7" t="s">
        <v>696</v>
      </c>
      <c r="L309" s="7" t="s">
        <v>697</v>
      </c>
      <c r="M309" s="7" t="s">
        <v>698</v>
      </c>
      <c r="N309" s="7" t="s">
        <v>699</v>
      </c>
      <c r="O309" s="7" t="s">
        <v>700</v>
      </c>
      <c r="P309" s="7" t="s">
        <v>701</v>
      </c>
      <c r="Q309" s="7" t="s">
        <v>702</v>
      </c>
      <c r="R309" s="7" t="s">
        <v>703</v>
      </c>
      <c r="S309" s="7" t="s">
        <v>704</v>
      </c>
      <c r="T309" s="7" t="s">
        <v>705</v>
      </c>
      <c r="U309" s="7" t="s">
        <v>706</v>
      </c>
      <c r="V309" s="7" t="s">
        <v>707</v>
      </c>
      <c r="W309" s="7" t="s">
        <v>708</v>
      </c>
      <c r="X309" s="7" t="s">
        <v>709</v>
      </c>
      <c r="Y309" s="7" t="s">
        <v>710</v>
      </c>
      <c r="Z309" s="7" t="s">
        <v>711</v>
      </c>
      <c r="AA309" s="7" t="s">
        <v>712</v>
      </c>
      <c r="AB309" s="7" t="s">
        <v>694</v>
      </c>
      <c r="AC309" s="7" t="s">
        <v>713</v>
      </c>
      <c r="AD309" s="7" t="s">
        <v>714</v>
      </c>
      <c r="AE309" s="7" t="s">
        <v>715</v>
      </c>
      <c r="AF309" s="7" t="s">
        <v>716</v>
      </c>
      <c r="AG309" s="7" t="s">
        <v>1612</v>
      </c>
      <c r="AH309" s="7" t="s">
        <v>1613</v>
      </c>
      <c r="AI309" s="7" t="s">
        <v>1614</v>
      </c>
      <c r="AJ309" s="7" t="s">
        <v>1615</v>
      </c>
      <c r="AK309" s="7" t="s">
        <v>1616</v>
      </c>
      <c r="AL309" s="7" t="s">
        <v>1617</v>
      </c>
      <c r="AM309" s="7" t="s">
        <v>1618</v>
      </c>
      <c r="AN309" s="7" t="s">
        <v>1619</v>
      </c>
      <c r="AO309" s="7" t="s">
        <v>1620</v>
      </c>
      <c r="AP309" s="7" t="s">
        <v>1621</v>
      </c>
      <c r="AQ309" s="7" t="s">
        <v>1622</v>
      </c>
      <c r="AR309" s="7" t="s">
        <v>1623</v>
      </c>
      <c r="AS309" s="7" t="s">
        <v>1624</v>
      </c>
      <c r="AT309" s="7" t="s">
        <v>1625</v>
      </c>
    </row>
    <row r="310" spans="1:63" ht="78" customHeight="1" x14ac:dyDescent="0.4">
      <c r="A310" s="67" t="s">
        <v>472</v>
      </c>
      <c r="B310" t="e">
        <f>_xlfn.XLOOKUP(A310,'Product info'!A:A,'Product info'!C:C,,2)</f>
        <v>#N/A</v>
      </c>
      <c r="C310" s="69" t="s">
        <v>688</v>
      </c>
      <c r="D310" s="7" t="s">
        <v>689</v>
      </c>
      <c r="E310" s="7" t="s">
        <v>690</v>
      </c>
      <c r="F310" s="7" t="s">
        <v>691</v>
      </c>
      <c r="G310" s="7" t="s">
        <v>692</v>
      </c>
      <c r="H310" s="7" t="s">
        <v>693</v>
      </c>
      <c r="I310" s="7" t="s">
        <v>694</v>
      </c>
      <c r="J310" s="7" t="s">
        <v>695</v>
      </c>
      <c r="K310" s="7" t="s">
        <v>696</v>
      </c>
      <c r="L310" s="7" t="s">
        <v>697</v>
      </c>
      <c r="M310" s="7" t="s">
        <v>698</v>
      </c>
      <c r="N310" s="7" t="s">
        <v>699</v>
      </c>
      <c r="O310" s="7" t="s">
        <v>700</v>
      </c>
      <c r="P310" s="7" t="s">
        <v>701</v>
      </c>
      <c r="Q310" s="7" t="s">
        <v>702</v>
      </c>
      <c r="R310" s="7" t="s">
        <v>703</v>
      </c>
      <c r="S310" s="7" t="s">
        <v>704</v>
      </c>
      <c r="T310" s="7" t="s">
        <v>705</v>
      </c>
      <c r="U310" s="7" t="s">
        <v>706</v>
      </c>
      <c r="V310" s="7" t="s">
        <v>707</v>
      </c>
      <c r="W310" s="7" t="s">
        <v>708</v>
      </c>
      <c r="X310" s="7" t="s">
        <v>709</v>
      </c>
      <c r="Y310" s="7" t="s">
        <v>710</v>
      </c>
      <c r="Z310" s="7" t="s">
        <v>711</v>
      </c>
      <c r="AA310" s="7" t="s">
        <v>712</v>
      </c>
      <c r="AB310" s="7" t="s">
        <v>694</v>
      </c>
      <c r="AC310" s="7" t="s">
        <v>713</v>
      </c>
      <c r="AD310" s="7" t="s">
        <v>714</v>
      </c>
      <c r="AE310" s="7" t="s">
        <v>715</v>
      </c>
      <c r="AF310" s="7" t="s">
        <v>716</v>
      </c>
      <c r="AG310" s="7" t="s">
        <v>1612</v>
      </c>
      <c r="AH310" s="7" t="s">
        <v>1613</v>
      </c>
      <c r="AI310" s="7" t="s">
        <v>1614</v>
      </c>
      <c r="AJ310" s="7" t="s">
        <v>1615</v>
      </c>
      <c r="AK310" s="7" t="s">
        <v>1616</v>
      </c>
      <c r="AL310" s="7" t="s">
        <v>1617</v>
      </c>
      <c r="AM310" s="7" t="s">
        <v>1618</v>
      </c>
      <c r="AN310" s="7" t="s">
        <v>1619</v>
      </c>
      <c r="AO310" s="7" t="s">
        <v>1620</v>
      </c>
      <c r="AP310" s="7" t="s">
        <v>1621</v>
      </c>
      <c r="AQ310" s="7" t="s">
        <v>1622</v>
      </c>
      <c r="AR310" s="7" t="s">
        <v>1623</v>
      </c>
      <c r="AS310" s="7" t="s">
        <v>1624</v>
      </c>
      <c r="AT310" s="7" t="s">
        <v>1625</v>
      </c>
    </row>
    <row r="311" spans="1:63" ht="78" customHeight="1" x14ac:dyDescent="0.4">
      <c r="A311" s="67" t="s">
        <v>471</v>
      </c>
      <c r="B311" t="e">
        <f>_xlfn.XLOOKUP(A311,'Product info'!A:A,'Product info'!C:C,,2)</f>
        <v>#N/A</v>
      </c>
      <c r="C311" s="69" t="s">
        <v>688</v>
      </c>
      <c r="D311" s="7" t="s">
        <v>689</v>
      </c>
      <c r="E311" s="7" t="s">
        <v>690</v>
      </c>
      <c r="F311" s="7" t="s">
        <v>691</v>
      </c>
      <c r="G311" s="7" t="s">
        <v>692</v>
      </c>
      <c r="H311" s="7" t="s">
        <v>693</v>
      </c>
      <c r="I311" s="7" t="s">
        <v>694</v>
      </c>
      <c r="J311" s="7" t="s">
        <v>695</v>
      </c>
      <c r="K311" s="7" t="s">
        <v>696</v>
      </c>
      <c r="L311" s="7" t="s">
        <v>697</v>
      </c>
      <c r="M311" s="7" t="s">
        <v>698</v>
      </c>
      <c r="N311" s="7" t="s">
        <v>699</v>
      </c>
      <c r="O311" s="7" t="s">
        <v>700</v>
      </c>
      <c r="P311" s="7" t="s">
        <v>701</v>
      </c>
      <c r="Q311" s="7" t="s">
        <v>702</v>
      </c>
      <c r="R311" s="7" t="s">
        <v>703</v>
      </c>
      <c r="S311" s="7" t="s">
        <v>704</v>
      </c>
      <c r="T311" s="7" t="s">
        <v>705</v>
      </c>
      <c r="U311" s="7" t="s">
        <v>706</v>
      </c>
      <c r="V311" s="7" t="s">
        <v>707</v>
      </c>
      <c r="W311" s="7" t="s">
        <v>708</v>
      </c>
      <c r="X311" s="7" t="s">
        <v>709</v>
      </c>
      <c r="Y311" s="7" t="s">
        <v>710</v>
      </c>
      <c r="Z311" s="7" t="s">
        <v>711</v>
      </c>
      <c r="AA311" s="7" t="s">
        <v>712</v>
      </c>
      <c r="AB311" s="7" t="s">
        <v>694</v>
      </c>
      <c r="AC311" s="7" t="s">
        <v>713</v>
      </c>
      <c r="AD311" s="7" t="s">
        <v>714</v>
      </c>
      <c r="AE311" s="7" t="s">
        <v>715</v>
      </c>
      <c r="AF311" s="7" t="s">
        <v>716</v>
      </c>
      <c r="AG311" s="7" t="s">
        <v>1612</v>
      </c>
      <c r="AH311" s="7" t="s">
        <v>1613</v>
      </c>
      <c r="AI311" s="7" t="s">
        <v>1614</v>
      </c>
      <c r="AJ311" s="7" t="s">
        <v>1615</v>
      </c>
      <c r="AK311" s="7" t="s">
        <v>1616</v>
      </c>
      <c r="AL311" s="7" t="s">
        <v>1617</v>
      </c>
      <c r="AM311" s="7" t="s">
        <v>1618</v>
      </c>
      <c r="AN311" s="7" t="s">
        <v>1619</v>
      </c>
      <c r="AO311" s="7" t="s">
        <v>1620</v>
      </c>
      <c r="AP311" s="7" t="s">
        <v>1621</v>
      </c>
      <c r="AQ311" s="7" t="s">
        <v>1622</v>
      </c>
      <c r="AR311" s="7" t="s">
        <v>1623</v>
      </c>
      <c r="AS311" s="7" t="s">
        <v>1624</v>
      </c>
      <c r="AT311" s="7" t="s">
        <v>1625</v>
      </c>
    </row>
    <row r="312" spans="1:63" ht="78" customHeight="1" x14ac:dyDescent="0.4">
      <c r="A312" s="67" t="s">
        <v>68</v>
      </c>
      <c r="B312" t="e">
        <f>_xlfn.XLOOKUP(A312,'Product info'!A:A,'Product info'!C:C,,2)</f>
        <v>#N/A</v>
      </c>
      <c r="C312" s="69" t="s">
        <v>688</v>
      </c>
      <c r="D312" s="7" t="s">
        <v>689</v>
      </c>
      <c r="E312" s="7" t="s">
        <v>690</v>
      </c>
      <c r="F312" s="7" t="s">
        <v>691</v>
      </c>
      <c r="G312" s="7" t="s">
        <v>692</v>
      </c>
      <c r="H312" s="7" t="s">
        <v>693</v>
      </c>
      <c r="I312" s="7" t="s">
        <v>694</v>
      </c>
      <c r="J312" s="7" t="s">
        <v>695</v>
      </c>
      <c r="K312" s="7" t="s">
        <v>696</v>
      </c>
      <c r="L312" s="7" t="s">
        <v>697</v>
      </c>
      <c r="M312" s="7" t="s">
        <v>698</v>
      </c>
      <c r="N312" s="7" t="s">
        <v>699</v>
      </c>
      <c r="O312" s="7" t="s">
        <v>700</v>
      </c>
      <c r="P312" s="7" t="s">
        <v>701</v>
      </c>
      <c r="Q312" s="7" t="s">
        <v>702</v>
      </c>
      <c r="R312" s="7" t="s">
        <v>703</v>
      </c>
      <c r="S312" s="7" t="s">
        <v>704</v>
      </c>
      <c r="T312" s="7" t="s">
        <v>705</v>
      </c>
      <c r="U312" s="7" t="s">
        <v>706</v>
      </c>
      <c r="V312" s="7" t="s">
        <v>707</v>
      </c>
      <c r="W312" s="7" t="s">
        <v>708</v>
      </c>
      <c r="X312" s="7" t="s">
        <v>709</v>
      </c>
      <c r="Y312" s="7" t="s">
        <v>710</v>
      </c>
      <c r="Z312" s="7" t="s">
        <v>711</v>
      </c>
      <c r="AA312" s="7" t="s">
        <v>712</v>
      </c>
      <c r="AB312" s="7" t="s">
        <v>694</v>
      </c>
      <c r="AC312" s="7" t="s">
        <v>713</v>
      </c>
      <c r="AD312" s="7" t="s">
        <v>714</v>
      </c>
      <c r="AE312" s="7" t="s">
        <v>715</v>
      </c>
      <c r="AF312" s="7" t="s">
        <v>716</v>
      </c>
      <c r="AG312" s="7" t="s">
        <v>1626</v>
      </c>
      <c r="AH312" s="7" t="s">
        <v>1627</v>
      </c>
      <c r="AI312" s="7" t="s">
        <v>1628</v>
      </c>
      <c r="AJ312" s="7" t="s">
        <v>1629</v>
      </c>
      <c r="AK312" s="7" t="s">
        <v>1630</v>
      </c>
      <c r="AL312" s="7" t="s">
        <v>1631</v>
      </c>
      <c r="AM312" s="7" t="s">
        <v>1632</v>
      </c>
      <c r="AN312" s="7" t="s">
        <v>1633</v>
      </c>
      <c r="AO312" s="7" t="s">
        <v>1634</v>
      </c>
      <c r="AP312" s="7" t="s">
        <v>1635</v>
      </c>
      <c r="AQ312" s="7" t="s">
        <v>1636</v>
      </c>
      <c r="AR312" s="7" t="s">
        <v>1637</v>
      </c>
      <c r="AS312" s="7" t="s">
        <v>1638</v>
      </c>
      <c r="AT312" s="7" t="s">
        <v>1639</v>
      </c>
      <c r="AU312" s="7" t="s">
        <v>1640</v>
      </c>
      <c r="AV312" s="7" t="s">
        <v>1641</v>
      </c>
      <c r="AW312" s="7" t="s">
        <v>1642</v>
      </c>
      <c r="AX312" s="7" t="s">
        <v>1643</v>
      </c>
    </row>
    <row r="313" spans="1:63" ht="78" customHeight="1" x14ac:dyDescent="0.4">
      <c r="A313" s="67" t="s">
        <v>470</v>
      </c>
      <c r="B313" t="e">
        <f>_xlfn.XLOOKUP(A313,'Product info'!A:A,'Product info'!C:C,,2)</f>
        <v>#N/A</v>
      </c>
      <c r="C313" s="69" t="s">
        <v>688</v>
      </c>
      <c r="D313" s="7" t="s">
        <v>689</v>
      </c>
      <c r="E313" s="7" t="s">
        <v>690</v>
      </c>
      <c r="F313" s="7" t="s">
        <v>691</v>
      </c>
      <c r="G313" s="7" t="s">
        <v>692</v>
      </c>
      <c r="H313" s="7" t="s">
        <v>693</v>
      </c>
      <c r="I313" s="7" t="s">
        <v>694</v>
      </c>
      <c r="J313" s="7" t="s">
        <v>695</v>
      </c>
      <c r="K313" s="7" t="s">
        <v>696</v>
      </c>
      <c r="L313" s="7" t="s">
        <v>697</v>
      </c>
      <c r="M313" s="7" t="s">
        <v>698</v>
      </c>
      <c r="N313" s="7" t="s">
        <v>699</v>
      </c>
      <c r="O313" s="7" t="s">
        <v>700</v>
      </c>
      <c r="P313" s="7" t="s">
        <v>701</v>
      </c>
      <c r="Q313" s="7" t="s">
        <v>702</v>
      </c>
      <c r="R313" s="7" t="s">
        <v>703</v>
      </c>
      <c r="S313" s="7" t="s">
        <v>704</v>
      </c>
      <c r="T313" s="7" t="s">
        <v>705</v>
      </c>
      <c r="U313" s="7" t="s">
        <v>706</v>
      </c>
      <c r="V313" s="7" t="s">
        <v>707</v>
      </c>
      <c r="W313" s="7" t="s">
        <v>708</v>
      </c>
      <c r="X313" s="7" t="s">
        <v>709</v>
      </c>
      <c r="Y313" s="7" t="s">
        <v>710</v>
      </c>
      <c r="Z313" s="7" t="s">
        <v>711</v>
      </c>
      <c r="AA313" s="7" t="s">
        <v>712</v>
      </c>
      <c r="AB313" s="7" t="s">
        <v>694</v>
      </c>
      <c r="AC313" s="7" t="s">
        <v>713</v>
      </c>
      <c r="AD313" s="7" t="s">
        <v>714</v>
      </c>
      <c r="AE313" s="7" t="s">
        <v>715</v>
      </c>
      <c r="AF313" s="7" t="s">
        <v>716</v>
      </c>
      <c r="AG313" s="7" t="s">
        <v>1612</v>
      </c>
      <c r="AH313" s="7" t="s">
        <v>1613</v>
      </c>
      <c r="AI313" s="7" t="s">
        <v>1614</v>
      </c>
      <c r="AJ313" s="7" t="s">
        <v>1615</v>
      </c>
      <c r="AK313" s="7" t="s">
        <v>1616</v>
      </c>
      <c r="AL313" s="7" t="s">
        <v>1617</v>
      </c>
      <c r="AM313" s="7" t="s">
        <v>1618</v>
      </c>
      <c r="AN313" s="7" t="s">
        <v>1619</v>
      </c>
      <c r="AO313" s="7" t="s">
        <v>1620</v>
      </c>
      <c r="AP313" s="7" t="s">
        <v>1621</v>
      </c>
      <c r="AQ313" s="7" t="s">
        <v>1622</v>
      </c>
      <c r="AR313" s="7" t="s">
        <v>1623</v>
      </c>
      <c r="AS313" s="7" t="s">
        <v>1624</v>
      </c>
      <c r="AT313" s="7" t="s">
        <v>1625</v>
      </c>
    </row>
    <row r="314" spans="1:63" ht="78" customHeight="1" x14ac:dyDescent="0.4">
      <c r="A314" s="67" t="s">
        <v>248</v>
      </c>
      <c r="B314" t="e">
        <f>_xlfn.XLOOKUP(A314,'Product info'!A:A,'Product info'!C:C,,2)</f>
        <v>#N/A</v>
      </c>
      <c r="C314" s="69" t="s">
        <v>688</v>
      </c>
      <c r="D314" s="7" t="s">
        <v>689</v>
      </c>
      <c r="E314" s="7" t="s">
        <v>690</v>
      </c>
      <c r="F314" s="7" t="s">
        <v>691</v>
      </c>
      <c r="G314" s="7" t="s">
        <v>692</v>
      </c>
      <c r="H314" s="7" t="s">
        <v>693</v>
      </c>
      <c r="I314" s="7" t="s">
        <v>694</v>
      </c>
      <c r="J314" s="7" t="s">
        <v>695</v>
      </c>
      <c r="K314" s="7" t="s">
        <v>696</v>
      </c>
      <c r="L314" s="7" t="s">
        <v>697</v>
      </c>
      <c r="M314" s="7" t="s">
        <v>698</v>
      </c>
      <c r="N314" s="7" t="s">
        <v>699</v>
      </c>
      <c r="O314" s="7" t="s">
        <v>700</v>
      </c>
      <c r="P314" s="7" t="s">
        <v>701</v>
      </c>
      <c r="Q314" s="7" t="s">
        <v>702</v>
      </c>
      <c r="R314" s="7" t="s">
        <v>703</v>
      </c>
      <c r="S314" s="7" t="s">
        <v>704</v>
      </c>
      <c r="T314" s="7" t="s">
        <v>705</v>
      </c>
      <c r="U314" s="7" t="s">
        <v>706</v>
      </c>
      <c r="V314" s="7" t="s">
        <v>707</v>
      </c>
      <c r="W314" s="7" t="s">
        <v>708</v>
      </c>
      <c r="X314" s="7" t="s">
        <v>709</v>
      </c>
      <c r="Y314" s="7" t="s">
        <v>710</v>
      </c>
      <c r="Z314" s="7" t="s">
        <v>711</v>
      </c>
      <c r="AA314" s="7" t="s">
        <v>712</v>
      </c>
      <c r="AB314" s="7" t="s">
        <v>694</v>
      </c>
      <c r="AC314" s="7" t="s">
        <v>713</v>
      </c>
      <c r="AD314" s="7" t="s">
        <v>714</v>
      </c>
      <c r="AE314" s="7" t="s">
        <v>715</v>
      </c>
      <c r="AF314" s="7" t="s">
        <v>716</v>
      </c>
      <c r="AG314" s="7" t="s">
        <v>1644</v>
      </c>
      <c r="AH314" s="7" t="s">
        <v>1645</v>
      </c>
      <c r="AI314" s="7" t="s">
        <v>1646</v>
      </c>
      <c r="AJ314" s="7" t="s">
        <v>1647</v>
      </c>
      <c r="AK314" s="7" t="s">
        <v>1648</v>
      </c>
      <c r="AL314" s="7" t="s">
        <v>1649</v>
      </c>
      <c r="AM314" s="7" t="s">
        <v>1650</v>
      </c>
      <c r="AN314" s="7" t="s">
        <v>1651</v>
      </c>
      <c r="AO314" s="7" t="s">
        <v>1652</v>
      </c>
      <c r="AP314" s="7" t="s">
        <v>1653</v>
      </c>
      <c r="AQ314" s="7" t="s">
        <v>1654</v>
      </c>
      <c r="AR314" s="7" t="s">
        <v>1655</v>
      </c>
      <c r="AS314" s="7" t="s">
        <v>1656</v>
      </c>
      <c r="AT314" s="7" t="s">
        <v>1657</v>
      </c>
      <c r="AU314" s="7" t="s">
        <v>1658</v>
      </c>
      <c r="AV314" s="7" t="s">
        <v>1659</v>
      </c>
      <c r="AW314" s="7" t="s">
        <v>1660</v>
      </c>
    </row>
    <row r="315" spans="1:63" ht="78" customHeight="1" x14ac:dyDescent="0.4">
      <c r="A315" s="67" t="s">
        <v>249</v>
      </c>
      <c r="B315" t="e">
        <f>_xlfn.XLOOKUP(A315,'Product info'!A:A,'Product info'!C:C,,2)</f>
        <v>#N/A</v>
      </c>
      <c r="C315" s="69" t="s">
        <v>688</v>
      </c>
      <c r="D315" s="7" t="s">
        <v>689</v>
      </c>
      <c r="E315" s="7" t="s">
        <v>690</v>
      </c>
      <c r="F315" s="7" t="s">
        <v>691</v>
      </c>
      <c r="G315" s="7" t="s">
        <v>692</v>
      </c>
      <c r="H315" s="7" t="s">
        <v>693</v>
      </c>
      <c r="I315" s="7" t="s">
        <v>694</v>
      </c>
      <c r="J315" s="7" t="s">
        <v>695</v>
      </c>
      <c r="K315" s="7" t="s">
        <v>696</v>
      </c>
      <c r="L315" s="7" t="s">
        <v>697</v>
      </c>
      <c r="M315" s="7" t="s">
        <v>698</v>
      </c>
      <c r="N315" s="7" t="s">
        <v>699</v>
      </c>
      <c r="O315" s="7" t="s">
        <v>700</v>
      </c>
      <c r="P315" s="7" t="s">
        <v>701</v>
      </c>
      <c r="Q315" s="7" t="s">
        <v>702</v>
      </c>
      <c r="R315" s="7" t="s">
        <v>703</v>
      </c>
      <c r="S315" s="7" t="s">
        <v>704</v>
      </c>
      <c r="T315" s="7" t="s">
        <v>705</v>
      </c>
      <c r="U315" s="7" t="s">
        <v>706</v>
      </c>
      <c r="V315" s="7" t="s">
        <v>707</v>
      </c>
      <c r="W315" s="7" t="s">
        <v>708</v>
      </c>
      <c r="X315" s="7" t="s">
        <v>709</v>
      </c>
      <c r="Y315" s="7" t="s">
        <v>710</v>
      </c>
      <c r="Z315" s="7" t="s">
        <v>711</v>
      </c>
      <c r="AA315" s="7" t="s">
        <v>712</v>
      </c>
      <c r="AB315" s="7" t="s">
        <v>694</v>
      </c>
      <c r="AC315" s="7" t="s">
        <v>713</v>
      </c>
      <c r="AD315" s="7" t="s">
        <v>714</v>
      </c>
      <c r="AE315" s="7" t="s">
        <v>715</v>
      </c>
      <c r="AF315" s="7" t="s">
        <v>716</v>
      </c>
      <c r="AG315" s="7" t="s">
        <v>1661</v>
      </c>
      <c r="AH315" s="7" t="s">
        <v>1645</v>
      </c>
      <c r="AI315" s="7" t="s">
        <v>1646</v>
      </c>
      <c r="AJ315" s="7" t="s">
        <v>1647</v>
      </c>
      <c r="AK315" s="7" t="s">
        <v>1662</v>
      </c>
      <c r="AL315" s="7" t="s">
        <v>1649</v>
      </c>
      <c r="AM315" s="7" t="s">
        <v>1650</v>
      </c>
      <c r="AN315" s="7" t="s">
        <v>1651</v>
      </c>
      <c r="AO315" s="7" t="s">
        <v>1652</v>
      </c>
      <c r="AP315" s="7" t="s">
        <v>1663</v>
      </c>
      <c r="AQ315" s="7" t="s">
        <v>1664</v>
      </c>
      <c r="AR315" s="7" t="s">
        <v>1655</v>
      </c>
      <c r="AS315" s="7" t="s">
        <v>1665</v>
      </c>
      <c r="AT315" s="7" t="s">
        <v>1666</v>
      </c>
      <c r="AU315" s="7" t="s">
        <v>1658</v>
      </c>
      <c r="AV315" s="7" t="s">
        <v>1659</v>
      </c>
      <c r="AW315" s="7" t="s">
        <v>1660</v>
      </c>
      <c r="AX315" s="7" t="s">
        <v>1667</v>
      </c>
      <c r="AY315" s="7" t="s">
        <v>1668</v>
      </c>
    </row>
    <row r="316" spans="1:63" ht="78" customHeight="1" x14ac:dyDescent="0.4">
      <c r="A316" s="67" t="s">
        <v>243</v>
      </c>
      <c r="B316" t="e">
        <f>_xlfn.XLOOKUP(A316,'Product info'!A:A,'Product info'!C:C,,2)</f>
        <v>#N/A</v>
      </c>
      <c r="C316" s="69" t="s">
        <v>688</v>
      </c>
      <c r="D316" s="7" t="s">
        <v>689</v>
      </c>
      <c r="E316" s="7" t="s">
        <v>690</v>
      </c>
      <c r="F316" s="7" t="s">
        <v>691</v>
      </c>
      <c r="G316" s="7" t="s">
        <v>692</v>
      </c>
      <c r="H316" s="7" t="s">
        <v>693</v>
      </c>
      <c r="I316" s="7" t="s">
        <v>694</v>
      </c>
      <c r="J316" s="7" t="s">
        <v>695</v>
      </c>
      <c r="K316" s="7" t="s">
        <v>696</v>
      </c>
      <c r="L316" s="7" t="s">
        <v>697</v>
      </c>
      <c r="M316" s="7" t="s">
        <v>698</v>
      </c>
      <c r="N316" s="7" t="s">
        <v>699</v>
      </c>
      <c r="O316" s="7" t="s">
        <v>700</v>
      </c>
      <c r="P316" s="7" t="s">
        <v>701</v>
      </c>
      <c r="Q316" s="7" t="s">
        <v>702</v>
      </c>
      <c r="R316" s="7" t="s">
        <v>703</v>
      </c>
      <c r="S316" s="7" t="s">
        <v>704</v>
      </c>
      <c r="T316" s="7" t="s">
        <v>705</v>
      </c>
      <c r="U316" s="7" t="s">
        <v>706</v>
      </c>
      <c r="V316" s="7" t="s">
        <v>707</v>
      </c>
      <c r="W316" s="7" t="s">
        <v>708</v>
      </c>
      <c r="X316" s="7" t="s">
        <v>709</v>
      </c>
      <c r="Y316" s="7" t="s">
        <v>710</v>
      </c>
      <c r="Z316" s="7" t="s">
        <v>711</v>
      </c>
      <c r="AA316" s="7" t="s">
        <v>712</v>
      </c>
      <c r="AB316" s="7" t="s">
        <v>694</v>
      </c>
      <c r="AC316" s="7" t="s">
        <v>713</v>
      </c>
      <c r="AD316" s="7" t="s">
        <v>714</v>
      </c>
      <c r="AE316" s="7" t="s">
        <v>715</v>
      </c>
      <c r="AF316" s="7" t="s">
        <v>716</v>
      </c>
      <c r="AG316" s="7" t="s">
        <v>1669</v>
      </c>
      <c r="AH316" s="7" t="s">
        <v>1670</v>
      </c>
      <c r="AI316" s="7" t="s">
        <v>1671</v>
      </c>
      <c r="AJ316" s="7" t="s">
        <v>1672</v>
      </c>
      <c r="AK316" s="7" t="s">
        <v>1673</v>
      </c>
      <c r="AL316" s="7" t="s">
        <v>1674</v>
      </c>
      <c r="AM316" s="7" t="s">
        <v>1675</v>
      </c>
      <c r="AN316" s="7" t="s">
        <v>1676</v>
      </c>
      <c r="AO316" s="7" t="s">
        <v>1677</v>
      </c>
      <c r="AP316" s="7" t="s">
        <v>1678</v>
      </c>
      <c r="AQ316" s="7" t="s">
        <v>1679</v>
      </c>
      <c r="AR316" s="7" t="s">
        <v>1680</v>
      </c>
      <c r="AS316" s="7" t="s">
        <v>1681</v>
      </c>
      <c r="AT316" s="7" t="s">
        <v>1682</v>
      </c>
      <c r="AU316" s="7" t="s">
        <v>1683</v>
      </c>
      <c r="AV316" s="7" t="s">
        <v>1684</v>
      </c>
      <c r="AW316" s="7" t="s">
        <v>1685</v>
      </c>
      <c r="AX316" s="7" t="s">
        <v>1686</v>
      </c>
      <c r="AY316" s="7" t="s">
        <v>1687</v>
      </c>
      <c r="AZ316" s="7" t="s">
        <v>1688</v>
      </c>
      <c r="BA316" s="7" t="s">
        <v>1689</v>
      </c>
      <c r="BB316" s="7" t="s">
        <v>1690</v>
      </c>
      <c r="BC316" s="7" t="s">
        <v>1691</v>
      </c>
      <c r="BD316" s="7" t="s">
        <v>1692</v>
      </c>
      <c r="BE316" s="7" t="s">
        <v>1693</v>
      </c>
      <c r="BF316" s="7" t="s">
        <v>1694</v>
      </c>
      <c r="BG316" s="7" t="s">
        <v>1695</v>
      </c>
      <c r="BH316" s="7" t="s">
        <v>1696</v>
      </c>
      <c r="BI316" s="7" t="s">
        <v>1697</v>
      </c>
      <c r="BJ316" s="7" t="s">
        <v>1698</v>
      </c>
      <c r="BK316" t="s">
        <v>1699</v>
      </c>
    </row>
    <row r="317" spans="1:63" ht="78" customHeight="1" x14ac:dyDescent="0.4">
      <c r="A317" s="67" t="s">
        <v>473</v>
      </c>
      <c r="B317" t="e">
        <f>_xlfn.XLOOKUP(A317,'Product info'!A:A,'Product info'!C:C,,2)</f>
        <v>#N/A</v>
      </c>
      <c r="C317" s="69" t="s">
        <v>688</v>
      </c>
      <c r="D317" s="7" t="s">
        <v>689</v>
      </c>
      <c r="E317" s="7" t="s">
        <v>690</v>
      </c>
      <c r="F317" s="7" t="s">
        <v>691</v>
      </c>
      <c r="G317" s="7" t="s">
        <v>692</v>
      </c>
      <c r="H317" s="7" t="s">
        <v>693</v>
      </c>
      <c r="I317" s="7" t="s">
        <v>694</v>
      </c>
      <c r="J317" s="7" t="s">
        <v>695</v>
      </c>
      <c r="K317" s="7" t="s">
        <v>696</v>
      </c>
      <c r="L317" s="7" t="s">
        <v>697</v>
      </c>
      <c r="M317" s="7" t="s">
        <v>698</v>
      </c>
      <c r="N317" s="7" t="s">
        <v>699</v>
      </c>
      <c r="O317" s="7" t="s">
        <v>700</v>
      </c>
      <c r="P317" s="7" t="s">
        <v>701</v>
      </c>
      <c r="Q317" s="7" t="s">
        <v>702</v>
      </c>
      <c r="R317" s="7" t="s">
        <v>703</v>
      </c>
      <c r="S317" s="7" t="s">
        <v>704</v>
      </c>
      <c r="T317" s="7" t="s">
        <v>705</v>
      </c>
      <c r="U317" s="7" t="s">
        <v>706</v>
      </c>
      <c r="V317" s="7" t="s">
        <v>707</v>
      </c>
      <c r="W317" s="7" t="s">
        <v>708</v>
      </c>
      <c r="X317" s="7" t="s">
        <v>709</v>
      </c>
      <c r="Y317" s="7" t="s">
        <v>710</v>
      </c>
      <c r="Z317" s="7" t="s">
        <v>711</v>
      </c>
      <c r="AA317" s="7" t="s">
        <v>712</v>
      </c>
      <c r="AB317" s="7" t="s">
        <v>694</v>
      </c>
      <c r="AC317" s="7" t="s">
        <v>713</v>
      </c>
      <c r="AD317" s="7" t="s">
        <v>714</v>
      </c>
      <c r="AE317" s="7" t="s">
        <v>715</v>
      </c>
      <c r="AF317" s="7" t="s">
        <v>716</v>
      </c>
      <c r="AG317" s="7" t="s">
        <v>1612</v>
      </c>
      <c r="AH317" s="7" t="s">
        <v>1613</v>
      </c>
      <c r="AI317" s="7" t="s">
        <v>1614</v>
      </c>
      <c r="AJ317" s="7" t="s">
        <v>1615</v>
      </c>
      <c r="AK317" s="7" t="s">
        <v>1616</v>
      </c>
      <c r="AL317" s="7" t="s">
        <v>1617</v>
      </c>
      <c r="AM317" s="7" t="s">
        <v>1618</v>
      </c>
      <c r="AN317" s="7" t="s">
        <v>1619</v>
      </c>
      <c r="AO317" s="7" t="s">
        <v>1620</v>
      </c>
      <c r="AP317" s="7" t="s">
        <v>1621</v>
      </c>
      <c r="AQ317" s="7" t="s">
        <v>1622</v>
      </c>
      <c r="AR317" s="7" t="s">
        <v>1623</v>
      </c>
      <c r="AS317" s="7" t="s">
        <v>1624</v>
      </c>
      <c r="AT317" s="7" t="s">
        <v>1625</v>
      </c>
    </row>
    <row r="318" spans="1:63" ht="78" customHeight="1" x14ac:dyDescent="0.4">
      <c r="A318" s="67" t="s">
        <v>62</v>
      </c>
      <c r="B318" t="e">
        <f>_xlfn.XLOOKUP(A318,'Product info'!A:A,'Product info'!C:C,,2)</f>
        <v>#N/A</v>
      </c>
      <c r="C318" s="69" t="s">
        <v>688</v>
      </c>
      <c r="D318" s="7" t="s">
        <v>689</v>
      </c>
      <c r="E318" s="7" t="s">
        <v>690</v>
      </c>
      <c r="F318" s="7" t="s">
        <v>691</v>
      </c>
      <c r="G318" s="7" t="s">
        <v>692</v>
      </c>
      <c r="H318" s="7" t="s">
        <v>693</v>
      </c>
      <c r="I318" s="7" t="s">
        <v>694</v>
      </c>
      <c r="J318" s="7" t="s">
        <v>695</v>
      </c>
      <c r="K318" s="7" t="s">
        <v>696</v>
      </c>
      <c r="L318" s="7" t="s">
        <v>697</v>
      </c>
      <c r="M318" s="7" t="s">
        <v>698</v>
      </c>
      <c r="N318" s="7" t="s">
        <v>699</v>
      </c>
      <c r="O318" s="7" t="s">
        <v>700</v>
      </c>
      <c r="P318" s="7" t="s">
        <v>701</v>
      </c>
      <c r="Q318" s="7" t="s">
        <v>702</v>
      </c>
      <c r="R318" s="7" t="s">
        <v>703</v>
      </c>
      <c r="S318" s="7" t="s">
        <v>704</v>
      </c>
      <c r="T318" s="7" t="s">
        <v>705</v>
      </c>
      <c r="U318" s="7" t="s">
        <v>706</v>
      </c>
      <c r="V318" s="7" t="s">
        <v>707</v>
      </c>
      <c r="W318" s="7" t="s">
        <v>708</v>
      </c>
      <c r="X318" s="7" t="s">
        <v>709</v>
      </c>
      <c r="Y318" s="7" t="s">
        <v>710</v>
      </c>
      <c r="Z318" s="7" t="s">
        <v>711</v>
      </c>
      <c r="AA318" s="7" t="s">
        <v>712</v>
      </c>
      <c r="AB318" s="7" t="s">
        <v>694</v>
      </c>
      <c r="AC318" s="7" t="s">
        <v>713</v>
      </c>
      <c r="AD318" s="7" t="s">
        <v>714</v>
      </c>
      <c r="AE318" s="7" t="s">
        <v>715</v>
      </c>
      <c r="AF318" s="7" t="s">
        <v>716</v>
      </c>
      <c r="AG318" s="7" t="s">
        <v>1612</v>
      </c>
      <c r="AH318" s="7" t="s">
        <v>1613</v>
      </c>
      <c r="AI318" s="7" t="s">
        <v>1614</v>
      </c>
      <c r="AJ318" s="7" t="s">
        <v>1615</v>
      </c>
      <c r="AK318" s="7" t="s">
        <v>1616</v>
      </c>
      <c r="AL318" s="7" t="s">
        <v>1617</v>
      </c>
      <c r="AM318" s="7" t="s">
        <v>1618</v>
      </c>
      <c r="AN318" s="7" t="s">
        <v>1619</v>
      </c>
      <c r="AO318" s="7" t="s">
        <v>1620</v>
      </c>
      <c r="AP318" s="7" t="s">
        <v>1621</v>
      </c>
      <c r="AQ318" s="7" t="s">
        <v>1622</v>
      </c>
      <c r="AR318" s="7" t="s">
        <v>1623</v>
      </c>
      <c r="AS318" s="7" t="s">
        <v>1624</v>
      </c>
      <c r="AT318" s="7" t="s">
        <v>1700</v>
      </c>
    </row>
    <row r="319" spans="1:63" ht="78" customHeight="1" x14ac:dyDescent="0.4">
      <c r="A319" s="67" t="s">
        <v>474</v>
      </c>
      <c r="B319" t="e">
        <f>_xlfn.XLOOKUP(A319,'Product info'!A:A,'Product info'!C:C,,2)</f>
        <v>#N/A</v>
      </c>
      <c r="C319" s="69" t="s">
        <v>688</v>
      </c>
      <c r="D319" s="7" t="s">
        <v>689</v>
      </c>
      <c r="E319" s="7" t="s">
        <v>690</v>
      </c>
      <c r="F319" s="7" t="s">
        <v>691</v>
      </c>
      <c r="G319" s="7" t="s">
        <v>692</v>
      </c>
      <c r="H319" s="7" t="s">
        <v>693</v>
      </c>
      <c r="I319" s="7" t="s">
        <v>694</v>
      </c>
      <c r="J319" s="7" t="s">
        <v>695</v>
      </c>
      <c r="K319" s="7" t="s">
        <v>696</v>
      </c>
      <c r="L319" s="7" t="s">
        <v>697</v>
      </c>
      <c r="M319" s="7" t="s">
        <v>698</v>
      </c>
      <c r="N319" s="7" t="s">
        <v>699</v>
      </c>
      <c r="O319" s="7" t="s">
        <v>700</v>
      </c>
      <c r="P319" s="7" t="s">
        <v>701</v>
      </c>
      <c r="Q319" s="7" t="s">
        <v>702</v>
      </c>
      <c r="R319" s="7" t="s">
        <v>703</v>
      </c>
      <c r="S319" s="7" t="s">
        <v>704</v>
      </c>
      <c r="T319" s="7" t="s">
        <v>705</v>
      </c>
      <c r="U319" s="7" t="s">
        <v>706</v>
      </c>
      <c r="V319" s="7" t="s">
        <v>707</v>
      </c>
      <c r="W319" s="7" t="s">
        <v>708</v>
      </c>
      <c r="X319" s="7" t="s">
        <v>709</v>
      </c>
      <c r="Y319" s="7" t="s">
        <v>710</v>
      </c>
      <c r="Z319" s="7" t="s">
        <v>711</v>
      </c>
      <c r="AA319" s="7" t="s">
        <v>712</v>
      </c>
      <c r="AB319" s="7" t="s">
        <v>694</v>
      </c>
      <c r="AC319" s="7" t="s">
        <v>713</v>
      </c>
      <c r="AD319" s="7" t="s">
        <v>714</v>
      </c>
      <c r="AE319" s="7" t="s">
        <v>715</v>
      </c>
      <c r="AF319" s="7" t="s">
        <v>716</v>
      </c>
      <c r="AG319" s="7" t="s">
        <v>1612</v>
      </c>
      <c r="AH319" s="7" t="s">
        <v>1613</v>
      </c>
      <c r="AI319" s="7" t="s">
        <v>1614</v>
      </c>
      <c r="AJ319" s="7" t="s">
        <v>1615</v>
      </c>
      <c r="AK319" s="7" t="s">
        <v>1616</v>
      </c>
      <c r="AL319" s="7" t="s">
        <v>1617</v>
      </c>
      <c r="AM319" s="7" t="s">
        <v>1618</v>
      </c>
      <c r="AN319" s="7" t="s">
        <v>1619</v>
      </c>
      <c r="AO319" s="7" t="s">
        <v>1620</v>
      </c>
      <c r="AP319" s="7" t="s">
        <v>1621</v>
      </c>
      <c r="AQ319" s="7" t="s">
        <v>1622</v>
      </c>
      <c r="AR319" s="7" t="s">
        <v>1623</v>
      </c>
      <c r="AS319" s="7" t="s">
        <v>1624</v>
      </c>
      <c r="AT319" s="7" t="s">
        <v>1625</v>
      </c>
    </row>
    <row r="320" spans="1:63" ht="78" customHeight="1" x14ac:dyDescent="0.4">
      <c r="A320" s="67" t="s">
        <v>475</v>
      </c>
      <c r="B320" t="e">
        <f>_xlfn.XLOOKUP(A320,'Product info'!A:A,'Product info'!C:C,,2)</f>
        <v>#N/A</v>
      </c>
      <c r="C320" s="69" t="s">
        <v>688</v>
      </c>
      <c r="D320" s="7" t="s">
        <v>689</v>
      </c>
      <c r="E320" s="7" t="s">
        <v>690</v>
      </c>
      <c r="F320" s="7" t="s">
        <v>691</v>
      </c>
      <c r="G320" s="7" t="s">
        <v>692</v>
      </c>
      <c r="H320" s="7" t="s">
        <v>693</v>
      </c>
      <c r="I320" s="7" t="s">
        <v>694</v>
      </c>
      <c r="J320" s="7" t="s">
        <v>695</v>
      </c>
      <c r="K320" s="7" t="s">
        <v>696</v>
      </c>
      <c r="L320" s="7" t="s">
        <v>697</v>
      </c>
      <c r="M320" s="7" t="s">
        <v>698</v>
      </c>
      <c r="N320" s="7" t="s">
        <v>699</v>
      </c>
      <c r="O320" s="7" t="s">
        <v>700</v>
      </c>
      <c r="P320" s="7" t="s">
        <v>701</v>
      </c>
      <c r="Q320" s="7" t="s">
        <v>702</v>
      </c>
      <c r="R320" s="7" t="s">
        <v>703</v>
      </c>
      <c r="S320" s="7" t="s">
        <v>704</v>
      </c>
      <c r="T320" s="7" t="s">
        <v>705</v>
      </c>
      <c r="U320" s="7" t="s">
        <v>706</v>
      </c>
      <c r="V320" s="7" t="s">
        <v>707</v>
      </c>
      <c r="W320" s="7" t="s">
        <v>708</v>
      </c>
      <c r="X320" s="7" t="s">
        <v>709</v>
      </c>
      <c r="Y320" s="7" t="s">
        <v>710</v>
      </c>
      <c r="Z320" s="7" t="s">
        <v>711</v>
      </c>
      <c r="AA320" s="7" t="s">
        <v>712</v>
      </c>
      <c r="AB320" s="7" t="s">
        <v>694</v>
      </c>
      <c r="AC320" s="7" t="s">
        <v>713</v>
      </c>
      <c r="AD320" s="7" t="s">
        <v>714</v>
      </c>
      <c r="AE320" s="7" t="s">
        <v>715</v>
      </c>
      <c r="AF320" s="7" t="s">
        <v>716</v>
      </c>
      <c r="AG320" s="7" t="s">
        <v>1612</v>
      </c>
      <c r="AH320" s="7" t="s">
        <v>1613</v>
      </c>
      <c r="AI320" s="7" t="s">
        <v>1614</v>
      </c>
      <c r="AJ320" s="7" t="s">
        <v>1615</v>
      </c>
      <c r="AK320" s="7" t="s">
        <v>1616</v>
      </c>
      <c r="AL320" s="7" t="s">
        <v>1617</v>
      </c>
      <c r="AM320" s="7" t="s">
        <v>1618</v>
      </c>
      <c r="AN320" s="7" t="s">
        <v>1619</v>
      </c>
      <c r="AO320" s="7" t="s">
        <v>1620</v>
      </c>
      <c r="AP320" s="7" t="s">
        <v>1621</v>
      </c>
      <c r="AQ320" s="7" t="s">
        <v>1622</v>
      </c>
      <c r="AR320" s="7" t="s">
        <v>1623</v>
      </c>
      <c r="AS320" s="7" t="s">
        <v>1624</v>
      </c>
      <c r="AT320" s="7" t="s">
        <v>1625</v>
      </c>
    </row>
    <row r="321" spans="1:62" ht="78" customHeight="1" x14ac:dyDescent="0.4">
      <c r="A321" s="67" t="s">
        <v>497</v>
      </c>
      <c r="B321" t="e">
        <f>_xlfn.XLOOKUP(A321,'Product info'!A:A,'Product info'!C:C,,2)</f>
        <v>#N/A</v>
      </c>
      <c r="C321" s="69" t="s">
        <v>688</v>
      </c>
      <c r="D321" s="7" t="s">
        <v>689</v>
      </c>
      <c r="E321" s="7" t="s">
        <v>690</v>
      </c>
      <c r="F321" s="7" t="s">
        <v>691</v>
      </c>
      <c r="G321" s="7" t="s">
        <v>692</v>
      </c>
      <c r="H321" s="7" t="s">
        <v>693</v>
      </c>
      <c r="I321" s="7" t="s">
        <v>694</v>
      </c>
      <c r="J321" s="7" t="s">
        <v>695</v>
      </c>
      <c r="K321" s="7" t="s">
        <v>696</v>
      </c>
      <c r="L321" s="7" t="s">
        <v>697</v>
      </c>
      <c r="M321" s="7" t="s">
        <v>698</v>
      </c>
      <c r="N321" s="7" t="s">
        <v>699</v>
      </c>
      <c r="O321" s="7" t="s">
        <v>700</v>
      </c>
      <c r="P321" s="7" t="s">
        <v>701</v>
      </c>
      <c r="Q321" s="7" t="s">
        <v>702</v>
      </c>
      <c r="R321" s="7" t="s">
        <v>703</v>
      </c>
      <c r="S321" s="7" t="s">
        <v>704</v>
      </c>
      <c r="T321" s="7" t="s">
        <v>705</v>
      </c>
      <c r="U321" s="7" t="s">
        <v>706</v>
      </c>
      <c r="V321" s="7" t="s">
        <v>707</v>
      </c>
      <c r="W321" s="7" t="s">
        <v>708</v>
      </c>
      <c r="X321" s="7" t="s">
        <v>709</v>
      </c>
      <c r="Y321" s="7" t="s">
        <v>710</v>
      </c>
      <c r="Z321" s="7" t="s">
        <v>711</v>
      </c>
      <c r="AA321" s="7" t="s">
        <v>712</v>
      </c>
      <c r="AB321" s="7" t="s">
        <v>694</v>
      </c>
      <c r="AC321" s="7" t="s">
        <v>713</v>
      </c>
      <c r="AD321" s="7" t="s">
        <v>714</v>
      </c>
      <c r="AE321" s="7" t="s">
        <v>715</v>
      </c>
      <c r="AF321" s="7" t="s">
        <v>716</v>
      </c>
      <c r="AG321" s="7" t="s">
        <v>1701</v>
      </c>
      <c r="AH321" s="7" t="s">
        <v>1702</v>
      </c>
      <c r="AI321" s="7" t="s">
        <v>1703</v>
      </c>
      <c r="AJ321" s="7" t="s">
        <v>1704</v>
      </c>
      <c r="AK321" s="7" t="s">
        <v>1705</v>
      </c>
      <c r="AL321" s="7" t="s">
        <v>1706</v>
      </c>
      <c r="AM321" s="7" t="s">
        <v>1707</v>
      </c>
      <c r="AN321" s="7" t="s">
        <v>1708</v>
      </c>
      <c r="AO321" s="7" t="s">
        <v>1709</v>
      </c>
      <c r="AP321" s="7" t="s">
        <v>1710</v>
      </c>
    </row>
    <row r="322" spans="1:62" ht="78" customHeight="1" x14ac:dyDescent="0.4">
      <c r="A322" s="67" t="s">
        <v>498</v>
      </c>
      <c r="B322" t="e">
        <f>_xlfn.XLOOKUP(A322,'Product info'!A:A,'Product info'!C:C,,2)</f>
        <v>#N/A</v>
      </c>
      <c r="C322" s="69" t="s">
        <v>688</v>
      </c>
      <c r="D322" s="7" t="s">
        <v>689</v>
      </c>
      <c r="E322" s="7" t="s">
        <v>690</v>
      </c>
      <c r="F322" s="7" t="s">
        <v>691</v>
      </c>
      <c r="G322" s="7" t="s">
        <v>692</v>
      </c>
      <c r="H322" s="7" t="s">
        <v>693</v>
      </c>
      <c r="I322" s="7" t="s">
        <v>694</v>
      </c>
      <c r="J322" s="7" t="s">
        <v>695</v>
      </c>
      <c r="K322" s="7" t="s">
        <v>696</v>
      </c>
      <c r="L322" s="7" t="s">
        <v>697</v>
      </c>
      <c r="M322" s="7" t="s">
        <v>698</v>
      </c>
      <c r="N322" s="7" t="s">
        <v>699</v>
      </c>
      <c r="O322" s="7" t="s">
        <v>700</v>
      </c>
      <c r="P322" s="7" t="s">
        <v>701</v>
      </c>
      <c r="Q322" s="7" t="s">
        <v>702</v>
      </c>
      <c r="R322" s="7" t="s">
        <v>703</v>
      </c>
      <c r="S322" s="7" t="s">
        <v>704</v>
      </c>
      <c r="T322" s="7" t="s">
        <v>705</v>
      </c>
      <c r="U322" s="7" t="s">
        <v>706</v>
      </c>
      <c r="V322" s="7" t="s">
        <v>707</v>
      </c>
      <c r="W322" s="7" t="s">
        <v>708</v>
      </c>
      <c r="X322" s="7" t="s">
        <v>709</v>
      </c>
      <c r="Y322" s="7" t="s">
        <v>710</v>
      </c>
      <c r="Z322" s="7" t="s">
        <v>711</v>
      </c>
      <c r="AA322" s="7" t="s">
        <v>712</v>
      </c>
      <c r="AB322" s="7" t="s">
        <v>694</v>
      </c>
      <c r="AC322" s="7" t="s">
        <v>713</v>
      </c>
      <c r="AD322" s="7" t="s">
        <v>714</v>
      </c>
      <c r="AE322" s="7" t="s">
        <v>715</v>
      </c>
      <c r="AF322" s="7" t="s">
        <v>716</v>
      </c>
      <c r="AG322" s="7" t="s">
        <v>1701</v>
      </c>
      <c r="AH322" s="7" t="s">
        <v>1702</v>
      </c>
      <c r="AI322" s="7" t="s">
        <v>1703</v>
      </c>
      <c r="AJ322" s="7" t="s">
        <v>1704</v>
      </c>
      <c r="AK322" s="7" t="s">
        <v>1705</v>
      </c>
      <c r="AL322" s="7" t="s">
        <v>1706</v>
      </c>
      <c r="AM322" s="7" t="s">
        <v>1707</v>
      </c>
      <c r="AN322" s="7" t="s">
        <v>1708</v>
      </c>
      <c r="AO322" s="7" t="s">
        <v>1709</v>
      </c>
      <c r="AP322" s="7" t="s">
        <v>1710</v>
      </c>
    </row>
    <row r="323" spans="1:62" ht="78" customHeight="1" x14ac:dyDescent="0.4">
      <c r="A323" s="67" t="s">
        <v>458</v>
      </c>
      <c r="B323" t="e">
        <f>_xlfn.XLOOKUP(A323,'Product info'!A:A,'Product info'!C:C,,2)</f>
        <v>#N/A</v>
      </c>
      <c r="C323" s="69" t="s">
        <v>688</v>
      </c>
      <c r="D323" s="7" t="s">
        <v>689</v>
      </c>
      <c r="E323" s="7" t="s">
        <v>690</v>
      </c>
      <c r="F323" s="7" t="s">
        <v>691</v>
      </c>
      <c r="G323" s="7" t="s">
        <v>692</v>
      </c>
      <c r="H323" s="7" t="s">
        <v>693</v>
      </c>
      <c r="I323" s="7" t="s">
        <v>694</v>
      </c>
      <c r="J323" s="7" t="s">
        <v>695</v>
      </c>
      <c r="K323" s="7" t="s">
        <v>696</v>
      </c>
      <c r="L323" s="7" t="s">
        <v>697</v>
      </c>
      <c r="M323" s="7" t="s">
        <v>698</v>
      </c>
      <c r="N323" s="7" t="s">
        <v>699</v>
      </c>
      <c r="O323" s="7" t="s">
        <v>700</v>
      </c>
      <c r="P323" s="7" t="s">
        <v>701</v>
      </c>
      <c r="Q323" s="7" t="s">
        <v>702</v>
      </c>
      <c r="R323" s="7" t="s">
        <v>703</v>
      </c>
      <c r="S323" s="7" t="s">
        <v>704</v>
      </c>
      <c r="T323" s="7" t="s">
        <v>705</v>
      </c>
      <c r="U323" s="7" t="s">
        <v>706</v>
      </c>
      <c r="V323" s="7" t="s">
        <v>707</v>
      </c>
      <c r="W323" s="7" t="s">
        <v>708</v>
      </c>
      <c r="X323" s="7" t="s">
        <v>709</v>
      </c>
      <c r="Y323" s="7" t="s">
        <v>710</v>
      </c>
      <c r="Z323" s="7" t="s">
        <v>711</v>
      </c>
      <c r="AA323" s="7" t="s">
        <v>712</v>
      </c>
      <c r="AB323" s="7" t="s">
        <v>694</v>
      </c>
      <c r="AC323" s="7" t="s">
        <v>713</v>
      </c>
      <c r="AD323" s="7" t="s">
        <v>714</v>
      </c>
      <c r="AE323" s="7" t="s">
        <v>715</v>
      </c>
      <c r="AF323" s="7" t="s">
        <v>716</v>
      </c>
      <c r="AG323" s="7" t="s">
        <v>688</v>
      </c>
      <c r="AH323" s="7" t="s">
        <v>689</v>
      </c>
      <c r="AI323" s="7" t="s">
        <v>747</v>
      </c>
      <c r="AJ323" s="7" t="s">
        <v>1711</v>
      </c>
      <c r="AK323" s="7" t="s">
        <v>940</v>
      </c>
      <c r="AL323" s="7" t="s">
        <v>942</v>
      </c>
      <c r="AM323" s="7" t="s">
        <v>1064</v>
      </c>
      <c r="AN323" s="7" t="s">
        <v>1712</v>
      </c>
      <c r="AO323" s="7" t="s">
        <v>1713</v>
      </c>
      <c r="AP323" s="7" t="s">
        <v>1714</v>
      </c>
      <c r="AQ323" s="7" t="s">
        <v>1715</v>
      </c>
      <c r="AR323" s="7" t="s">
        <v>1716</v>
      </c>
      <c r="AS323" s="7" t="s">
        <v>1717</v>
      </c>
      <c r="AT323" s="7" t="s">
        <v>1718</v>
      </c>
      <c r="AU323" s="7" t="s">
        <v>1719</v>
      </c>
      <c r="AV323" s="7" t="s">
        <v>1720</v>
      </c>
      <c r="AW323" s="7" t="s">
        <v>1721</v>
      </c>
      <c r="AX323" s="7" t="s">
        <v>1722</v>
      </c>
      <c r="AY323" s="7" t="s">
        <v>1723</v>
      </c>
    </row>
    <row r="324" spans="1:62" ht="78" customHeight="1" x14ac:dyDescent="0.4">
      <c r="A324" s="67" t="s">
        <v>457</v>
      </c>
      <c r="B324" t="e">
        <f>_xlfn.XLOOKUP(A324,'Product info'!A:A,'Product info'!C:C,,2)</f>
        <v>#N/A</v>
      </c>
      <c r="C324" s="69" t="s">
        <v>688</v>
      </c>
      <c r="D324" s="7" t="s">
        <v>689</v>
      </c>
      <c r="E324" s="7" t="s">
        <v>690</v>
      </c>
      <c r="F324" s="7" t="s">
        <v>691</v>
      </c>
      <c r="G324" s="7" t="s">
        <v>692</v>
      </c>
      <c r="H324" s="7" t="s">
        <v>693</v>
      </c>
      <c r="I324" s="7" t="s">
        <v>694</v>
      </c>
      <c r="J324" s="7" t="s">
        <v>695</v>
      </c>
      <c r="K324" s="7" t="s">
        <v>696</v>
      </c>
      <c r="L324" s="7" t="s">
        <v>697</v>
      </c>
      <c r="M324" s="7" t="s">
        <v>698</v>
      </c>
      <c r="N324" s="7" t="s">
        <v>699</v>
      </c>
      <c r="O324" s="7" t="s">
        <v>700</v>
      </c>
      <c r="P324" s="7" t="s">
        <v>701</v>
      </c>
      <c r="Q324" s="7" t="s">
        <v>702</v>
      </c>
      <c r="R324" s="7" t="s">
        <v>703</v>
      </c>
      <c r="S324" s="7" t="s">
        <v>704</v>
      </c>
      <c r="T324" s="7" t="s">
        <v>705</v>
      </c>
      <c r="U324" s="7" t="s">
        <v>706</v>
      </c>
      <c r="V324" s="7" t="s">
        <v>707</v>
      </c>
      <c r="W324" s="7" t="s">
        <v>708</v>
      </c>
      <c r="X324" s="7" t="s">
        <v>709</v>
      </c>
      <c r="Y324" s="7" t="s">
        <v>710</v>
      </c>
      <c r="Z324" s="7" t="s">
        <v>711</v>
      </c>
      <c r="AA324" s="7" t="s">
        <v>712</v>
      </c>
      <c r="AB324" s="7" t="s">
        <v>694</v>
      </c>
      <c r="AC324" s="7" t="s">
        <v>713</v>
      </c>
      <c r="AD324" s="7" t="s">
        <v>714</v>
      </c>
      <c r="AE324" s="7" t="s">
        <v>715</v>
      </c>
      <c r="AF324" s="7" t="s">
        <v>716</v>
      </c>
      <c r="AG324" s="7" t="s">
        <v>688</v>
      </c>
      <c r="AH324" s="7" t="s">
        <v>689</v>
      </c>
      <c r="AI324" s="7" t="s">
        <v>747</v>
      </c>
      <c r="AJ324" s="7" t="s">
        <v>1711</v>
      </c>
      <c r="AK324" s="7" t="s">
        <v>940</v>
      </c>
      <c r="AL324" s="7" t="s">
        <v>942</v>
      </c>
      <c r="AM324" s="7" t="s">
        <v>1064</v>
      </c>
      <c r="AN324" s="7" t="s">
        <v>1712</v>
      </c>
      <c r="AO324" s="7" t="s">
        <v>1713</v>
      </c>
      <c r="AP324" s="7" t="s">
        <v>1714</v>
      </c>
      <c r="AQ324" s="7" t="s">
        <v>1715</v>
      </c>
      <c r="AR324" s="7" t="s">
        <v>1716</v>
      </c>
      <c r="AS324" s="7" t="s">
        <v>1724</v>
      </c>
      <c r="AT324" s="7" t="s">
        <v>1720</v>
      </c>
      <c r="AU324" s="7" t="s">
        <v>1721</v>
      </c>
      <c r="AV324" s="7" t="s">
        <v>1725</v>
      </c>
      <c r="AW324" s="7" t="s">
        <v>1726</v>
      </c>
      <c r="AX324" s="7" t="s">
        <v>1727</v>
      </c>
      <c r="AY324" s="7" t="s">
        <v>1728</v>
      </c>
      <c r="AZ324" s="7" t="s">
        <v>1729</v>
      </c>
      <c r="BA324" s="7" t="s">
        <v>1730</v>
      </c>
      <c r="BB324" s="7" t="s">
        <v>1731</v>
      </c>
      <c r="BC324" s="7" t="s">
        <v>1732</v>
      </c>
    </row>
    <row r="325" spans="1:62" ht="78" customHeight="1" x14ac:dyDescent="0.4">
      <c r="A325" s="67" t="s">
        <v>456</v>
      </c>
      <c r="B325" t="e">
        <f>_xlfn.XLOOKUP(A325,'Product info'!A:A,'Product info'!C:C,,2)</f>
        <v>#N/A</v>
      </c>
      <c r="C325" s="69" t="s">
        <v>688</v>
      </c>
      <c r="D325" s="7" t="s">
        <v>689</v>
      </c>
      <c r="E325" s="7" t="s">
        <v>690</v>
      </c>
      <c r="F325" s="7" t="s">
        <v>691</v>
      </c>
      <c r="G325" s="7" t="s">
        <v>692</v>
      </c>
      <c r="H325" s="7" t="s">
        <v>693</v>
      </c>
      <c r="I325" s="7" t="s">
        <v>694</v>
      </c>
      <c r="J325" s="7" t="s">
        <v>695</v>
      </c>
      <c r="K325" s="7" t="s">
        <v>696</v>
      </c>
      <c r="L325" s="7" t="s">
        <v>697</v>
      </c>
      <c r="M325" s="7" t="s">
        <v>698</v>
      </c>
      <c r="N325" s="7" t="s">
        <v>699</v>
      </c>
      <c r="O325" s="7" t="s">
        <v>700</v>
      </c>
      <c r="P325" s="7" t="s">
        <v>701</v>
      </c>
      <c r="Q325" s="7" t="s">
        <v>702</v>
      </c>
      <c r="R325" s="7" t="s">
        <v>703</v>
      </c>
      <c r="S325" s="7" t="s">
        <v>704</v>
      </c>
      <c r="T325" s="7" t="s">
        <v>705</v>
      </c>
      <c r="U325" s="7" t="s">
        <v>706</v>
      </c>
      <c r="V325" s="7" t="s">
        <v>707</v>
      </c>
      <c r="W325" s="7" t="s">
        <v>708</v>
      </c>
      <c r="X325" s="7" t="s">
        <v>709</v>
      </c>
      <c r="Y325" s="7" t="s">
        <v>710</v>
      </c>
      <c r="Z325" s="7" t="s">
        <v>711</v>
      </c>
      <c r="AA325" s="7" t="s">
        <v>712</v>
      </c>
      <c r="AB325" s="7" t="s">
        <v>694</v>
      </c>
      <c r="AC325" s="7" t="s">
        <v>713</v>
      </c>
      <c r="AD325" s="7" t="s">
        <v>714</v>
      </c>
      <c r="AE325" s="7" t="s">
        <v>715</v>
      </c>
      <c r="AF325" s="7" t="s">
        <v>716</v>
      </c>
      <c r="AG325" s="7" t="s">
        <v>688</v>
      </c>
      <c r="AH325" s="7" t="s">
        <v>689</v>
      </c>
      <c r="AI325" s="7" t="s">
        <v>747</v>
      </c>
      <c r="AJ325" s="7" t="s">
        <v>1711</v>
      </c>
      <c r="AK325" s="7" t="s">
        <v>940</v>
      </c>
      <c r="AL325" s="7" t="s">
        <v>942</v>
      </c>
      <c r="AM325" s="7" t="s">
        <v>1064</v>
      </c>
      <c r="AN325" s="7" t="s">
        <v>1712</v>
      </c>
      <c r="AO325" s="7" t="s">
        <v>1713</v>
      </c>
      <c r="AP325" s="7" t="s">
        <v>1714</v>
      </c>
      <c r="AQ325" s="7" t="s">
        <v>1715</v>
      </c>
      <c r="AR325" s="7" t="s">
        <v>1716</v>
      </c>
      <c r="AS325" s="7" t="s">
        <v>1733</v>
      </c>
      <c r="AT325" s="7" t="s">
        <v>1720</v>
      </c>
      <c r="AU325" s="7" t="s">
        <v>1721</v>
      </c>
      <c r="AV325" s="7" t="s">
        <v>1725</v>
      </c>
      <c r="AW325" s="7" t="s">
        <v>1723</v>
      </c>
      <c r="AX325" s="7" t="s">
        <v>1727</v>
      </c>
      <c r="AY325" s="7" t="s">
        <v>1728</v>
      </c>
      <c r="AZ325" s="7" t="s">
        <v>1729</v>
      </c>
      <c r="BA325" s="7" t="s">
        <v>1730</v>
      </c>
    </row>
    <row r="326" spans="1:62" ht="78" customHeight="1" x14ac:dyDescent="0.4">
      <c r="A326" s="67" t="s">
        <v>373</v>
      </c>
      <c r="B326" t="e">
        <f>_xlfn.XLOOKUP(A326,'Product info'!A:A,'Product info'!C:C,,2)</f>
        <v>#N/A</v>
      </c>
      <c r="C326" s="69" t="s">
        <v>688</v>
      </c>
      <c r="D326" s="7" t="s">
        <v>689</v>
      </c>
      <c r="E326" s="7" t="s">
        <v>690</v>
      </c>
      <c r="F326" s="7" t="s">
        <v>691</v>
      </c>
      <c r="G326" s="7" t="s">
        <v>692</v>
      </c>
      <c r="H326" s="7" t="s">
        <v>693</v>
      </c>
      <c r="I326" s="7" t="s">
        <v>694</v>
      </c>
      <c r="J326" s="7" t="s">
        <v>695</v>
      </c>
      <c r="K326" s="7" t="s">
        <v>696</v>
      </c>
      <c r="L326" s="7" t="s">
        <v>697</v>
      </c>
      <c r="M326" s="7" t="s">
        <v>698</v>
      </c>
      <c r="N326" s="7" t="s">
        <v>699</v>
      </c>
      <c r="O326" s="7" t="s">
        <v>700</v>
      </c>
      <c r="P326" s="7" t="s">
        <v>701</v>
      </c>
      <c r="Q326" s="7" t="s">
        <v>702</v>
      </c>
      <c r="R326" s="7" t="s">
        <v>703</v>
      </c>
      <c r="S326" s="7" t="s">
        <v>704</v>
      </c>
      <c r="T326" s="7" t="s">
        <v>705</v>
      </c>
      <c r="U326" s="7" t="s">
        <v>706</v>
      </c>
      <c r="V326" s="7" t="s">
        <v>707</v>
      </c>
      <c r="W326" s="7" t="s">
        <v>708</v>
      </c>
      <c r="X326" s="7" t="s">
        <v>709</v>
      </c>
      <c r="Y326" s="7" t="s">
        <v>710</v>
      </c>
      <c r="Z326" s="7" t="s">
        <v>711</v>
      </c>
      <c r="AA326" s="7" t="s">
        <v>712</v>
      </c>
      <c r="AB326" s="7" t="s">
        <v>694</v>
      </c>
      <c r="AC326" s="7" t="s">
        <v>713</v>
      </c>
      <c r="AD326" s="7" t="s">
        <v>714</v>
      </c>
      <c r="AE326" s="7" t="s">
        <v>715</v>
      </c>
      <c r="AF326" s="7" t="s">
        <v>716</v>
      </c>
      <c r="AG326" s="7" t="s">
        <v>1394</v>
      </c>
      <c r="AH326" s="7" t="s">
        <v>1734</v>
      </c>
      <c r="AI326" s="7" t="s">
        <v>967</v>
      </c>
      <c r="AJ326" s="7" t="s">
        <v>1735</v>
      </c>
      <c r="AK326" s="7" t="s">
        <v>1736</v>
      </c>
      <c r="AL326" s="7" t="s">
        <v>970</v>
      </c>
      <c r="AM326" s="7" t="s">
        <v>971</v>
      </c>
      <c r="AN326" s="7" t="s">
        <v>1398</v>
      </c>
      <c r="AO326" s="7" t="s">
        <v>1399</v>
      </c>
      <c r="AP326" s="7" t="s">
        <v>973</v>
      </c>
      <c r="AQ326" s="7" t="s">
        <v>1737</v>
      </c>
      <c r="AR326" s="7" t="s">
        <v>1738</v>
      </c>
      <c r="AS326" s="7" t="s">
        <v>1401</v>
      </c>
      <c r="AT326" s="7" t="s">
        <v>1739</v>
      </c>
      <c r="AU326" s="7" t="s">
        <v>1740</v>
      </c>
      <c r="AV326" s="7" t="s">
        <v>1741</v>
      </c>
      <c r="AW326" s="7" t="s">
        <v>1742</v>
      </c>
      <c r="AX326" s="7" t="s">
        <v>1743</v>
      </c>
      <c r="AY326" s="7" t="s">
        <v>1744</v>
      </c>
      <c r="AZ326" s="7" t="s">
        <v>1745</v>
      </c>
      <c r="BA326" s="7" t="s">
        <v>1746</v>
      </c>
    </row>
    <row r="327" spans="1:62" ht="78" customHeight="1" x14ac:dyDescent="0.4">
      <c r="A327" s="67" t="s">
        <v>250</v>
      </c>
      <c r="B327" t="e">
        <f>_xlfn.XLOOKUP(A327,'Product info'!A:A,'Product info'!C:C,,2)</f>
        <v>#N/A</v>
      </c>
      <c r="C327" s="69" t="s">
        <v>688</v>
      </c>
      <c r="D327" s="7" t="s">
        <v>689</v>
      </c>
      <c r="E327" s="7" t="s">
        <v>690</v>
      </c>
      <c r="F327" s="7" t="s">
        <v>691</v>
      </c>
      <c r="G327" s="7" t="s">
        <v>692</v>
      </c>
      <c r="H327" s="7" t="s">
        <v>693</v>
      </c>
      <c r="I327" s="7" t="s">
        <v>694</v>
      </c>
      <c r="J327" s="7" t="s">
        <v>695</v>
      </c>
      <c r="K327" s="7" t="s">
        <v>696</v>
      </c>
      <c r="L327" s="7" t="s">
        <v>697</v>
      </c>
      <c r="M327" s="7" t="s">
        <v>698</v>
      </c>
      <c r="N327" s="7" t="s">
        <v>699</v>
      </c>
      <c r="O327" s="7" t="s">
        <v>700</v>
      </c>
      <c r="P327" s="7" t="s">
        <v>701</v>
      </c>
      <c r="Q327" s="7" t="s">
        <v>702</v>
      </c>
      <c r="R327" s="7" t="s">
        <v>703</v>
      </c>
      <c r="S327" s="7" t="s">
        <v>704</v>
      </c>
      <c r="T327" s="7" t="s">
        <v>705</v>
      </c>
      <c r="U327" s="7" t="s">
        <v>706</v>
      </c>
      <c r="V327" s="7" t="s">
        <v>707</v>
      </c>
      <c r="W327" s="7" t="s">
        <v>708</v>
      </c>
      <c r="X327" s="7" t="s">
        <v>709</v>
      </c>
      <c r="Y327" s="7" t="s">
        <v>710</v>
      </c>
      <c r="Z327" s="7" t="s">
        <v>711</v>
      </c>
      <c r="AA327" s="7" t="s">
        <v>712</v>
      </c>
      <c r="AB327" s="7" t="s">
        <v>694</v>
      </c>
      <c r="AC327" s="7" t="s">
        <v>713</v>
      </c>
      <c r="AD327" s="7" t="s">
        <v>714</v>
      </c>
      <c r="AE327" s="7" t="s">
        <v>715</v>
      </c>
      <c r="AF327" s="7" t="s">
        <v>716</v>
      </c>
      <c r="AG327" s="7" t="s">
        <v>1747</v>
      </c>
      <c r="AH327" s="7" t="s">
        <v>1748</v>
      </c>
      <c r="AI327" s="7" t="s">
        <v>1749</v>
      </c>
      <c r="AJ327" s="7" t="s">
        <v>1750</v>
      </c>
      <c r="AK327" s="7" t="s">
        <v>1751</v>
      </c>
      <c r="AL327" s="7" t="s">
        <v>1752</v>
      </c>
      <c r="AM327" s="7" t="s">
        <v>1753</v>
      </c>
    </row>
    <row r="328" spans="1:62" ht="78" customHeight="1" x14ac:dyDescent="0.4">
      <c r="A328" s="67" t="s">
        <v>251</v>
      </c>
      <c r="B328" t="e">
        <f>_xlfn.XLOOKUP(A328,'Product info'!A:A,'Product info'!C:C,,2)</f>
        <v>#N/A</v>
      </c>
      <c r="C328" s="69" t="s">
        <v>688</v>
      </c>
      <c r="D328" s="7" t="s">
        <v>689</v>
      </c>
      <c r="E328" s="7" t="s">
        <v>690</v>
      </c>
      <c r="F328" s="7" t="s">
        <v>691</v>
      </c>
      <c r="G328" s="7" t="s">
        <v>692</v>
      </c>
      <c r="H328" s="7" t="s">
        <v>693</v>
      </c>
      <c r="I328" s="7" t="s">
        <v>694</v>
      </c>
      <c r="J328" s="7" t="s">
        <v>695</v>
      </c>
      <c r="K328" s="7" t="s">
        <v>696</v>
      </c>
      <c r="L328" s="7" t="s">
        <v>697</v>
      </c>
      <c r="M328" s="7" t="s">
        <v>698</v>
      </c>
      <c r="N328" s="7" t="s">
        <v>699</v>
      </c>
      <c r="O328" s="7" t="s">
        <v>700</v>
      </c>
      <c r="P328" s="7" t="s">
        <v>701</v>
      </c>
      <c r="Q328" s="7" t="s">
        <v>702</v>
      </c>
      <c r="R328" s="7" t="s">
        <v>703</v>
      </c>
      <c r="S328" s="7" t="s">
        <v>704</v>
      </c>
      <c r="T328" s="7" t="s">
        <v>705</v>
      </c>
      <c r="U328" s="7" t="s">
        <v>706</v>
      </c>
      <c r="V328" s="7" t="s">
        <v>707</v>
      </c>
      <c r="W328" s="7" t="s">
        <v>708</v>
      </c>
      <c r="X328" s="7" t="s">
        <v>709</v>
      </c>
      <c r="Y328" s="7" t="s">
        <v>710</v>
      </c>
      <c r="Z328" s="7" t="s">
        <v>711</v>
      </c>
      <c r="AA328" s="7" t="s">
        <v>712</v>
      </c>
      <c r="AB328" s="7" t="s">
        <v>694</v>
      </c>
      <c r="AC328" s="7" t="s">
        <v>713</v>
      </c>
      <c r="AD328" s="7" t="s">
        <v>714</v>
      </c>
      <c r="AE328" s="7" t="s">
        <v>715</v>
      </c>
      <c r="AF328" s="7" t="s">
        <v>716</v>
      </c>
      <c r="AG328" s="7" t="s">
        <v>1747</v>
      </c>
      <c r="AH328" s="7" t="s">
        <v>1748</v>
      </c>
      <c r="AI328" s="7" t="s">
        <v>1749</v>
      </c>
      <c r="AJ328" s="7" t="s">
        <v>1750</v>
      </c>
      <c r="AK328" s="7" t="s">
        <v>1751</v>
      </c>
      <c r="AL328" s="7" t="s">
        <v>1752</v>
      </c>
    </row>
    <row r="329" spans="1:62" ht="78" customHeight="1" x14ac:dyDescent="0.4">
      <c r="A329" s="67" t="s">
        <v>253</v>
      </c>
      <c r="B329" t="e">
        <f>_xlfn.XLOOKUP(A329,'Product info'!A:A,'Product info'!C:C,,2)</f>
        <v>#N/A</v>
      </c>
      <c r="C329" s="69" t="s">
        <v>688</v>
      </c>
      <c r="D329" s="7" t="s">
        <v>689</v>
      </c>
      <c r="E329" s="7" t="s">
        <v>690</v>
      </c>
      <c r="F329" s="7" t="s">
        <v>691</v>
      </c>
      <c r="G329" s="7" t="s">
        <v>692</v>
      </c>
      <c r="H329" s="7" t="s">
        <v>693</v>
      </c>
      <c r="I329" s="7" t="s">
        <v>694</v>
      </c>
      <c r="J329" s="7" t="s">
        <v>695</v>
      </c>
      <c r="K329" s="7" t="s">
        <v>696</v>
      </c>
      <c r="L329" s="7" t="s">
        <v>697</v>
      </c>
      <c r="M329" s="7" t="s">
        <v>698</v>
      </c>
      <c r="N329" s="7" t="s">
        <v>699</v>
      </c>
      <c r="O329" s="7" t="s">
        <v>700</v>
      </c>
      <c r="P329" s="7" t="s">
        <v>701</v>
      </c>
      <c r="Q329" s="7" t="s">
        <v>702</v>
      </c>
      <c r="R329" s="7" t="s">
        <v>703</v>
      </c>
      <c r="S329" s="7" t="s">
        <v>704</v>
      </c>
      <c r="T329" s="7" t="s">
        <v>705</v>
      </c>
      <c r="U329" s="7" t="s">
        <v>706</v>
      </c>
      <c r="V329" s="7" t="s">
        <v>707</v>
      </c>
      <c r="W329" s="7" t="s">
        <v>708</v>
      </c>
      <c r="X329" s="7" t="s">
        <v>709</v>
      </c>
      <c r="Y329" s="7" t="s">
        <v>710</v>
      </c>
      <c r="Z329" s="7" t="s">
        <v>711</v>
      </c>
      <c r="AA329" s="7" t="s">
        <v>712</v>
      </c>
      <c r="AB329" s="7" t="s">
        <v>694</v>
      </c>
      <c r="AC329" s="7" t="s">
        <v>713</v>
      </c>
      <c r="AD329" s="7" t="s">
        <v>714</v>
      </c>
      <c r="AE329" s="7" t="s">
        <v>715</v>
      </c>
      <c r="AF329" s="7" t="s">
        <v>716</v>
      </c>
      <c r="AG329" s="7" t="s">
        <v>1754</v>
      </c>
      <c r="AH329" s="7" t="s">
        <v>1755</v>
      </c>
      <c r="AI329" s="7" t="s">
        <v>1756</v>
      </c>
      <c r="AJ329" s="7" t="s">
        <v>1757</v>
      </c>
      <c r="AK329" s="7" t="s">
        <v>1758</v>
      </c>
      <c r="AL329" s="7" t="s">
        <v>1759</v>
      </c>
      <c r="AM329" s="7" t="s">
        <v>1760</v>
      </c>
      <c r="AN329" s="7" t="s">
        <v>1739</v>
      </c>
      <c r="AO329" s="7" t="s">
        <v>1761</v>
      </c>
      <c r="AP329" s="7" t="s">
        <v>1762</v>
      </c>
      <c r="AQ329" s="7" t="s">
        <v>1763</v>
      </c>
      <c r="AR329" s="7" t="s">
        <v>1764</v>
      </c>
      <c r="AS329" s="7" t="s">
        <v>1765</v>
      </c>
      <c r="AT329" s="7" t="s">
        <v>1766</v>
      </c>
      <c r="AU329" s="7" t="s">
        <v>1767</v>
      </c>
      <c r="AV329" s="7" t="s">
        <v>1768</v>
      </c>
      <c r="AW329" s="7" t="s">
        <v>1769</v>
      </c>
      <c r="AX329" s="7" t="s">
        <v>1770</v>
      </c>
    </row>
    <row r="330" spans="1:62" ht="78" customHeight="1" x14ac:dyDescent="0.4">
      <c r="A330" s="67" t="s">
        <v>252</v>
      </c>
      <c r="B330" t="e">
        <f>_xlfn.XLOOKUP(A330,'Product info'!A:A,'Product info'!C:C,,2)</f>
        <v>#N/A</v>
      </c>
      <c r="C330" s="69" t="s">
        <v>688</v>
      </c>
      <c r="D330" s="7" t="s">
        <v>689</v>
      </c>
      <c r="E330" s="7" t="s">
        <v>690</v>
      </c>
      <c r="F330" s="7" t="s">
        <v>691</v>
      </c>
      <c r="G330" s="7" t="s">
        <v>692</v>
      </c>
      <c r="H330" s="7" t="s">
        <v>693</v>
      </c>
      <c r="I330" s="7" t="s">
        <v>694</v>
      </c>
      <c r="J330" s="7" t="s">
        <v>695</v>
      </c>
      <c r="K330" s="7" t="s">
        <v>696</v>
      </c>
      <c r="L330" s="7" t="s">
        <v>697</v>
      </c>
      <c r="M330" s="7" t="s">
        <v>698</v>
      </c>
      <c r="N330" s="7" t="s">
        <v>699</v>
      </c>
      <c r="O330" s="7" t="s">
        <v>700</v>
      </c>
      <c r="P330" s="7" t="s">
        <v>701</v>
      </c>
      <c r="Q330" s="7" t="s">
        <v>702</v>
      </c>
      <c r="R330" s="7" t="s">
        <v>703</v>
      </c>
      <c r="S330" s="7" t="s">
        <v>704</v>
      </c>
      <c r="T330" s="7" t="s">
        <v>705</v>
      </c>
      <c r="U330" s="7" t="s">
        <v>706</v>
      </c>
      <c r="V330" s="7" t="s">
        <v>707</v>
      </c>
      <c r="W330" s="7" t="s">
        <v>708</v>
      </c>
      <c r="X330" s="7" t="s">
        <v>709</v>
      </c>
      <c r="Y330" s="7" t="s">
        <v>710</v>
      </c>
      <c r="Z330" s="7" t="s">
        <v>711</v>
      </c>
      <c r="AA330" s="7" t="s">
        <v>712</v>
      </c>
      <c r="AB330" s="7" t="s">
        <v>694</v>
      </c>
      <c r="AC330" s="7" t="s">
        <v>713</v>
      </c>
      <c r="AD330" s="7" t="s">
        <v>714</v>
      </c>
      <c r="AE330" s="7" t="s">
        <v>715</v>
      </c>
      <c r="AF330" s="7" t="s">
        <v>716</v>
      </c>
      <c r="AG330" s="7" t="s">
        <v>1754</v>
      </c>
      <c r="AH330" s="7" t="s">
        <v>1755</v>
      </c>
      <c r="AI330" s="7" t="s">
        <v>1756</v>
      </c>
      <c r="AJ330" s="7" t="s">
        <v>1757</v>
      </c>
      <c r="AK330" s="7" t="s">
        <v>1758</v>
      </c>
      <c r="AL330" s="7" t="s">
        <v>1759</v>
      </c>
      <c r="AM330" s="7" t="s">
        <v>1760</v>
      </c>
      <c r="AN330" s="7" t="s">
        <v>1739</v>
      </c>
      <c r="AO330" s="7" t="s">
        <v>1761</v>
      </c>
      <c r="AP330" s="7" t="s">
        <v>1762</v>
      </c>
      <c r="AQ330" s="7" t="s">
        <v>1763</v>
      </c>
      <c r="AR330" s="7" t="s">
        <v>1764</v>
      </c>
      <c r="AS330" s="7" t="s">
        <v>1771</v>
      </c>
      <c r="AT330" s="7" t="s">
        <v>1772</v>
      </c>
      <c r="AU330" s="7" t="s">
        <v>1767</v>
      </c>
      <c r="AV330" s="7" t="s">
        <v>1773</v>
      </c>
      <c r="AW330" s="7" t="s">
        <v>1769</v>
      </c>
      <c r="AX330" s="7" t="s">
        <v>1774</v>
      </c>
      <c r="AY330" s="7" t="s">
        <v>1775</v>
      </c>
      <c r="AZ330" s="7" t="s">
        <v>1776</v>
      </c>
      <c r="BA330" s="7" t="s">
        <v>1777</v>
      </c>
    </row>
    <row r="331" spans="1:62" ht="78" customHeight="1" x14ac:dyDescent="0.4">
      <c r="A331" s="67" t="s">
        <v>254</v>
      </c>
      <c r="B331" t="e">
        <f>_xlfn.XLOOKUP(A331,'Product info'!A:A,'Product info'!C:C,,2)</f>
        <v>#N/A</v>
      </c>
      <c r="C331" s="69" t="s">
        <v>688</v>
      </c>
      <c r="D331" s="7" t="s">
        <v>689</v>
      </c>
      <c r="E331" s="7" t="s">
        <v>690</v>
      </c>
      <c r="F331" s="7" t="s">
        <v>691</v>
      </c>
      <c r="G331" s="7" t="s">
        <v>692</v>
      </c>
      <c r="H331" s="7" t="s">
        <v>693</v>
      </c>
      <c r="I331" s="7" t="s">
        <v>694</v>
      </c>
      <c r="J331" s="7" t="s">
        <v>695</v>
      </c>
      <c r="K331" s="7" t="s">
        <v>696</v>
      </c>
      <c r="L331" s="7" t="s">
        <v>697</v>
      </c>
      <c r="M331" s="7" t="s">
        <v>698</v>
      </c>
      <c r="N331" s="7" t="s">
        <v>699</v>
      </c>
      <c r="O331" s="7" t="s">
        <v>700</v>
      </c>
      <c r="P331" s="7" t="s">
        <v>701</v>
      </c>
      <c r="Q331" s="7" t="s">
        <v>702</v>
      </c>
      <c r="R331" s="7" t="s">
        <v>703</v>
      </c>
      <c r="S331" s="7" t="s">
        <v>704</v>
      </c>
      <c r="T331" s="7" t="s">
        <v>705</v>
      </c>
      <c r="U331" s="7" t="s">
        <v>706</v>
      </c>
      <c r="V331" s="7" t="s">
        <v>707</v>
      </c>
      <c r="W331" s="7" t="s">
        <v>708</v>
      </c>
      <c r="X331" s="7" t="s">
        <v>709</v>
      </c>
      <c r="Y331" s="7" t="s">
        <v>710</v>
      </c>
      <c r="Z331" s="7" t="s">
        <v>711</v>
      </c>
      <c r="AA331" s="7" t="s">
        <v>712</v>
      </c>
      <c r="AB331" s="7" t="s">
        <v>694</v>
      </c>
      <c r="AC331" s="7" t="s">
        <v>713</v>
      </c>
      <c r="AD331" s="7" t="s">
        <v>714</v>
      </c>
      <c r="AE331" s="7" t="s">
        <v>715</v>
      </c>
      <c r="AF331" s="7" t="s">
        <v>716</v>
      </c>
      <c r="AG331" s="7" t="s">
        <v>1778</v>
      </c>
      <c r="AH331" s="7" t="s">
        <v>1755</v>
      </c>
      <c r="AI331" s="7" t="s">
        <v>1756</v>
      </c>
      <c r="AJ331" s="7" t="s">
        <v>1757</v>
      </c>
      <c r="AK331" s="7" t="s">
        <v>1758</v>
      </c>
      <c r="AL331" s="7" t="s">
        <v>1779</v>
      </c>
      <c r="AM331" s="7" t="s">
        <v>1760</v>
      </c>
      <c r="AN331" s="7" t="s">
        <v>1739</v>
      </c>
      <c r="AO331" s="7" t="s">
        <v>1780</v>
      </c>
      <c r="AP331" s="7" t="s">
        <v>1762</v>
      </c>
      <c r="AQ331" s="7" t="s">
        <v>1763</v>
      </c>
      <c r="AR331" s="7" t="s">
        <v>1764</v>
      </c>
      <c r="AS331" s="7" t="s">
        <v>1765</v>
      </c>
      <c r="AT331" s="7" t="s">
        <v>1766</v>
      </c>
      <c r="AU331" s="7" t="s">
        <v>1781</v>
      </c>
      <c r="AV331" s="7" t="s">
        <v>1782</v>
      </c>
      <c r="AW331" s="7" t="s">
        <v>1783</v>
      </c>
      <c r="AX331" s="7" t="s">
        <v>1784</v>
      </c>
    </row>
    <row r="332" spans="1:62" ht="78" customHeight="1" x14ac:dyDescent="0.4">
      <c r="A332" s="67" t="s">
        <v>255</v>
      </c>
      <c r="B332" t="e">
        <f>_xlfn.XLOOKUP(A332,'Product info'!A:A,'Product info'!C:C,,2)</f>
        <v>#N/A</v>
      </c>
      <c r="C332" s="69" t="s">
        <v>688</v>
      </c>
      <c r="D332" s="7" t="s">
        <v>689</v>
      </c>
      <c r="E332" s="7" t="s">
        <v>690</v>
      </c>
      <c r="F332" s="7" t="s">
        <v>691</v>
      </c>
      <c r="G332" s="7" t="s">
        <v>692</v>
      </c>
      <c r="H332" s="7" t="s">
        <v>693</v>
      </c>
      <c r="I332" s="7" t="s">
        <v>694</v>
      </c>
      <c r="J332" s="7" t="s">
        <v>695</v>
      </c>
      <c r="K332" s="7" t="s">
        <v>696</v>
      </c>
      <c r="L332" s="7" t="s">
        <v>697</v>
      </c>
      <c r="M332" s="7" t="s">
        <v>698</v>
      </c>
      <c r="N332" s="7" t="s">
        <v>699</v>
      </c>
      <c r="O332" s="7" t="s">
        <v>700</v>
      </c>
      <c r="P332" s="7" t="s">
        <v>701</v>
      </c>
      <c r="Q332" s="7" t="s">
        <v>702</v>
      </c>
      <c r="R332" s="7" t="s">
        <v>703</v>
      </c>
      <c r="S332" s="7" t="s">
        <v>704</v>
      </c>
      <c r="T332" s="7" t="s">
        <v>705</v>
      </c>
      <c r="U332" s="7" t="s">
        <v>706</v>
      </c>
      <c r="V332" s="7" t="s">
        <v>707</v>
      </c>
      <c r="W332" s="7" t="s">
        <v>708</v>
      </c>
      <c r="X332" s="7" t="s">
        <v>709</v>
      </c>
      <c r="Y332" s="7" t="s">
        <v>710</v>
      </c>
      <c r="Z332" s="7" t="s">
        <v>711</v>
      </c>
      <c r="AA332" s="7" t="s">
        <v>712</v>
      </c>
      <c r="AB332" s="7" t="s">
        <v>694</v>
      </c>
      <c r="AC332" s="7" t="s">
        <v>713</v>
      </c>
      <c r="AD332" s="7" t="s">
        <v>714</v>
      </c>
      <c r="AE332" s="7" t="s">
        <v>715</v>
      </c>
      <c r="AF332" s="7" t="s">
        <v>716</v>
      </c>
      <c r="AG332" s="7" t="s">
        <v>1754</v>
      </c>
      <c r="AH332" s="7" t="s">
        <v>1755</v>
      </c>
      <c r="AI332" s="7" t="s">
        <v>1756</v>
      </c>
      <c r="AJ332" s="7" t="s">
        <v>1757</v>
      </c>
      <c r="AK332" s="7" t="s">
        <v>1758</v>
      </c>
      <c r="AL332" s="7" t="s">
        <v>1779</v>
      </c>
      <c r="AM332" s="7" t="s">
        <v>1785</v>
      </c>
      <c r="AN332" s="7" t="s">
        <v>1739</v>
      </c>
      <c r="AO332" s="7" t="s">
        <v>1780</v>
      </c>
      <c r="AP332" s="7" t="s">
        <v>1762</v>
      </c>
      <c r="AQ332" s="7" t="s">
        <v>1763</v>
      </c>
      <c r="AR332" s="7" t="s">
        <v>1783</v>
      </c>
      <c r="AS332" s="7" t="s">
        <v>1784</v>
      </c>
      <c r="AT332" s="7" t="s">
        <v>1786</v>
      </c>
    </row>
    <row r="333" spans="1:62" ht="78" customHeight="1" x14ac:dyDescent="0.4">
      <c r="A333" s="67" t="s">
        <v>238</v>
      </c>
      <c r="B333" t="e">
        <f>_xlfn.XLOOKUP(A333,'Product info'!A:A,'Product info'!C:C,,2)</f>
        <v>#N/A</v>
      </c>
      <c r="C333" s="69" t="s">
        <v>688</v>
      </c>
      <c r="D333" s="7" t="s">
        <v>689</v>
      </c>
      <c r="E333" s="7" t="s">
        <v>690</v>
      </c>
      <c r="F333" s="7" t="s">
        <v>691</v>
      </c>
      <c r="G333" s="7" t="s">
        <v>692</v>
      </c>
      <c r="H333" s="7" t="s">
        <v>693</v>
      </c>
      <c r="I333" s="7" t="s">
        <v>694</v>
      </c>
      <c r="J333" s="7" t="s">
        <v>695</v>
      </c>
      <c r="K333" s="7" t="s">
        <v>696</v>
      </c>
      <c r="L333" s="7" t="s">
        <v>697</v>
      </c>
      <c r="M333" s="7" t="s">
        <v>698</v>
      </c>
      <c r="N333" s="7" t="s">
        <v>699</v>
      </c>
      <c r="O333" s="7" t="s">
        <v>700</v>
      </c>
      <c r="P333" s="7" t="s">
        <v>701</v>
      </c>
      <c r="Q333" s="7" t="s">
        <v>702</v>
      </c>
      <c r="R333" s="7" t="s">
        <v>703</v>
      </c>
      <c r="S333" s="7" t="s">
        <v>704</v>
      </c>
      <c r="T333" s="7" t="s">
        <v>705</v>
      </c>
      <c r="U333" s="7" t="s">
        <v>706</v>
      </c>
      <c r="V333" s="7" t="s">
        <v>707</v>
      </c>
      <c r="W333" s="7" t="s">
        <v>708</v>
      </c>
      <c r="X333" s="7" t="s">
        <v>709</v>
      </c>
      <c r="Y333" s="7" t="s">
        <v>710</v>
      </c>
      <c r="Z333" s="7" t="s">
        <v>711</v>
      </c>
      <c r="AA333" s="7" t="s">
        <v>712</v>
      </c>
      <c r="AB333" s="7" t="s">
        <v>694</v>
      </c>
      <c r="AC333" s="7" t="s">
        <v>713</v>
      </c>
      <c r="AD333" s="7" t="s">
        <v>714</v>
      </c>
      <c r="AE333" s="7" t="s">
        <v>715</v>
      </c>
      <c r="AF333" s="7" t="s">
        <v>716</v>
      </c>
      <c r="AG333" s="7" t="s">
        <v>1757</v>
      </c>
      <c r="AH333" s="7" t="s">
        <v>1739</v>
      </c>
      <c r="AI333" s="7" t="s">
        <v>1762</v>
      </c>
      <c r="AJ333" s="7" t="s">
        <v>1763</v>
      </c>
      <c r="AK333" s="7" t="s">
        <v>1787</v>
      </c>
      <c r="AL333" s="7" t="s">
        <v>1788</v>
      </c>
      <c r="AM333" s="7" t="s">
        <v>1789</v>
      </c>
      <c r="AN333" s="7" t="s">
        <v>1790</v>
      </c>
      <c r="AO333" s="7" t="s">
        <v>1791</v>
      </c>
      <c r="AP333" s="7" t="s">
        <v>1792</v>
      </c>
      <c r="AQ333" s="7" t="s">
        <v>1793</v>
      </c>
      <c r="AR333" s="7" t="s">
        <v>1794</v>
      </c>
      <c r="AS333" s="7" t="s">
        <v>1795</v>
      </c>
      <c r="AT333" s="7" t="s">
        <v>1796</v>
      </c>
      <c r="AU333" s="7" t="s">
        <v>1797</v>
      </c>
      <c r="AV333" s="7" t="s">
        <v>1798</v>
      </c>
      <c r="AW333" s="7" t="s">
        <v>1799</v>
      </c>
      <c r="AX333" s="7" t="s">
        <v>1800</v>
      </c>
      <c r="AY333" s="7" t="s">
        <v>1801</v>
      </c>
      <c r="AZ333" s="7" t="s">
        <v>1802</v>
      </c>
      <c r="BA333" s="7" t="s">
        <v>1803</v>
      </c>
      <c r="BB333" s="7" t="s">
        <v>1804</v>
      </c>
      <c r="BC333" s="7" t="s">
        <v>1805</v>
      </c>
      <c r="BD333" s="7" t="s">
        <v>1806</v>
      </c>
      <c r="BE333" s="7" t="s">
        <v>1807</v>
      </c>
      <c r="BF333" s="7" t="s">
        <v>1756</v>
      </c>
      <c r="BG333" s="7" t="s">
        <v>1757</v>
      </c>
      <c r="BH333" s="7" t="s">
        <v>1758</v>
      </c>
      <c r="BI333" s="7" t="s">
        <v>1808</v>
      </c>
      <c r="BJ333" s="7" t="s">
        <v>1809</v>
      </c>
    </row>
    <row r="334" spans="1:62" ht="78" customHeight="1" x14ac:dyDescent="0.4">
      <c r="A334" s="67" t="s">
        <v>240</v>
      </c>
      <c r="B334" t="e">
        <f>_xlfn.XLOOKUP(A334,'Product info'!A:A,'Product info'!C:C,,2)</f>
        <v>#N/A</v>
      </c>
      <c r="C334" s="69" t="s">
        <v>688</v>
      </c>
      <c r="D334" s="7" t="s">
        <v>689</v>
      </c>
      <c r="E334" s="7" t="s">
        <v>690</v>
      </c>
      <c r="F334" s="7" t="s">
        <v>691</v>
      </c>
      <c r="G334" s="7" t="s">
        <v>692</v>
      </c>
      <c r="H334" s="7" t="s">
        <v>693</v>
      </c>
      <c r="I334" s="7" t="s">
        <v>694</v>
      </c>
      <c r="J334" s="7" t="s">
        <v>695</v>
      </c>
      <c r="K334" s="7" t="s">
        <v>696</v>
      </c>
      <c r="L334" s="7" t="s">
        <v>697</v>
      </c>
      <c r="M334" s="7" t="s">
        <v>698</v>
      </c>
      <c r="N334" s="7" t="s">
        <v>699</v>
      </c>
      <c r="O334" s="7" t="s">
        <v>700</v>
      </c>
      <c r="P334" s="7" t="s">
        <v>701</v>
      </c>
      <c r="Q334" s="7" t="s">
        <v>702</v>
      </c>
      <c r="R334" s="7" t="s">
        <v>703</v>
      </c>
      <c r="S334" s="7" t="s">
        <v>704</v>
      </c>
      <c r="T334" s="7" t="s">
        <v>705</v>
      </c>
      <c r="U334" s="7" t="s">
        <v>706</v>
      </c>
      <c r="V334" s="7" t="s">
        <v>707</v>
      </c>
      <c r="W334" s="7" t="s">
        <v>708</v>
      </c>
      <c r="X334" s="7" t="s">
        <v>709</v>
      </c>
      <c r="Y334" s="7" t="s">
        <v>710</v>
      </c>
      <c r="Z334" s="7" t="s">
        <v>711</v>
      </c>
      <c r="AA334" s="7" t="s">
        <v>712</v>
      </c>
      <c r="AB334" s="7" t="s">
        <v>694</v>
      </c>
      <c r="AC334" s="7" t="s">
        <v>713</v>
      </c>
      <c r="AD334" s="7" t="s">
        <v>714</v>
      </c>
      <c r="AE334" s="7" t="s">
        <v>715</v>
      </c>
      <c r="AF334" s="7" t="s">
        <v>716</v>
      </c>
      <c r="AG334" s="7" t="s">
        <v>1810</v>
      </c>
      <c r="AH334" s="7" t="s">
        <v>1755</v>
      </c>
      <c r="AI334" s="7" t="s">
        <v>1811</v>
      </c>
      <c r="AJ334" s="7" t="s">
        <v>1757</v>
      </c>
      <c r="AK334" s="7" t="s">
        <v>1758</v>
      </c>
      <c r="AL334" s="7" t="s">
        <v>1759</v>
      </c>
      <c r="AM334" s="7" t="s">
        <v>1760</v>
      </c>
      <c r="AN334" s="7" t="s">
        <v>1739</v>
      </c>
      <c r="AO334" s="7" t="s">
        <v>1812</v>
      </c>
      <c r="AP334" s="7" t="s">
        <v>1762</v>
      </c>
      <c r="AQ334" s="7" t="s">
        <v>1763</v>
      </c>
      <c r="AR334" s="7" t="s">
        <v>1764</v>
      </c>
      <c r="AS334" s="7" t="s">
        <v>1813</v>
      </c>
      <c r="AT334" s="7" t="s">
        <v>1814</v>
      </c>
      <c r="AU334" s="7" t="s">
        <v>1767</v>
      </c>
      <c r="AV334" s="7" t="s">
        <v>1773</v>
      </c>
      <c r="AW334" s="7" t="s">
        <v>1769</v>
      </c>
      <c r="AX334" s="7" t="s">
        <v>1774</v>
      </c>
      <c r="AY334" s="7" t="s">
        <v>1775</v>
      </c>
      <c r="AZ334" s="7" t="s">
        <v>1776</v>
      </c>
      <c r="BA334" s="7" t="s">
        <v>1815</v>
      </c>
      <c r="BB334" s="7" t="s">
        <v>1816</v>
      </c>
      <c r="BC334" s="7" t="s">
        <v>1817</v>
      </c>
      <c r="BD334" s="7" t="s">
        <v>1818</v>
      </c>
      <c r="BE334" s="7" t="s">
        <v>1819</v>
      </c>
      <c r="BF334" s="7" t="s">
        <v>1820</v>
      </c>
    </row>
    <row r="335" spans="1:62" ht="78" customHeight="1" x14ac:dyDescent="0.4">
      <c r="A335" s="67" t="s">
        <v>237</v>
      </c>
      <c r="B335" t="e">
        <f>_xlfn.XLOOKUP(A335,'Product info'!A:A,'Product info'!C:C,,2)</f>
        <v>#N/A</v>
      </c>
      <c r="C335" s="69" t="s">
        <v>688</v>
      </c>
      <c r="D335" s="7" t="s">
        <v>689</v>
      </c>
      <c r="E335" s="7" t="s">
        <v>690</v>
      </c>
      <c r="F335" s="7" t="s">
        <v>691</v>
      </c>
      <c r="G335" s="7" t="s">
        <v>692</v>
      </c>
      <c r="H335" s="7" t="s">
        <v>693</v>
      </c>
      <c r="I335" s="7" t="s">
        <v>694</v>
      </c>
      <c r="J335" s="7" t="s">
        <v>695</v>
      </c>
      <c r="K335" s="7" t="s">
        <v>696</v>
      </c>
      <c r="L335" s="7" t="s">
        <v>697</v>
      </c>
      <c r="M335" s="7" t="s">
        <v>698</v>
      </c>
      <c r="N335" s="7" t="s">
        <v>699</v>
      </c>
      <c r="O335" s="7" t="s">
        <v>700</v>
      </c>
      <c r="P335" s="7" t="s">
        <v>701</v>
      </c>
      <c r="Q335" s="7" t="s">
        <v>702</v>
      </c>
      <c r="R335" s="7" t="s">
        <v>703</v>
      </c>
      <c r="S335" s="7" t="s">
        <v>704</v>
      </c>
      <c r="T335" s="7" t="s">
        <v>705</v>
      </c>
      <c r="U335" s="7" t="s">
        <v>706</v>
      </c>
      <c r="V335" s="7" t="s">
        <v>707</v>
      </c>
      <c r="W335" s="7" t="s">
        <v>708</v>
      </c>
      <c r="X335" s="7" t="s">
        <v>709</v>
      </c>
      <c r="Y335" s="7" t="s">
        <v>710</v>
      </c>
      <c r="Z335" s="7" t="s">
        <v>711</v>
      </c>
      <c r="AA335" s="7" t="s">
        <v>712</v>
      </c>
      <c r="AB335" s="7" t="s">
        <v>694</v>
      </c>
      <c r="AC335" s="7" t="s">
        <v>713</v>
      </c>
      <c r="AD335" s="7" t="s">
        <v>714</v>
      </c>
      <c r="AE335" s="7" t="s">
        <v>715</v>
      </c>
      <c r="AF335" s="7" t="s">
        <v>716</v>
      </c>
      <c r="AG335" s="7" t="s">
        <v>1778</v>
      </c>
      <c r="AH335" s="7" t="s">
        <v>1755</v>
      </c>
      <c r="AI335" s="7" t="s">
        <v>1812</v>
      </c>
      <c r="AJ335" s="7" t="s">
        <v>1757</v>
      </c>
      <c r="AK335" s="7" t="s">
        <v>1758</v>
      </c>
      <c r="AL335" s="7" t="s">
        <v>1779</v>
      </c>
      <c r="AM335" s="7" t="s">
        <v>1760</v>
      </c>
      <c r="AN335" s="7" t="s">
        <v>1739</v>
      </c>
      <c r="AO335" s="7" t="s">
        <v>1780</v>
      </c>
      <c r="AP335" s="7" t="s">
        <v>1762</v>
      </c>
      <c r="AQ335" s="7" t="s">
        <v>1763</v>
      </c>
      <c r="AR335" s="7" t="s">
        <v>1764</v>
      </c>
      <c r="AS335" s="7" t="s">
        <v>1821</v>
      </c>
      <c r="AT335" s="7" t="s">
        <v>1766</v>
      </c>
      <c r="AU335" s="7" t="s">
        <v>1817</v>
      </c>
      <c r="AV335" s="7" t="s">
        <v>1782</v>
      </c>
      <c r="AW335" s="7" t="s">
        <v>1783</v>
      </c>
      <c r="AX335" s="7" t="s">
        <v>1784</v>
      </c>
      <c r="AY335" s="7" t="s">
        <v>1822</v>
      </c>
      <c r="AZ335" s="7" t="s">
        <v>1823</v>
      </c>
      <c r="BA335" s="7" t="s">
        <v>1824</v>
      </c>
      <c r="BB335" s="7" t="s">
        <v>1825</v>
      </c>
      <c r="BC335" s="7" t="s">
        <v>1826</v>
      </c>
    </row>
    <row r="336" spans="1:62" ht="78" customHeight="1" x14ac:dyDescent="0.4">
      <c r="A336" s="67" t="s">
        <v>388</v>
      </c>
      <c r="B336" t="e">
        <f>_xlfn.XLOOKUP(A336,'Product info'!A:A,'Product info'!C:C,,2)</f>
        <v>#N/A</v>
      </c>
      <c r="C336" s="69" t="s">
        <v>688</v>
      </c>
      <c r="D336" s="7" t="s">
        <v>689</v>
      </c>
      <c r="E336" s="7" t="s">
        <v>690</v>
      </c>
      <c r="F336" s="7" t="s">
        <v>691</v>
      </c>
      <c r="G336" s="7" t="s">
        <v>692</v>
      </c>
      <c r="H336" s="7" t="s">
        <v>693</v>
      </c>
      <c r="I336" s="7" t="s">
        <v>694</v>
      </c>
      <c r="J336" s="7" t="s">
        <v>695</v>
      </c>
      <c r="K336" s="7" t="s">
        <v>696</v>
      </c>
      <c r="L336" s="7" t="s">
        <v>697</v>
      </c>
      <c r="M336" s="7" t="s">
        <v>698</v>
      </c>
      <c r="N336" s="7" t="s">
        <v>699</v>
      </c>
      <c r="O336" s="7" t="s">
        <v>700</v>
      </c>
      <c r="P336" s="7" t="s">
        <v>701</v>
      </c>
      <c r="Q336" s="7" t="s">
        <v>702</v>
      </c>
      <c r="R336" s="7" t="s">
        <v>703</v>
      </c>
      <c r="S336" s="7" t="s">
        <v>704</v>
      </c>
      <c r="T336" s="7" t="s">
        <v>705</v>
      </c>
      <c r="U336" s="7" t="s">
        <v>706</v>
      </c>
      <c r="V336" s="7" t="s">
        <v>707</v>
      </c>
      <c r="W336" s="7" t="s">
        <v>708</v>
      </c>
      <c r="X336" s="7" t="s">
        <v>709</v>
      </c>
      <c r="Y336" s="7" t="s">
        <v>710</v>
      </c>
      <c r="Z336" s="7" t="s">
        <v>711</v>
      </c>
      <c r="AA336" s="7" t="s">
        <v>712</v>
      </c>
      <c r="AB336" s="7" t="s">
        <v>694</v>
      </c>
      <c r="AC336" s="7" t="s">
        <v>713</v>
      </c>
      <c r="AD336" s="7" t="s">
        <v>714</v>
      </c>
      <c r="AE336" s="7" t="s">
        <v>715</v>
      </c>
      <c r="AF336" s="7" t="s">
        <v>716</v>
      </c>
      <c r="AG336" s="7" t="s">
        <v>1757</v>
      </c>
      <c r="AH336" s="7" t="s">
        <v>1759</v>
      </c>
      <c r="AI336" s="7" t="s">
        <v>1739</v>
      </c>
      <c r="AJ336" s="7" t="s">
        <v>1817</v>
      </c>
      <c r="AK336" s="7" t="s">
        <v>1762</v>
      </c>
      <c r="AL336" s="7" t="s">
        <v>1763</v>
      </c>
      <c r="AM336" s="7" t="s">
        <v>1767</v>
      </c>
      <c r="AN336" s="7" t="s">
        <v>1776</v>
      </c>
      <c r="AO336" s="7" t="s">
        <v>1780</v>
      </c>
      <c r="AP336" s="7" t="s">
        <v>1827</v>
      </c>
      <c r="AQ336" s="7" t="s">
        <v>1828</v>
      </c>
      <c r="AR336" s="7" t="s">
        <v>1829</v>
      </c>
      <c r="AS336" s="7" t="s">
        <v>1830</v>
      </c>
    </row>
    <row r="337" spans="1:47" ht="78" customHeight="1" x14ac:dyDescent="0.4">
      <c r="A337" s="67" t="s">
        <v>390</v>
      </c>
      <c r="B337" t="e">
        <f>_xlfn.XLOOKUP(A337,'Product info'!A:A,'Product info'!C:C,,2)</f>
        <v>#N/A</v>
      </c>
      <c r="C337" s="69" t="s">
        <v>688</v>
      </c>
      <c r="D337" s="7" t="s">
        <v>689</v>
      </c>
      <c r="E337" s="7" t="s">
        <v>690</v>
      </c>
      <c r="F337" s="7" t="s">
        <v>691</v>
      </c>
      <c r="G337" s="7" t="s">
        <v>692</v>
      </c>
      <c r="H337" s="7" t="s">
        <v>693</v>
      </c>
      <c r="I337" s="7" t="s">
        <v>694</v>
      </c>
      <c r="J337" s="7" t="s">
        <v>695</v>
      </c>
      <c r="K337" s="7" t="s">
        <v>696</v>
      </c>
      <c r="L337" s="7" t="s">
        <v>697</v>
      </c>
      <c r="M337" s="7" t="s">
        <v>698</v>
      </c>
      <c r="N337" s="7" t="s">
        <v>699</v>
      </c>
      <c r="O337" s="7" t="s">
        <v>700</v>
      </c>
      <c r="P337" s="7" t="s">
        <v>701</v>
      </c>
      <c r="Q337" s="7" t="s">
        <v>702</v>
      </c>
      <c r="R337" s="7" t="s">
        <v>703</v>
      </c>
      <c r="S337" s="7" t="s">
        <v>704</v>
      </c>
      <c r="T337" s="7" t="s">
        <v>705</v>
      </c>
      <c r="U337" s="7" t="s">
        <v>706</v>
      </c>
      <c r="V337" s="7" t="s">
        <v>707</v>
      </c>
      <c r="W337" s="7" t="s">
        <v>708</v>
      </c>
      <c r="X337" s="7" t="s">
        <v>709</v>
      </c>
      <c r="Y337" s="7" t="s">
        <v>710</v>
      </c>
      <c r="Z337" s="7" t="s">
        <v>711</v>
      </c>
      <c r="AA337" s="7" t="s">
        <v>712</v>
      </c>
      <c r="AB337" s="7" t="s">
        <v>694</v>
      </c>
      <c r="AC337" s="7" t="s">
        <v>713</v>
      </c>
      <c r="AD337" s="7" t="s">
        <v>714</v>
      </c>
      <c r="AE337" s="7" t="s">
        <v>715</v>
      </c>
      <c r="AF337" s="7" t="s">
        <v>716</v>
      </c>
      <c r="AG337" s="7" t="s">
        <v>1757</v>
      </c>
      <c r="AH337" s="7" t="s">
        <v>1831</v>
      </c>
      <c r="AI337" s="7" t="s">
        <v>1739</v>
      </c>
      <c r="AJ337" s="7" t="s">
        <v>1832</v>
      </c>
      <c r="AK337" s="7" t="s">
        <v>1762</v>
      </c>
      <c r="AL337" s="7" t="s">
        <v>1763</v>
      </c>
      <c r="AM337" s="7" t="s">
        <v>1767</v>
      </c>
      <c r="AN337" s="7" t="s">
        <v>1833</v>
      </c>
      <c r="AO337" s="7" t="s">
        <v>1834</v>
      </c>
      <c r="AP337" s="7" t="s">
        <v>1835</v>
      </c>
      <c r="AQ337" s="7" t="s">
        <v>1836</v>
      </c>
      <c r="AR337" s="7" t="s">
        <v>1829</v>
      </c>
    </row>
    <row r="338" spans="1:47" ht="78" customHeight="1" x14ac:dyDescent="0.4">
      <c r="A338" s="67" t="s">
        <v>231</v>
      </c>
      <c r="B338" t="e">
        <f>_xlfn.XLOOKUP(A338,'Product info'!A:A,'Product info'!C:C,,2)</f>
        <v>#N/A</v>
      </c>
      <c r="C338" s="69" t="s">
        <v>688</v>
      </c>
      <c r="D338" s="7" t="s">
        <v>689</v>
      </c>
      <c r="E338" s="7" t="s">
        <v>690</v>
      </c>
      <c r="F338" s="7" t="s">
        <v>691</v>
      </c>
      <c r="G338" s="7" t="s">
        <v>692</v>
      </c>
      <c r="H338" s="7" t="s">
        <v>693</v>
      </c>
      <c r="I338" s="7" t="s">
        <v>694</v>
      </c>
      <c r="J338" s="7" t="s">
        <v>695</v>
      </c>
      <c r="K338" s="7" t="s">
        <v>696</v>
      </c>
      <c r="L338" s="7" t="s">
        <v>697</v>
      </c>
      <c r="M338" s="7" t="s">
        <v>698</v>
      </c>
      <c r="N338" s="7" t="s">
        <v>699</v>
      </c>
      <c r="O338" s="7" t="s">
        <v>700</v>
      </c>
      <c r="P338" s="7" t="s">
        <v>701</v>
      </c>
      <c r="Q338" s="7" t="s">
        <v>702</v>
      </c>
      <c r="R338" s="7" t="s">
        <v>703</v>
      </c>
      <c r="S338" s="7" t="s">
        <v>704</v>
      </c>
      <c r="T338" s="7" t="s">
        <v>705</v>
      </c>
      <c r="U338" s="7" t="s">
        <v>706</v>
      </c>
      <c r="V338" s="7" t="s">
        <v>707</v>
      </c>
      <c r="W338" s="7" t="s">
        <v>708</v>
      </c>
      <c r="X338" s="7" t="s">
        <v>709</v>
      </c>
      <c r="Y338" s="7" t="s">
        <v>710</v>
      </c>
      <c r="Z338" s="7" t="s">
        <v>711</v>
      </c>
      <c r="AA338" s="7" t="s">
        <v>712</v>
      </c>
      <c r="AB338" s="7" t="s">
        <v>694</v>
      </c>
      <c r="AC338" s="7" t="s">
        <v>713</v>
      </c>
      <c r="AD338" s="7" t="s">
        <v>714</v>
      </c>
      <c r="AE338" s="7" t="s">
        <v>715</v>
      </c>
      <c r="AF338" s="7" t="s">
        <v>716</v>
      </c>
      <c r="AG338" s="7" t="s">
        <v>1837</v>
      </c>
      <c r="AH338" s="7" t="s">
        <v>1838</v>
      </c>
      <c r="AI338" s="7" t="s">
        <v>1839</v>
      </c>
      <c r="AJ338" s="7" t="s">
        <v>1840</v>
      </c>
      <c r="AK338" s="7" t="s">
        <v>1841</v>
      </c>
      <c r="AL338" s="7" t="s">
        <v>1842</v>
      </c>
      <c r="AM338" s="7" t="s">
        <v>1843</v>
      </c>
      <c r="AN338" s="7" t="s">
        <v>1844</v>
      </c>
      <c r="AO338" s="7" t="s">
        <v>1845</v>
      </c>
      <c r="AP338" s="7" t="s">
        <v>1846</v>
      </c>
      <c r="AQ338" s="7" t="s">
        <v>1847</v>
      </c>
      <c r="AR338" s="7" t="s">
        <v>1848</v>
      </c>
      <c r="AS338" s="7" t="s">
        <v>1849</v>
      </c>
      <c r="AT338" s="7" t="s">
        <v>1850</v>
      </c>
    </row>
    <row r="339" spans="1:47" ht="78" customHeight="1" x14ac:dyDescent="0.4">
      <c r="A339" s="67" t="s">
        <v>232</v>
      </c>
      <c r="B339" t="e">
        <f>_xlfn.XLOOKUP(A339,'Product info'!A:A,'Product info'!C:C,,2)</f>
        <v>#N/A</v>
      </c>
      <c r="C339" s="69" t="s">
        <v>688</v>
      </c>
      <c r="D339" s="7" t="s">
        <v>689</v>
      </c>
      <c r="E339" s="7" t="s">
        <v>690</v>
      </c>
      <c r="F339" s="7" t="s">
        <v>691</v>
      </c>
      <c r="G339" s="7" t="s">
        <v>692</v>
      </c>
      <c r="H339" s="7" t="s">
        <v>693</v>
      </c>
      <c r="I339" s="7" t="s">
        <v>694</v>
      </c>
      <c r="J339" s="7" t="s">
        <v>695</v>
      </c>
      <c r="K339" s="7" t="s">
        <v>696</v>
      </c>
      <c r="L339" s="7" t="s">
        <v>697</v>
      </c>
      <c r="M339" s="7" t="s">
        <v>698</v>
      </c>
      <c r="N339" s="7" t="s">
        <v>699</v>
      </c>
      <c r="O339" s="7" t="s">
        <v>700</v>
      </c>
      <c r="P339" s="7" t="s">
        <v>701</v>
      </c>
      <c r="Q339" s="7" t="s">
        <v>702</v>
      </c>
      <c r="R339" s="7" t="s">
        <v>703</v>
      </c>
      <c r="S339" s="7" t="s">
        <v>704</v>
      </c>
      <c r="T339" s="7" t="s">
        <v>705</v>
      </c>
      <c r="U339" s="7" t="s">
        <v>706</v>
      </c>
      <c r="V339" s="7" t="s">
        <v>707</v>
      </c>
      <c r="W339" s="7" t="s">
        <v>708</v>
      </c>
      <c r="X339" s="7" t="s">
        <v>709</v>
      </c>
      <c r="Y339" s="7" t="s">
        <v>710</v>
      </c>
      <c r="Z339" s="7" t="s">
        <v>711</v>
      </c>
      <c r="AA339" s="7" t="s">
        <v>712</v>
      </c>
      <c r="AB339" s="7" t="s">
        <v>694</v>
      </c>
      <c r="AC339" s="7" t="s">
        <v>713</v>
      </c>
      <c r="AD339" s="7" t="s">
        <v>714</v>
      </c>
      <c r="AE339" s="7" t="s">
        <v>715</v>
      </c>
      <c r="AF339" s="7" t="s">
        <v>716</v>
      </c>
      <c r="AG339" s="7" t="s">
        <v>1837</v>
      </c>
      <c r="AH339" s="7" t="s">
        <v>1838</v>
      </c>
      <c r="AI339" s="7" t="s">
        <v>1839</v>
      </c>
      <c r="AJ339" s="7" t="s">
        <v>1840</v>
      </c>
      <c r="AK339" s="7" t="s">
        <v>1851</v>
      </c>
      <c r="AL339" s="7" t="s">
        <v>1842</v>
      </c>
      <c r="AM339" s="7" t="s">
        <v>1843</v>
      </c>
      <c r="AN339" s="7" t="s">
        <v>1852</v>
      </c>
      <c r="AO339" s="7" t="s">
        <v>1845</v>
      </c>
      <c r="AP339" s="7" t="s">
        <v>1853</v>
      </c>
      <c r="AQ339" s="7" t="s">
        <v>1847</v>
      </c>
      <c r="AR339" s="7" t="s">
        <v>1848</v>
      </c>
      <c r="AS339" s="7" t="s">
        <v>1849</v>
      </c>
      <c r="AT339" s="7" t="s">
        <v>1854</v>
      </c>
      <c r="AU339" s="7" t="s">
        <v>1855</v>
      </c>
    </row>
    <row r="340" spans="1:47" ht="78" customHeight="1" x14ac:dyDescent="0.4">
      <c r="A340" s="67" t="s">
        <v>230</v>
      </c>
      <c r="B340" t="e">
        <f>_xlfn.XLOOKUP(A340,'Product info'!A:A,'Product info'!C:C,,2)</f>
        <v>#N/A</v>
      </c>
      <c r="C340" s="69" t="s">
        <v>688</v>
      </c>
      <c r="D340" s="7" t="s">
        <v>689</v>
      </c>
      <c r="E340" s="7" t="s">
        <v>690</v>
      </c>
      <c r="F340" s="7" t="s">
        <v>691</v>
      </c>
      <c r="G340" s="7" t="s">
        <v>692</v>
      </c>
      <c r="H340" s="7" t="s">
        <v>693</v>
      </c>
      <c r="I340" s="7" t="s">
        <v>694</v>
      </c>
      <c r="J340" s="7" t="s">
        <v>695</v>
      </c>
      <c r="K340" s="7" t="s">
        <v>696</v>
      </c>
      <c r="L340" s="7" t="s">
        <v>697</v>
      </c>
      <c r="M340" s="7" t="s">
        <v>698</v>
      </c>
      <c r="N340" s="7" t="s">
        <v>699</v>
      </c>
      <c r="O340" s="7" t="s">
        <v>700</v>
      </c>
      <c r="P340" s="7" t="s">
        <v>701</v>
      </c>
      <c r="Q340" s="7" t="s">
        <v>702</v>
      </c>
      <c r="R340" s="7" t="s">
        <v>703</v>
      </c>
      <c r="S340" s="7" t="s">
        <v>704</v>
      </c>
      <c r="T340" s="7" t="s">
        <v>705</v>
      </c>
      <c r="U340" s="7" t="s">
        <v>706</v>
      </c>
      <c r="V340" s="7" t="s">
        <v>707</v>
      </c>
      <c r="W340" s="7" t="s">
        <v>708</v>
      </c>
      <c r="X340" s="7" t="s">
        <v>709</v>
      </c>
      <c r="Y340" s="7" t="s">
        <v>710</v>
      </c>
      <c r="Z340" s="7" t="s">
        <v>711</v>
      </c>
      <c r="AA340" s="7" t="s">
        <v>712</v>
      </c>
      <c r="AB340" s="7" t="s">
        <v>694</v>
      </c>
      <c r="AC340" s="7" t="s">
        <v>713</v>
      </c>
      <c r="AD340" s="7" t="s">
        <v>714</v>
      </c>
      <c r="AE340" s="7" t="s">
        <v>715</v>
      </c>
      <c r="AF340" s="7" t="s">
        <v>716</v>
      </c>
      <c r="AG340" s="7" t="s">
        <v>1837</v>
      </c>
      <c r="AH340" s="7" t="s">
        <v>1838</v>
      </c>
      <c r="AI340" s="7" t="s">
        <v>1839</v>
      </c>
      <c r="AJ340" s="7" t="s">
        <v>1840</v>
      </c>
      <c r="AK340" s="7" t="s">
        <v>1851</v>
      </c>
      <c r="AL340" s="7" t="s">
        <v>1842</v>
      </c>
      <c r="AM340" s="7" t="s">
        <v>1856</v>
      </c>
      <c r="AN340" s="7" t="s">
        <v>1852</v>
      </c>
      <c r="AO340" s="7" t="s">
        <v>1857</v>
      </c>
      <c r="AP340" s="7" t="s">
        <v>1846</v>
      </c>
      <c r="AQ340" s="7" t="s">
        <v>1847</v>
      </c>
      <c r="AR340" s="7" t="s">
        <v>1848</v>
      </c>
      <c r="AS340" s="7" t="s">
        <v>1849</v>
      </c>
      <c r="AT340" s="7" t="s">
        <v>1858</v>
      </c>
    </row>
    <row r="341" spans="1:47" ht="78" customHeight="1" x14ac:dyDescent="0.4">
      <c r="A341" s="67" t="s">
        <v>523</v>
      </c>
      <c r="B341" t="e">
        <f>_xlfn.XLOOKUP(A341,'Product info'!A:A,'Product info'!C:C,,2)</f>
        <v>#N/A</v>
      </c>
      <c r="C341" s="69" t="s">
        <v>688</v>
      </c>
      <c r="D341" s="7" t="s">
        <v>689</v>
      </c>
      <c r="E341" s="7" t="s">
        <v>690</v>
      </c>
      <c r="F341" s="7" t="s">
        <v>691</v>
      </c>
      <c r="G341" s="7" t="s">
        <v>692</v>
      </c>
      <c r="H341" s="7" t="s">
        <v>693</v>
      </c>
      <c r="I341" s="7" t="s">
        <v>694</v>
      </c>
      <c r="J341" s="7" t="s">
        <v>695</v>
      </c>
      <c r="K341" s="7" t="s">
        <v>696</v>
      </c>
      <c r="L341" s="7" t="s">
        <v>697</v>
      </c>
      <c r="M341" s="7" t="s">
        <v>698</v>
      </c>
      <c r="N341" s="7" t="s">
        <v>699</v>
      </c>
      <c r="O341" s="7" t="s">
        <v>700</v>
      </c>
      <c r="P341" s="7" t="s">
        <v>701</v>
      </c>
      <c r="Q341" s="7" t="s">
        <v>702</v>
      </c>
      <c r="R341" s="7" t="s">
        <v>703</v>
      </c>
      <c r="S341" s="7" t="s">
        <v>704</v>
      </c>
      <c r="T341" s="7" t="s">
        <v>705</v>
      </c>
      <c r="U341" s="7" t="s">
        <v>706</v>
      </c>
      <c r="V341" s="7" t="s">
        <v>707</v>
      </c>
      <c r="W341" s="7" t="s">
        <v>708</v>
      </c>
      <c r="X341" s="7" t="s">
        <v>709</v>
      </c>
      <c r="Y341" s="7" t="s">
        <v>710</v>
      </c>
      <c r="Z341" s="7" t="s">
        <v>711</v>
      </c>
      <c r="AA341" s="7" t="s">
        <v>712</v>
      </c>
      <c r="AB341" s="7" t="s">
        <v>694</v>
      </c>
      <c r="AC341" s="7" t="s">
        <v>713</v>
      </c>
      <c r="AD341" s="7" t="s">
        <v>714</v>
      </c>
      <c r="AE341" s="7" t="s">
        <v>715</v>
      </c>
      <c r="AF341" s="7" t="s">
        <v>716</v>
      </c>
      <c r="AG341" s="7" t="s">
        <v>1859</v>
      </c>
      <c r="AH341" s="7" t="s">
        <v>1860</v>
      </c>
      <c r="AI341" s="7" t="s">
        <v>1591</v>
      </c>
      <c r="AJ341" s="7" t="s">
        <v>1592</v>
      </c>
      <c r="AK341" s="7" t="s">
        <v>1578</v>
      </c>
      <c r="AL341" s="7" t="s">
        <v>1861</v>
      </c>
      <c r="AM341" s="7" t="s">
        <v>1862</v>
      </c>
      <c r="AN341" s="7" t="s">
        <v>1863</v>
      </c>
      <c r="AO341" s="7" t="s">
        <v>1864</v>
      </c>
      <c r="AP341" s="7" t="s">
        <v>1865</v>
      </c>
      <c r="AQ341" s="7" t="s">
        <v>1866</v>
      </c>
      <c r="AR341" s="7" t="s">
        <v>1867</v>
      </c>
      <c r="AS341" s="7" t="s">
        <v>1868</v>
      </c>
    </row>
    <row r="342" spans="1:47" ht="78" customHeight="1" x14ac:dyDescent="0.4">
      <c r="A342" s="67" t="s">
        <v>522</v>
      </c>
      <c r="B342" t="e">
        <f>_xlfn.XLOOKUP(A342,'Product info'!A:A,'Product info'!C:C,,2)</f>
        <v>#N/A</v>
      </c>
      <c r="C342" s="69" t="s">
        <v>688</v>
      </c>
      <c r="D342" s="7" t="s">
        <v>689</v>
      </c>
      <c r="E342" s="7" t="s">
        <v>690</v>
      </c>
      <c r="F342" s="7" t="s">
        <v>691</v>
      </c>
      <c r="G342" s="7" t="s">
        <v>692</v>
      </c>
      <c r="H342" s="7" t="s">
        <v>693</v>
      </c>
      <c r="I342" s="7" t="s">
        <v>694</v>
      </c>
      <c r="J342" s="7" t="s">
        <v>695</v>
      </c>
      <c r="K342" s="7" t="s">
        <v>696</v>
      </c>
      <c r="L342" s="7" t="s">
        <v>697</v>
      </c>
      <c r="M342" s="7" t="s">
        <v>698</v>
      </c>
      <c r="N342" s="7" t="s">
        <v>699</v>
      </c>
      <c r="O342" s="7" t="s">
        <v>700</v>
      </c>
      <c r="P342" s="7" t="s">
        <v>701</v>
      </c>
      <c r="Q342" s="7" t="s">
        <v>702</v>
      </c>
      <c r="R342" s="7" t="s">
        <v>703</v>
      </c>
      <c r="S342" s="7" t="s">
        <v>704</v>
      </c>
      <c r="T342" s="7" t="s">
        <v>705</v>
      </c>
      <c r="U342" s="7" t="s">
        <v>706</v>
      </c>
      <c r="V342" s="7" t="s">
        <v>707</v>
      </c>
      <c r="W342" s="7" t="s">
        <v>708</v>
      </c>
      <c r="X342" s="7" t="s">
        <v>709</v>
      </c>
      <c r="Y342" s="7" t="s">
        <v>710</v>
      </c>
      <c r="Z342" s="7" t="s">
        <v>711</v>
      </c>
      <c r="AA342" s="7" t="s">
        <v>712</v>
      </c>
      <c r="AB342" s="7" t="s">
        <v>694</v>
      </c>
      <c r="AC342" s="7" t="s">
        <v>713</v>
      </c>
      <c r="AD342" s="7" t="s">
        <v>714</v>
      </c>
      <c r="AE342" s="7" t="s">
        <v>715</v>
      </c>
      <c r="AF342" s="7" t="s">
        <v>716</v>
      </c>
      <c r="AG342" s="7" t="s">
        <v>1859</v>
      </c>
      <c r="AH342" s="7" t="s">
        <v>1860</v>
      </c>
      <c r="AI342" s="7" t="s">
        <v>1591</v>
      </c>
      <c r="AJ342" s="7" t="s">
        <v>1592</v>
      </c>
      <c r="AK342" s="7" t="s">
        <v>1578</v>
      </c>
      <c r="AL342" s="7" t="s">
        <v>1861</v>
      </c>
      <c r="AM342" s="7" t="s">
        <v>1862</v>
      </c>
      <c r="AN342" s="7" t="s">
        <v>1863</v>
      </c>
      <c r="AO342" s="7" t="s">
        <v>1864</v>
      </c>
      <c r="AP342" s="7" t="s">
        <v>1865</v>
      </c>
      <c r="AQ342" s="7" t="s">
        <v>1866</v>
      </c>
      <c r="AR342" s="7" t="s">
        <v>1867</v>
      </c>
      <c r="AS342" s="7" t="s">
        <v>1868</v>
      </c>
    </row>
    <row r="343" spans="1:47" ht="78" customHeight="1" x14ac:dyDescent="0.4">
      <c r="A343" s="67" t="s">
        <v>520</v>
      </c>
      <c r="B343" t="e">
        <f>_xlfn.XLOOKUP(A343,'Product info'!A:A,'Product info'!C:C,,2)</f>
        <v>#N/A</v>
      </c>
      <c r="C343" s="69" t="s">
        <v>688</v>
      </c>
      <c r="D343" s="7" t="s">
        <v>689</v>
      </c>
      <c r="E343" s="7" t="s">
        <v>690</v>
      </c>
      <c r="F343" s="7" t="s">
        <v>691</v>
      </c>
      <c r="G343" s="7" t="s">
        <v>692</v>
      </c>
      <c r="H343" s="7" t="s">
        <v>693</v>
      </c>
      <c r="I343" s="7" t="s">
        <v>694</v>
      </c>
      <c r="J343" s="7" t="s">
        <v>695</v>
      </c>
      <c r="K343" s="7" t="s">
        <v>696</v>
      </c>
      <c r="L343" s="7" t="s">
        <v>697</v>
      </c>
      <c r="M343" s="7" t="s">
        <v>698</v>
      </c>
      <c r="N343" s="7" t="s">
        <v>699</v>
      </c>
      <c r="O343" s="7" t="s">
        <v>700</v>
      </c>
      <c r="P343" s="7" t="s">
        <v>701</v>
      </c>
      <c r="Q343" s="7" t="s">
        <v>702</v>
      </c>
      <c r="R343" s="7" t="s">
        <v>703</v>
      </c>
      <c r="S343" s="7" t="s">
        <v>704</v>
      </c>
      <c r="T343" s="7" t="s">
        <v>705</v>
      </c>
      <c r="U343" s="7" t="s">
        <v>706</v>
      </c>
      <c r="V343" s="7" t="s">
        <v>707</v>
      </c>
      <c r="W343" s="7" t="s">
        <v>708</v>
      </c>
      <c r="X343" s="7" t="s">
        <v>709</v>
      </c>
      <c r="Y343" s="7" t="s">
        <v>710</v>
      </c>
      <c r="Z343" s="7" t="s">
        <v>711</v>
      </c>
      <c r="AA343" s="7" t="s">
        <v>712</v>
      </c>
      <c r="AB343" s="7" t="s">
        <v>694</v>
      </c>
      <c r="AC343" s="7" t="s">
        <v>713</v>
      </c>
      <c r="AD343" s="7" t="s">
        <v>714</v>
      </c>
      <c r="AE343" s="7" t="s">
        <v>715</v>
      </c>
      <c r="AF343" s="7" t="s">
        <v>716</v>
      </c>
      <c r="AG343" s="7" t="s">
        <v>1859</v>
      </c>
      <c r="AH343" s="7" t="s">
        <v>1860</v>
      </c>
      <c r="AI343" s="7" t="s">
        <v>1591</v>
      </c>
      <c r="AJ343" s="7" t="s">
        <v>1592</v>
      </c>
      <c r="AK343" s="7" t="s">
        <v>1578</v>
      </c>
      <c r="AL343" s="7" t="s">
        <v>1861</v>
      </c>
      <c r="AM343" s="7" t="s">
        <v>1862</v>
      </c>
      <c r="AN343" s="7" t="s">
        <v>1863</v>
      </c>
      <c r="AO343" s="7" t="s">
        <v>1864</v>
      </c>
      <c r="AP343" s="7" t="s">
        <v>1865</v>
      </c>
      <c r="AQ343" s="7" t="s">
        <v>1866</v>
      </c>
      <c r="AR343" s="7" t="s">
        <v>1867</v>
      </c>
      <c r="AS343" s="7" t="s">
        <v>1868</v>
      </c>
    </row>
    <row r="344" spans="1:47" ht="78" customHeight="1" x14ac:dyDescent="0.4">
      <c r="A344" s="67" t="s">
        <v>519</v>
      </c>
      <c r="B344" t="e">
        <f>_xlfn.XLOOKUP(A344,'Product info'!A:A,'Product info'!C:C,,2)</f>
        <v>#N/A</v>
      </c>
      <c r="C344" s="69" t="s">
        <v>688</v>
      </c>
      <c r="D344" s="7" t="s">
        <v>689</v>
      </c>
      <c r="E344" s="7" t="s">
        <v>690</v>
      </c>
      <c r="F344" s="7" t="s">
        <v>691</v>
      </c>
      <c r="G344" s="7" t="s">
        <v>692</v>
      </c>
      <c r="H344" s="7" t="s">
        <v>693</v>
      </c>
      <c r="I344" s="7" t="s">
        <v>694</v>
      </c>
      <c r="J344" s="7" t="s">
        <v>695</v>
      </c>
      <c r="K344" s="7" t="s">
        <v>696</v>
      </c>
      <c r="L344" s="7" t="s">
        <v>697</v>
      </c>
      <c r="M344" s="7" t="s">
        <v>698</v>
      </c>
      <c r="N344" s="7" t="s">
        <v>699</v>
      </c>
      <c r="O344" s="7" t="s">
        <v>700</v>
      </c>
      <c r="P344" s="7" t="s">
        <v>701</v>
      </c>
      <c r="Q344" s="7" t="s">
        <v>702</v>
      </c>
      <c r="R344" s="7" t="s">
        <v>703</v>
      </c>
      <c r="S344" s="7" t="s">
        <v>704</v>
      </c>
      <c r="T344" s="7" t="s">
        <v>705</v>
      </c>
      <c r="U344" s="7" t="s">
        <v>706</v>
      </c>
      <c r="V344" s="7" t="s">
        <v>707</v>
      </c>
      <c r="W344" s="7" t="s">
        <v>708</v>
      </c>
      <c r="X344" s="7" t="s">
        <v>709</v>
      </c>
      <c r="Y344" s="7" t="s">
        <v>710</v>
      </c>
      <c r="Z344" s="7" t="s">
        <v>711</v>
      </c>
      <c r="AA344" s="7" t="s">
        <v>712</v>
      </c>
      <c r="AB344" s="7" t="s">
        <v>694</v>
      </c>
      <c r="AC344" s="7" t="s">
        <v>713</v>
      </c>
      <c r="AD344" s="7" t="s">
        <v>714</v>
      </c>
      <c r="AE344" s="7" t="s">
        <v>715</v>
      </c>
      <c r="AF344" s="7" t="s">
        <v>716</v>
      </c>
      <c r="AG344" s="7" t="s">
        <v>1859</v>
      </c>
      <c r="AH344" s="7" t="s">
        <v>1860</v>
      </c>
      <c r="AI344" s="7" t="s">
        <v>1591</v>
      </c>
      <c r="AJ344" s="7" t="s">
        <v>1592</v>
      </c>
      <c r="AK344" s="7" t="s">
        <v>1578</v>
      </c>
      <c r="AL344" s="7" t="s">
        <v>1861</v>
      </c>
      <c r="AM344" s="7" t="s">
        <v>1862</v>
      </c>
      <c r="AN344" s="7" t="s">
        <v>1863</v>
      </c>
      <c r="AO344" s="7" t="s">
        <v>1864</v>
      </c>
      <c r="AP344" s="7" t="s">
        <v>1865</v>
      </c>
      <c r="AQ344" s="7" t="s">
        <v>1866</v>
      </c>
      <c r="AR344" s="7" t="s">
        <v>1867</v>
      </c>
      <c r="AS344" s="7" t="s">
        <v>1868</v>
      </c>
    </row>
    <row r="345" spans="1:47" ht="78" customHeight="1" x14ac:dyDescent="0.4">
      <c r="A345" s="67" t="s">
        <v>524</v>
      </c>
      <c r="B345" t="e">
        <f>_xlfn.XLOOKUP(A345,'Product info'!A:A,'Product info'!C:C,,2)</f>
        <v>#N/A</v>
      </c>
      <c r="C345" s="69" t="s">
        <v>688</v>
      </c>
      <c r="D345" s="7" t="s">
        <v>689</v>
      </c>
      <c r="E345" s="7" t="s">
        <v>690</v>
      </c>
      <c r="F345" s="7" t="s">
        <v>691</v>
      </c>
      <c r="G345" s="7" t="s">
        <v>692</v>
      </c>
      <c r="H345" s="7" t="s">
        <v>693</v>
      </c>
      <c r="I345" s="7" t="s">
        <v>694</v>
      </c>
      <c r="J345" s="7" t="s">
        <v>695</v>
      </c>
      <c r="K345" s="7" t="s">
        <v>696</v>
      </c>
      <c r="L345" s="7" t="s">
        <v>697</v>
      </c>
      <c r="M345" s="7" t="s">
        <v>698</v>
      </c>
      <c r="N345" s="7" t="s">
        <v>699</v>
      </c>
      <c r="O345" s="7" t="s">
        <v>700</v>
      </c>
      <c r="P345" s="7" t="s">
        <v>701</v>
      </c>
      <c r="Q345" s="7" t="s">
        <v>702</v>
      </c>
      <c r="R345" s="7" t="s">
        <v>703</v>
      </c>
      <c r="S345" s="7" t="s">
        <v>704</v>
      </c>
      <c r="T345" s="7" t="s">
        <v>705</v>
      </c>
      <c r="U345" s="7" t="s">
        <v>706</v>
      </c>
      <c r="V345" s="7" t="s">
        <v>707</v>
      </c>
      <c r="W345" s="7" t="s">
        <v>708</v>
      </c>
      <c r="X345" s="7" t="s">
        <v>709</v>
      </c>
      <c r="Y345" s="7" t="s">
        <v>710</v>
      </c>
      <c r="Z345" s="7" t="s">
        <v>711</v>
      </c>
      <c r="AA345" s="7" t="s">
        <v>712</v>
      </c>
      <c r="AB345" s="7" t="s">
        <v>694</v>
      </c>
      <c r="AC345" s="7" t="s">
        <v>713</v>
      </c>
      <c r="AD345" s="7" t="s">
        <v>714</v>
      </c>
      <c r="AE345" s="7" t="s">
        <v>715</v>
      </c>
      <c r="AF345" s="7" t="s">
        <v>716</v>
      </c>
      <c r="AG345" s="7" t="s">
        <v>1859</v>
      </c>
      <c r="AH345" s="7" t="s">
        <v>1860</v>
      </c>
      <c r="AI345" s="7" t="s">
        <v>1591</v>
      </c>
      <c r="AJ345" s="7" t="s">
        <v>1592</v>
      </c>
      <c r="AK345" s="7" t="s">
        <v>1578</v>
      </c>
      <c r="AL345" s="7" t="s">
        <v>1861</v>
      </c>
      <c r="AM345" s="7" t="s">
        <v>1862</v>
      </c>
      <c r="AN345" s="7" t="s">
        <v>1863</v>
      </c>
      <c r="AO345" s="7" t="s">
        <v>1864</v>
      </c>
      <c r="AP345" s="7" t="s">
        <v>1865</v>
      </c>
      <c r="AQ345" s="7" t="s">
        <v>1866</v>
      </c>
      <c r="AR345" s="7" t="s">
        <v>1867</v>
      </c>
      <c r="AS345" s="7" t="s">
        <v>1868</v>
      </c>
    </row>
    <row r="346" spans="1:47" ht="78" customHeight="1" x14ac:dyDescent="0.4">
      <c r="A346" s="67" t="s">
        <v>562</v>
      </c>
      <c r="B346" t="e">
        <f>_xlfn.XLOOKUP(A346,'Product info'!A:A,'Product info'!C:C,,2)</f>
        <v>#N/A</v>
      </c>
      <c r="C346" s="69" t="s">
        <v>688</v>
      </c>
      <c r="D346" s="7" t="s">
        <v>689</v>
      </c>
      <c r="E346" s="7" t="s">
        <v>690</v>
      </c>
      <c r="F346" s="7" t="s">
        <v>691</v>
      </c>
      <c r="G346" s="7" t="s">
        <v>692</v>
      </c>
      <c r="H346" s="7" t="s">
        <v>693</v>
      </c>
      <c r="I346" s="7" t="s">
        <v>694</v>
      </c>
      <c r="J346" s="7" t="s">
        <v>695</v>
      </c>
      <c r="K346" s="7" t="s">
        <v>696</v>
      </c>
      <c r="L346" s="7" t="s">
        <v>697</v>
      </c>
      <c r="M346" s="7" t="s">
        <v>698</v>
      </c>
      <c r="N346" s="7" t="s">
        <v>699</v>
      </c>
      <c r="O346" s="7" t="s">
        <v>700</v>
      </c>
      <c r="P346" s="7" t="s">
        <v>701</v>
      </c>
      <c r="Q346" s="7" t="s">
        <v>702</v>
      </c>
      <c r="R346" s="7" t="s">
        <v>703</v>
      </c>
      <c r="S346" s="7" t="s">
        <v>704</v>
      </c>
      <c r="T346" s="7" t="s">
        <v>705</v>
      </c>
      <c r="U346" s="7" t="s">
        <v>706</v>
      </c>
      <c r="V346" s="7" t="s">
        <v>707</v>
      </c>
      <c r="W346" s="7" t="s">
        <v>708</v>
      </c>
      <c r="X346" s="7" t="s">
        <v>709</v>
      </c>
      <c r="Y346" s="7" t="s">
        <v>710</v>
      </c>
      <c r="Z346" s="7" t="s">
        <v>711</v>
      </c>
      <c r="AA346" s="7" t="s">
        <v>712</v>
      </c>
      <c r="AB346" s="7" t="s">
        <v>694</v>
      </c>
      <c r="AC346" s="7" t="s">
        <v>713</v>
      </c>
      <c r="AD346" s="7" t="s">
        <v>714</v>
      </c>
      <c r="AE346" s="7" t="s">
        <v>715</v>
      </c>
      <c r="AF346" s="7" t="s">
        <v>716</v>
      </c>
      <c r="AG346" s="7" t="s">
        <v>1859</v>
      </c>
      <c r="AH346" s="7" t="s">
        <v>1860</v>
      </c>
      <c r="AI346" s="7" t="s">
        <v>1591</v>
      </c>
      <c r="AJ346" s="7" t="s">
        <v>1592</v>
      </c>
      <c r="AK346" s="7" t="s">
        <v>1578</v>
      </c>
      <c r="AL346" s="7" t="s">
        <v>1861</v>
      </c>
      <c r="AM346" s="7" t="s">
        <v>1862</v>
      </c>
      <c r="AN346" s="7" t="s">
        <v>1863</v>
      </c>
      <c r="AO346" s="7" t="s">
        <v>1864</v>
      </c>
      <c r="AP346" s="7" t="s">
        <v>1865</v>
      </c>
      <c r="AQ346" s="7" t="s">
        <v>1866</v>
      </c>
      <c r="AR346" s="7" t="s">
        <v>1867</v>
      </c>
      <c r="AS346" s="7" t="s">
        <v>1868</v>
      </c>
    </row>
    <row r="347" spans="1:47" ht="78" customHeight="1" x14ac:dyDescent="0.4">
      <c r="A347" s="67" t="s">
        <v>521</v>
      </c>
      <c r="B347" t="e">
        <f>_xlfn.XLOOKUP(A347,'Product info'!A:A,'Product info'!C:C,,2)</f>
        <v>#N/A</v>
      </c>
      <c r="C347" s="69" t="s">
        <v>688</v>
      </c>
      <c r="D347" s="7" t="s">
        <v>689</v>
      </c>
      <c r="E347" s="7" t="s">
        <v>690</v>
      </c>
      <c r="F347" s="7" t="s">
        <v>691</v>
      </c>
      <c r="G347" s="7" t="s">
        <v>692</v>
      </c>
      <c r="H347" s="7" t="s">
        <v>693</v>
      </c>
      <c r="I347" s="7" t="s">
        <v>694</v>
      </c>
      <c r="J347" s="7" t="s">
        <v>695</v>
      </c>
      <c r="K347" s="7" t="s">
        <v>696</v>
      </c>
      <c r="L347" s="7" t="s">
        <v>697</v>
      </c>
      <c r="M347" s="7" t="s">
        <v>698</v>
      </c>
      <c r="N347" s="7" t="s">
        <v>699</v>
      </c>
      <c r="O347" s="7" t="s">
        <v>700</v>
      </c>
      <c r="P347" s="7" t="s">
        <v>701</v>
      </c>
      <c r="Q347" s="7" t="s">
        <v>702</v>
      </c>
      <c r="R347" s="7" t="s">
        <v>703</v>
      </c>
      <c r="S347" s="7" t="s">
        <v>704</v>
      </c>
      <c r="T347" s="7" t="s">
        <v>705</v>
      </c>
      <c r="U347" s="7" t="s">
        <v>706</v>
      </c>
      <c r="V347" s="7" t="s">
        <v>707</v>
      </c>
      <c r="W347" s="7" t="s">
        <v>708</v>
      </c>
      <c r="X347" s="7" t="s">
        <v>709</v>
      </c>
      <c r="Y347" s="7" t="s">
        <v>710</v>
      </c>
      <c r="Z347" s="7" t="s">
        <v>711</v>
      </c>
      <c r="AA347" s="7" t="s">
        <v>712</v>
      </c>
      <c r="AB347" s="7" t="s">
        <v>694</v>
      </c>
      <c r="AC347" s="7" t="s">
        <v>713</v>
      </c>
      <c r="AD347" s="7" t="s">
        <v>714</v>
      </c>
      <c r="AE347" s="7" t="s">
        <v>715</v>
      </c>
      <c r="AF347" s="7" t="s">
        <v>716</v>
      </c>
      <c r="AG347" s="7" t="s">
        <v>1859</v>
      </c>
      <c r="AH347" s="7" t="s">
        <v>1860</v>
      </c>
      <c r="AI347" s="7" t="s">
        <v>1591</v>
      </c>
      <c r="AJ347" s="7" t="s">
        <v>1592</v>
      </c>
      <c r="AK347" s="7" t="s">
        <v>1578</v>
      </c>
      <c r="AL347" s="7" t="s">
        <v>1861</v>
      </c>
      <c r="AM347" s="7" t="s">
        <v>1862</v>
      </c>
      <c r="AN347" s="7" t="s">
        <v>1863</v>
      </c>
      <c r="AO347" s="7" t="s">
        <v>1864</v>
      </c>
      <c r="AP347" s="7" t="s">
        <v>1865</v>
      </c>
      <c r="AQ347" s="7" t="s">
        <v>1866</v>
      </c>
      <c r="AR347" s="7" t="s">
        <v>1867</v>
      </c>
      <c r="AS347" s="7" t="s">
        <v>1868</v>
      </c>
    </row>
    <row r="348" spans="1:47" ht="78" customHeight="1" x14ac:dyDescent="0.4">
      <c r="A348" s="67" t="s">
        <v>527</v>
      </c>
      <c r="B348" t="e">
        <f>_xlfn.XLOOKUP(A348,'Product info'!A:A,'Product info'!C:C,,2)</f>
        <v>#N/A</v>
      </c>
      <c r="C348" s="69" t="s">
        <v>688</v>
      </c>
      <c r="D348" s="7" t="s">
        <v>689</v>
      </c>
      <c r="E348" s="7" t="s">
        <v>690</v>
      </c>
      <c r="F348" s="7" t="s">
        <v>691</v>
      </c>
      <c r="G348" s="7" t="s">
        <v>692</v>
      </c>
      <c r="H348" s="7" t="s">
        <v>693</v>
      </c>
      <c r="I348" s="7" t="s">
        <v>694</v>
      </c>
      <c r="J348" s="7" t="s">
        <v>695</v>
      </c>
      <c r="K348" s="7" t="s">
        <v>696</v>
      </c>
      <c r="L348" s="7" t="s">
        <v>697</v>
      </c>
      <c r="M348" s="7" t="s">
        <v>698</v>
      </c>
      <c r="N348" s="7" t="s">
        <v>699</v>
      </c>
      <c r="O348" s="7" t="s">
        <v>700</v>
      </c>
      <c r="P348" s="7" t="s">
        <v>701</v>
      </c>
      <c r="Q348" s="7" t="s">
        <v>702</v>
      </c>
      <c r="R348" s="7" t="s">
        <v>703</v>
      </c>
      <c r="S348" s="7" t="s">
        <v>704</v>
      </c>
      <c r="T348" s="7" t="s">
        <v>705</v>
      </c>
      <c r="U348" s="7" t="s">
        <v>706</v>
      </c>
      <c r="V348" s="7" t="s">
        <v>707</v>
      </c>
      <c r="W348" s="7" t="s">
        <v>708</v>
      </c>
      <c r="X348" s="7" t="s">
        <v>709</v>
      </c>
      <c r="Y348" s="7" t="s">
        <v>710</v>
      </c>
      <c r="Z348" s="7" t="s">
        <v>711</v>
      </c>
      <c r="AA348" s="7" t="s">
        <v>712</v>
      </c>
      <c r="AB348" s="7" t="s">
        <v>694</v>
      </c>
      <c r="AC348" s="7" t="s">
        <v>713</v>
      </c>
      <c r="AD348" s="7" t="s">
        <v>714</v>
      </c>
      <c r="AE348" s="7" t="s">
        <v>715</v>
      </c>
      <c r="AF348" s="7" t="s">
        <v>716</v>
      </c>
      <c r="AG348" s="7" t="s">
        <v>1859</v>
      </c>
      <c r="AH348" s="7" t="s">
        <v>1860</v>
      </c>
      <c r="AI348" s="7" t="s">
        <v>1591</v>
      </c>
      <c r="AJ348" s="7" t="s">
        <v>1592</v>
      </c>
      <c r="AK348" s="7" t="s">
        <v>1578</v>
      </c>
      <c r="AL348" s="7" t="s">
        <v>1861</v>
      </c>
      <c r="AM348" s="7" t="s">
        <v>1862</v>
      </c>
      <c r="AN348" s="7" t="s">
        <v>1863</v>
      </c>
      <c r="AO348" s="7" t="s">
        <v>1864</v>
      </c>
      <c r="AP348" s="7" t="s">
        <v>1865</v>
      </c>
      <c r="AQ348" s="7" t="s">
        <v>1866</v>
      </c>
      <c r="AR348" s="7" t="s">
        <v>1867</v>
      </c>
      <c r="AS348" s="7" t="s">
        <v>1868</v>
      </c>
      <c r="AT348" s="7" t="s">
        <v>1869</v>
      </c>
    </row>
    <row r="349" spans="1:47" ht="78" customHeight="1" x14ac:dyDescent="0.4">
      <c r="A349" s="67" t="s">
        <v>525</v>
      </c>
      <c r="B349" t="e">
        <f>_xlfn.XLOOKUP(A349,'Product info'!A:A,'Product info'!C:C,,2)</f>
        <v>#N/A</v>
      </c>
      <c r="C349" s="69" t="s">
        <v>688</v>
      </c>
      <c r="D349" s="7" t="s">
        <v>689</v>
      </c>
      <c r="E349" s="7" t="s">
        <v>690</v>
      </c>
      <c r="F349" s="7" t="s">
        <v>691</v>
      </c>
      <c r="G349" s="7" t="s">
        <v>692</v>
      </c>
      <c r="H349" s="7" t="s">
        <v>693</v>
      </c>
      <c r="I349" s="7" t="s">
        <v>694</v>
      </c>
      <c r="J349" s="7" t="s">
        <v>695</v>
      </c>
      <c r="K349" s="7" t="s">
        <v>696</v>
      </c>
      <c r="L349" s="7" t="s">
        <v>697</v>
      </c>
      <c r="M349" s="7" t="s">
        <v>698</v>
      </c>
      <c r="N349" s="7" t="s">
        <v>699</v>
      </c>
      <c r="O349" s="7" t="s">
        <v>700</v>
      </c>
      <c r="P349" s="7" t="s">
        <v>701</v>
      </c>
      <c r="Q349" s="7" t="s">
        <v>702</v>
      </c>
      <c r="R349" s="7" t="s">
        <v>703</v>
      </c>
      <c r="S349" s="7" t="s">
        <v>704</v>
      </c>
      <c r="T349" s="7" t="s">
        <v>705</v>
      </c>
      <c r="U349" s="7" t="s">
        <v>706</v>
      </c>
      <c r="V349" s="7" t="s">
        <v>707</v>
      </c>
      <c r="W349" s="7" t="s">
        <v>708</v>
      </c>
      <c r="X349" s="7" t="s">
        <v>709</v>
      </c>
      <c r="Y349" s="7" t="s">
        <v>710</v>
      </c>
      <c r="Z349" s="7" t="s">
        <v>711</v>
      </c>
      <c r="AA349" s="7" t="s">
        <v>712</v>
      </c>
      <c r="AB349" s="7" t="s">
        <v>694</v>
      </c>
      <c r="AC349" s="7" t="s">
        <v>713</v>
      </c>
      <c r="AD349" s="7" t="s">
        <v>714</v>
      </c>
      <c r="AE349" s="7" t="s">
        <v>715</v>
      </c>
      <c r="AF349" s="7" t="s">
        <v>716</v>
      </c>
      <c r="AG349" s="7" t="s">
        <v>1859</v>
      </c>
      <c r="AH349" s="7" t="s">
        <v>1860</v>
      </c>
      <c r="AI349" s="7" t="s">
        <v>1591</v>
      </c>
      <c r="AJ349" s="7" t="s">
        <v>1592</v>
      </c>
      <c r="AK349" s="7" t="s">
        <v>1862</v>
      </c>
      <c r="AL349" s="7" t="s">
        <v>1870</v>
      </c>
    </row>
    <row r="350" spans="1:47" ht="78" customHeight="1" x14ac:dyDescent="0.4">
      <c r="A350" s="67" t="s">
        <v>529</v>
      </c>
      <c r="B350" t="e">
        <f>_xlfn.XLOOKUP(A350,'Product info'!A:A,'Product info'!C:C,,2)</f>
        <v>#N/A</v>
      </c>
      <c r="C350" s="69" t="s">
        <v>688</v>
      </c>
      <c r="D350" s="7" t="s">
        <v>689</v>
      </c>
      <c r="E350" s="7" t="s">
        <v>690</v>
      </c>
      <c r="F350" s="7" t="s">
        <v>691</v>
      </c>
      <c r="G350" s="7" t="s">
        <v>692</v>
      </c>
      <c r="H350" s="7" t="s">
        <v>693</v>
      </c>
      <c r="I350" s="7" t="s">
        <v>694</v>
      </c>
      <c r="J350" s="7" t="s">
        <v>695</v>
      </c>
      <c r="K350" s="7" t="s">
        <v>696</v>
      </c>
      <c r="L350" s="7" t="s">
        <v>697</v>
      </c>
      <c r="M350" s="7" t="s">
        <v>698</v>
      </c>
      <c r="N350" s="7" t="s">
        <v>699</v>
      </c>
      <c r="O350" s="7" t="s">
        <v>700</v>
      </c>
      <c r="P350" s="7" t="s">
        <v>701</v>
      </c>
      <c r="Q350" s="7" t="s">
        <v>702</v>
      </c>
      <c r="R350" s="7" t="s">
        <v>703</v>
      </c>
      <c r="S350" s="7" t="s">
        <v>704</v>
      </c>
      <c r="T350" s="7" t="s">
        <v>705</v>
      </c>
      <c r="U350" s="7" t="s">
        <v>706</v>
      </c>
      <c r="V350" s="7" t="s">
        <v>707</v>
      </c>
      <c r="W350" s="7" t="s">
        <v>708</v>
      </c>
      <c r="X350" s="7" t="s">
        <v>709</v>
      </c>
      <c r="Y350" s="7" t="s">
        <v>710</v>
      </c>
      <c r="Z350" s="7" t="s">
        <v>711</v>
      </c>
      <c r="AA350" s="7" t="s">
        <v>712</v>
      </c>
      <c r="AB350" s="7" t="s">
        <v>694</v>
      </c>
      <c r="AC350" s="7" t="s">
        <v>713</v>
      </c>
      <c r="AD350" s="7" t="s">
        <v>714</v>
      </c>
      <c r="AE350" s="7" t="s">
        <v>715</v>
      </c>
      <c r="AF350" s="7" t="s">
        <v>716</v>
      </c>
      <c r="AG350" s="7" t="s">
        <v>1859</v>
      </c>
      <c r="AH350" s="7" t="s">
        <v>1860</v>
      </c>
      <c r="AI350" s="7" t="s">
        <v>1591</v>
      </c>
      <c r="AJ350" s="7" t="s">
        <v>1592</v>
      </c>
      <c r="AK350" s="7" t="s">
        <v>1578</v>
      </c>
      <c r="AL350" s="7" t="s">
        <v>1861</v>
      </c>
      <c r="AM350" s="7" t="s">
        <v>1862</v>
      </c>
      <c r="AN350" s="7" t="s">
        <v>1863</v>
      </c>
      <c r="AO350" s="7" t="s">
        <v>1864</v>
      </c>
      <c r="AP350" s="7" t="s">
        <v>1865</v>
      </c>
      <c r="AQ350" s="7" t="s">
        <v>1871</v>
      </c>
      <c r="AR350" s="7" t="s">
        <v>1872</v>
      </c>
      <c r="AS350" s="7" t="s">
        <v>1870</v>
      </c>
      <c r="AT350" s="7" t="s">
        <v>1868</v>
      </c>
      <c r="AU350" s="7" t="s">
        <v>1869</v>
      </c>
    </row>
    <row r="351" spans="1:47" ht="78" customHeight="1" x14ac:dyDescent="0.4">
      <c r="A351" s="67" t="s">
        <v>528</v>
      </c>
      <c r="B351" t="e">
        <f>_xlfn.XLOOKUP(A351,'Product info'!A:A,'Product info'!C:C,,2)</f>
        <v>#N/A</v>
      </c>
      <c r="C351" s="69" t="s">
        <v>688</v>
      </c>
      <c r="D351" s="7" t="s">
        <v>689</v>
      </c>
      <c r="E351" s="7" t="s">
        <v>690</v>
      </c>
      <c r="F351" s="7" t="s">
        <v>691</v>
      </c>
      <c r="G351" s="7" t="s">
        <v>692</v>
      </c>
      <c r="H351" s="7" t="s">
        <v>693</v>
      </c>
      <c r="I351" s="7" t="s">
        <v>694</v>
      </c>
      <c r="J351" s="7" t="s">
        <v>695</v>
      </c>
      <c r="K351" s="7" t="s">
        <v>696</v>
      </c>
      <c r="L351" s="7" t="s">
        <v>697</v>
      </c>
      <c r="M351" s="7" t="s">
        <v>698</v>
      </c>
      <c r="N351" s="7" t="s">
        <v>699</v>
      </c>
      <c r="O351" s="7" t="s">
        <v>700</v>
      </c>
      <c r="P351" s="7" t="s">
        <v>701</v>
      </c>
      <c r="Q351" s="7" t="s">
        <v>702</v>
      </c>
      <c r="R351" s="7" t="s">
        <v>703</v>
      </c>
      <c r="S351" s="7" t="s">
        <v>704</v>
      </c>
      <c r="T351" s="7" t="s">
        <v>705</v>
      </c>
      <c r="U351" s="7" t="s">
        <v>706</v>
      </c>
      <c r="V351" s="7" t="s">
        <v>707</v>
      </c>
      <c r="W351" s="7" t="s">
        <v>708</v>
      </c>
      <c r="X351" s="7" t="s">
        <v>709</v>
      </c>
      <c r="Y351" s="7" t="s">
        <v>710</v>
      </c>
      <c r="Z351" s="7" t="s">
        <v>711</v>
      </c>
      <c r="AA351" s="7" t="s">
        <v>712</v>
      </c>
      <c r="AB351" s="7" t="s">
        <v>694</v>
      </c>
      <c r="AC351" s="7" t="s">
        <v>713</v>
      </c>
      <c r="AD351" s="7" t="s">
        <v>714</v>
      </c>
      <c r="AE351" s="7" t="s">
        <v>715</v>
      </c>
      <c r="AF351" s="7" t="s">
        <v>716</v>
      </c>
      <c r="AG351" s="7" t="s">
        <v>1859</v>
      </c>
      <c r="AH351" s="7" t="s">
        <v>1860</v>
      </c>
      <c r="AI351" s="7" t="s">
        <v>1591</v>
      </c>
      <c r="AJ351" s="7" t="s">
        <v>1592</v>
      </c>
      <c r="AK351" s="7" t="s">
        <v>1578</v>
      </c>
      <c r="AL351" s="7" t="s">
        <v>1861</v>
      </c>
      <c r="AM351" s="7" t="s">
        <v>1862</v>
      </c>
      <c r="AN351" s="7" t="s">
        <v>1863</v>
      </c>
      <c r="AO351" s="7" t="s">
        <v>1864</v>
      </c>
      <c r="AP351" s="7" t="s">
        <v>1865</v>
      </c>
      <c r="AQ351" s="7" t="s">
        <v>1871</v>
      </c>
      <c r="AR351" s="7" t="s">
        <v>1872</v>
      </c>
      <c r="AS351" s="7" t="s">
        <v>1870</v>
      </c>
      <c r="AT351" s="7" t="s">
        <v>1868</v>
      </c>
      <c r="AU351" s="7" t="s">
        <v>1869</v>
      </c>
    </row>
    <row r="352" spans="1:47" ht="78" customHeight="1" x14ac:dyDescent="0.4">
      <c r="A352" s="67" t="s">
        <v>526</v>
      </c>
      <c r="B352" t="e">
        <f>_xlfn.XLOOKUP(A352,'Product info'!A:A,'Product info'!C:C,,2)</f>
        <v>#N/A</v>
      </c>
      <c r="C352" s="69" t="s">
        <v>688</v>
      </c>
      <c r="D352" s="7" t="s">
        <v>689</v>
      </c>
      <c r="E352" s="7" t="s">
        <v>690</v>
      </c>
      <c r="F352" s="7" t="s">
        <v>691</v>
      </c>
      <c r="G352" s="7" t="s">
        <v>692</v>
      </c>
      <c r="H352" s="7" t="s">
        <v>693</v>
      </c>
      <c r="I352" s="7" t="s">
        <v>694</v>
      </c>
      <c r="J352" s="7" t="s">
        <v>695</v>
      </c>
      <c r="K352" s="7" t="s">
        <v>696</v>
      </c>
      <c r="L352" s="7" t="s">
        <v>697</v>
      </c>
      <c r="M352" s="7" t="s">
        <v>698</v>
      </c>
      <c r="N352" s="7" t="s">
        <v>699</v>
      </c>
      <c r="O352" s="7" t="s">
        <v>700</v>
      </c>
      <c r="P352" s="7" t="s">
        <v>701</v>
      </c>
      <c r="Q352" s="7" t="s">
        <v>702</v>
      </c>
      <c r="R352" s="7" t="s">
        <v>703</v>
      </c>
      <c r="S352" s="7" t="s">
        <v>704</v>
      </c>
      <c r="T352" s="7" t="s">
        <v>705</v>
      </c>
      <c r="U352" s="7" t="s">
        <v>706</v>
      </c>
      <c r="V352" s="7" t="s">
        <v>707</v>
      </c>
      <c r="W352" s="7" t="s">
        <v>708</v>
      </c>
      <c r="X352" s="7" t="s">
        <v>709</v>
      </c>
      <c r="Y352" s="7" t="s">
        <v>710</v>
      </c>
      <c r="Z352" s="7" t="s">
        <v>711</v>
      </c>
      <c r="AA352" s="7" t="s">
        <v>712</v>
      </c>
      <c r="AB352" s="7" t="s">
        <v>694</v>
      </c>
      <c r="AC352" s="7" t="s">
        <v>713</v>
      </c>
      <c r="AD352" s="7" t="s">
        <v>714</v>
      </c>
      <c r="AE352" s="7" t="s">
        <v>715</v>
      </c>
      <c r="AF352" s="7" t="s">
        <v>716</v>
      </c>
      <c r="AG352" s="7" t="s">
        <v>1859</v>
      </c>
      <c r="AH352" s="7" t="s">
        <v>1860</v>
      </c>
      <c r="AI352" s="7" t="s">
        <v>1591</v>
      </c>
      <c r="AJ352" s="7" t="s">
        <v>1592</v>
      </c>
      <c r="AK352" s="7" t="s">
        <v>1862</v>
      </c>
      <c r="AL352" s="7" t="s">
        <v>1870</v>
      </c>
      <c r="AM352" s="7" t="s">
        <v>1869</v>
      </c>
    </row>
    <row r="353" spans="1:57" ht="78" customHeight="1" x14ac:dyDescent="0.4">
      <c r="A353" s="67" t="s">
        <v>532</v>
      </c>
      <c r="B353" t="e">
        <f>_xlfn.XLOOKUP(A353,'Product info'!A:A,'Product info'!C:C,,2)</f>
        <v>#N/A</v>
      </c>
      <c r="C353" s="69" t="s">
        <v>688</v>
      </c>
      <c r="D353" s="7" t="s">
        <v>689</v>
      </c>
      <c r="E353" s="7" t="s">
        <v>690</v>
      </c>
      <c r="F353" s="7" t="s">
        <v>691</v>
      </c>
      <c r="G353" s="7" t="s">
        <v>692</v>
      </c>
      <c r="H353" s="7" t="s">
        <v>693</v>
      </c>
      <c r="I353" s="7" t="s">
        <v>694</v>
      </c>
      <c r="J353" s="7" t="s">
        <v>695</v>
      </c>
      <c r="K353" s="7" t="s">
        <v>696</v>
      </c>
      <c r="L353" s="7" t="s">
        <v>697</v>
      </c>
      <c r="M353" s="7" t="s">
        <v>698</v>
      </c>
      <c r="N353" s="7" t="s">
        <v>699</v>
      </c>
      <c r="O353" s="7" t="s">
        <v>700</v>
      </c>
      <c r="P353" s="7" t="s">
        <v>701</v>
      </c>
      <c r="Q353" s="7" t="s">
        <v>702</v>
      </c>
      <c r="R353" s="7" t="s">
        <v>703</v>
      </c>
      <c r="S353" s="7" t="s">
        <v>704</v>
      </c>
      <c r="T353" s="7" t="s">
        <v>705</v>
      </c>
      <c r="U353" s="7" t="s">
        <v>706</v>
      </c>
      <c r="V353" s="7" t="s">
        <v>707</v>
      </c>
      <c r="W353" s="7" t="s">
        <v>708</v>
      </c>
      <c r="X353" s="7" t="s">
        <v>709</v>
      </c>
      <c r="Y353" s="7" t="s">
        <v>710</v>
      </c>
      <c r="Z353" s="7" t="s">
        <v>711</v>
      </c>
      <c r="AA353" s="7" t="s">
        <v>712</v>
      </c>
      <c r="AB353" s="7" t="s">
        <v>694</v>
      </c>
      <c r="AC353" s="7" t="s">
        <v>713</v>
      </c>
      <c r="AD353" s="7" t="s">
        <v>714</v>
      </c>
      <c r="AE353" s="7" t="s">
        <v>715</v>
      </c>
      <c r="AF353" s="7" t="s">
        <v>716</v>
      </c>
      <c r="AG353" s="7" t="s">
        <v>1859</v>
      </c>
      <c r="AH353" s="7" t="s">
        <v>1860</v>
      </c>
      <c r="AI353" s="7" t="s">
        <v>1591</v>
      </c>
      <c r="AJ353" s="7" t="s">
        <v>1592</v>
      </c>
      <c r="AK353" s="7" t="s">
        <v>1578</v>
      </c>
      <c r="AL353" s="7" t="s">
        <v>1861</v>
      </c>
      <c r="AM353" s="7" t="s">
        <v>1862</v>
      </c>
      <c r="AN353" s="7" t="s">
        <v>1863</v>
      </c>
      <c r="AO353" s="7" t="s">
        <v>1864</v>
      </c>
      <c r="AP353" s="7" t="s">
        <v>1865</v>
      </c>
      <c r="AQ353" s="7" t="s">
        <v>1871</v>
      </c>
      <c r="AR353" s="7" t="s">
        <v>1872</v>
      </c>
      <c r="AS353" s="7" t="s">
        <v>1870</v>
      </c>
      <c r="AT353" s="7" t="s">
        <v>1868</v>
      </c>
      <c r="AU353" s="7" t="s">
        <v>1869</v>
      </c>
    </row>
    <row r="354" spans="1:57" ht="78" customHeight="1" x14ac:dyDescent="0.4">
      <c r="A354" s="67" t="s">
        <v>531</v>
      </c>
      <c r="B354" t="e">
        <f>_xlfn.XLOOKUP(A354,'Product info'!A:A,'Product info'!C:C,,2)</f>
        <v>#N/A</v>
      </c>
      <c r="C354" s="69" t="s">
        <v>688</v>
      </c>
      <c r="D354" s="7" t="s">
        <v>689</v>
      </c>
      <c r="E354" s="7" t="s">
        <v>690</v>
      </c>
      <c r="F354" s="7" t="s">
        <v>691</v>
      </c>
      <c r="G354" s="7" t="s">
        <v>692</v>
      </c>
      <c r="H354" s="7" t="s">
        <v>693</v>
      </c>
      <c r="I354" s="7" t="s">
        <v>694</v>
      </c>
      <c r="J354" s="7" t="s">
        <v>695</v>
      </c>
      <c r="K354" s="7" t="s">
        <v>696</v>
      </c>
      <c r="L354" s="7" t="s">
        <v>697</v>
      </c>
      <c r="M354" s="7" t="s">
        <v>698</v>
      </c>
      <c r="N354" s="7" t="s">
        <v>699</v>
      </c>
      <c r="O354" s="7" t="s">
        <v>700</v>
      </c>
      <c r="P354" s="7" t="s">
        <v>701</v>
      </c>
      <c r="Q354" s="7" t="s">
        <v>702</v>
      </c>
      <c r="R354" s="7" t="s">
        <v>703</v>
      </c>
      <c r="S354" s="7" t="s">
        <v>704</v>
      </c>
      <c r="T354" s="7" t="s">
        <v>705</v>
      </c>
      <c r="U354" s="7" t="s">
        <v>706</v>
      </c>
      <c r="V354" s="7" t="s">
        <v>707</v>
      </c>
      <c r="W354" s="7" t="s">
        <v>708</v>
      </c>
      <c r="X354" s="7" t="s">
        <v>709</v>
      </c>
      <c r="Y354" s="7" t="s">
        <v>710</v>
      </c>
      <c r="Z354" s="7" t="s">
        <v>711</v>
      </c>
      <c r="AA354" s="7" t="s">
        <v>712</v>
      </c>
      <c r="AB354" s="7" t="s">
        <v>694</v>
      </c>
      <c r="AC354" s="7" t="s">
        <v>713</v>
      </c>
      <c r="AD354" s="7" t="s">
        <v>714</v>
      </c>
      <c r="AE354" s="7" t="s">
        <v>715</v>
      </c>
      <c r="AF354" s="7" t="s">
        <v>716</v>
      </c>
      <c r="AG354" s="7" t="s">
        <v>1859</v>
      </c>
      <c r="AH354" s="7" t="s">
        <v>1860</v>
      </c>
      <c r="AI354" s="7" t="s">
        <v>1591</v>
      </c>
      <c r="AJ354" s="7" t="s">
        <v>1592</v>
      </c>
      <c r="AK354" s="7" t="s">
        <v>1578</v>
      </c>
      <c r="AL354" s="7" t="s">
        <v>1861</v>
      </c>
      <c r="AM354" s="7" t="s">
        <v>1862</v>
      </c>
      <c r="AN354" s="7" t="s">
        <v>1863</v>
      </c>
      <c r="AO354" s="7" t="s">
        <v>1864</v>
      </c>
      <c r="AP354" s="7" t="s">
        <v>1865</v>
      </c>
      <c r="AQ354" s="7" t="s">
        <v>1871</v>
      </c>
      <c r="AR354" s="7" t="s">
        <v>1872</v>
      </c>
      <c r="AS354" s="7" t="s">
        <v>1870</v>
      </c>
      <c r="AT354" s="7" t="s">
        <v>1868</v>
      </c>
      <c r="AU354" s="7" t="s">
        <v>1869</v>
      </c>
    </row>
    <row r="355" spans="1:57" ht="78" customHeight="1" x14ac:dyDescent="0.4">
      <c r="A355" s="67" t="s">
        <v>530</v>
      </c>
      <c r="B355" t="e">
        <f>_xlfn.XLOOKUP(A355,'Product info'!A:A,'Product info'!C:C,,2)</f>
        <v>#N/A</v>
      </c>
      <c r="C355" s="69" t="s">
        <v>688</v>
      </c>
      <c r="D355" s="7" t="s">
        <v>689</v>
      </c>
      <c r="E355" s="7" t="s">
        <v>690</v>
      </c>
      <c r="F355" s="7" t="s">
        <v>691</v>
      </c>
      <c r="G355" s="7" t="s">
        <v>692</v>
      </c>
      <c r="H355" s="7" t="s">
        <v>693</v>
      </c>
      <c r="I355" s="7" t="s">
        <v>694</v>
      </c>
      <c r="J355" s="7" t="s">
        <v>695</v>
      </c>
      <c r="K355" s="7" t="s">
        <v>696</v>
      </c>
      <c r="L355" s="7" t="s">
        <v>697</v>
      </c>
      <c r="M355" s="7" t="s">
        <v>698</v>
      </c>
      <c r="N355" s="7" t="s">
        <v>699</v>
      </c>
      <c r="O355" s="7" t="s">
        <v>700</v>
      </c>
      <c r="P355" s="7" t="s">
        <v>701</v>
      </c>
      <c r="Q355" s="7" t="s">
        <v>702</v>
      </c>
      <c r="R355" s="7" t="s">
        <v>703</v>
      </c>
      <c r="S355" s="7" t="s">
        <v>704</v>
      </c>
      <c r="T355" s="7" t="s">
        <v>705</v>
      </c>
      <c r="U355" s="7" t="s">
        <v>706</v>
      </c>
      <c r="V355" s="7" t="s">
        <v>707</v>
      </c>
      <c r="W355" s="7" t="s">
        <v>708</v>
      </c>
      <c r="X355" s="7" t="s">
        <v>709</v>
      </c>
      <c r="Y355" s="7" t="s">
        <v>710</v>
      </c>
      <c r="Z355" s="7" t="s">
        <v>711</v>
      </c>
      <c r="AA355" s="7" t="s">
        <v>712</v>
      </c>
      <c r="AB355" s="7" t="s">
        <v>694</v>
      </c>
      <c r="AC355" s="7" t="s">
        <v>713</v>
      </c>
      <c r="AD355" s="7" t="s">
        <v>714</v>
      </c>
      <c r="AE355" s="7" t="s">
        <v>715</v>
      </c>
      <c r="AF355" s="7" t="s">
        <v>716</v>
      </c>
      <c r="AG355" s="7" t="s">
        <v>1859</v>
      </c>
      <c r="AH355" s="7" t="s">
        <v>1860</v>
      </c>
      <c r="AI355" s="7" t="s">
        <v>1591</v>
      </c>
      <c r="AJ355" s="7" t="s">
        <v>1592</v>
      </c>
      <c r="AK355" s="7" t="s">
        <v>1578</v>
      </c>
      <c r="AL355" s="7" t="s">
        <v>1861</v>
      </c>
      <c r="AM355" s="7" t="s">
        <v>1862</v>
      </c>
      <c r="AN355" s="7" t="s">
        <v>1863</v>
      </c>
      <c r="AO355" s="7" t="s">
        <v>1864</v>
      </c>
      <c r="AP355" s="7" t="s">
        <v>1865</v>
      </c>
      <c r="AQ355" s="7" t="s">
        <v>1866</v>
      </c>
      <c r="AR355" s="7" t="s">
        <v>1867</v>
      </c>
      <c r="AS355" s="7" t="s">
        <v>1868</v>
      </c>
      <c r="AT355" s="7" t="s">
        <v>1869</v>
      </c>
    </row>
    <row r="356" spans="1:57" ht="78" customHeight="1" x14ac:dyDescent="0.4">
      <c r="A356" s="67" t="s">
        <v>283</v>
      </c>
      <c r="B356" t="e">
        <f>_xlfn.XLOOKUP(A356,'Product info'!A:A,'Product info'!C:C,,2)</f>
        <v>#N/A</v>
      </c>
      <c r="C356" s="69" t="s">
        <v>688</v>
      </c>
      <c r="D356" s="7" t="s">
        <v>689</v>
      </c>
      <c r="E356" s="7" t="s">
        <v>690</v>
      </c>
      <c r="F356" s="7" t="s">
        <v>691</v>
      </c>
      <c r="G356" s="7" t="s">
        <v>692</v>
      </c>
      <c r="H356" s="7" t="s">
        <v>693</v>
      </c>
      <c r="I356" s="7" t="s">
        <v>694</v>
      </c>
      <c r="J356" s="7" t="s">
        <v>695</v>
      </c>
      <c r="K356" s="7" t="s">
        <v>696</v>
      </c>
      <c r="L356" s="7" t="s">
        <v>697</v>
      </c>
      <c r="M356" s="7" t="s">
        <v>698</v>
      </c>
      <c r="N356" s="7" t="s">
        <v>699</v>
      </c>
      <c r="O356" s="7" t="s">
        <v>700</v>
      </c>
      <c r="P356" s="7" t="s">
        <v>701</v>
      </c>
      <c r="Q356" s="7" t="s">
        <v>702</v>
      </c>
      <c r="R356" s="7" t="s">
        <v>703</v>
      </c>
      <c r="S356" s="7" t="s">
        <v>704</v>
      </c>
      <c r="T356" s="7" t="s">
        <v>705</v>
      </c>
      <c r="U356" s="7" t="s">
        <v>706</v>
      </c>
      <c r="V356" s="7" t="s">
        <v>707</v>
      </c>
      <c r="W356" s="7" t="s">
        <v>708</v>
      </c>
      <c r="X356" s="7" t="s">
        <v>709</v>
      </c>
      <c r="Y356" s="7" t="s">
        <v>710</v>
      </c>
      <c r="Z356" s="7" t="s">
        <v>711</v>
      </c>
      <c r="AA356" s="7" t="s">
        <v>712</v>
      </c>
      <c r="AB356" s="7" t="s">
        <v>694</v>
      </c>
      <c r="AC356" s="7" t="s">
        <v>713</v>
      </c>
      <c r="AD356" s="7" t="s">
        <v>714</v>
      </c>
      <c r="AE356" s="7" t="s">
        <v>715</v>
      </c>
      <c r="AF356" s="7" t="s">
        <v>716</v>
      </c>
      <c r="AG356" s="7" t="s">
        <v>1873</v>
      </c>
      <c r="AH356" s="7" t="s">
        <v>1874</v>
      </c>
      <c r="AI356" s="7" t="s">
        <v>1875</v>
      </c>
      <c r="AJ356" s="7" t="s">
        <v>1876</v>
      </c>
      <c r="AK356" s="7" t="s">
        <v>1877</v>
      </c>
      <c r="AL356" s="7" t="s">
        <v>1878</v>
      </c>
      <c r="AM356" s="7" t="s">
        <v>1879</v>
      </c>
      <c r="AN356" s="7" t="s">
        <v>1880</v>
      </c>
      <c r="AO356" s="7" t="s">
        <v>1881</v>
      </c>
      <c r="AP356" s="7" t="s">
        <v>1882</v>
      </c>
      <c r="AQ356" s="7" t="s">
        <v>1883</v>
      </c>
      <c r="AR356" s="7" t="s">
        <v>1884</v>
      </c>
      <c r="AS356" s="7" t="s">
        <v>1885</v>
      </c>
      <c r="AT356" s="7" t="s">
        <v>1886</v>
      </c>
      <c r="AU356" s="7" t="s">
        <v>1887</v>
      </c>
      <c r="AV356" s="7" t="s">
        <v>1888</v>
      </c>
      <c r="AW356" s="7" t="s">
        <v>1889</v>
      </c>
      <c r="AX356" s="7" t="s">
        <v>1460</v>
      </c>
      <c r="AY356" s="7" t="s">
        <v>1890</v>
      </c>
      <c r="AZ356" s="7" t="s">
        <v>1891</v>
      </c>
      <c r="BA356" s="7" t="s">
        <v>1892</v>
      </c>
      <c r="BB356" s="7" t="s">
        <v>1893</v>
      </c>
    </row>
    <row r="357" spans="1:57" ht="78" customHeight="1" x14ac:dyDescent="0.4">
      <c r="A357" s="67" t="s">
        <v>284</v>
      </c>
      <c r="B357" t="e">
        <f>_xlfn.XLOOKUP(A357,'Product info'!A:A,'Product info'!C:C,,2)</f>
        <v>#N/A</v>
      </c>
      <c r="C357" s="69" t="s">
        <v>688</v>
      </c>
      <c r="D357" s="7" t="s">
        <v>689</v>
      </c>
      <c r="E357" s="7" t="s">
        <v>690</v>
      </c>
      <c r="F357" s="7" t="s">
        <v>691</v>
      </c>
      <c r="G357" s="7" t="s">
        <v>692</v>
      </c>
      <c r="H357" s="7" t="s">
        <v>693</v>
      </c>
      <c r="I357" s="7" t="s">
        <v>694</v>
      </c>
      <c r="J357" s="7" t="s">
        <v>695</v>
      </c>
      <c r="K357" s="7" t="s">
        <v>696</v>
      </c>
      <c r="L357" s="7" t="s">
        <v>697</v>
      </c>
      <c r="M357" s="7" t="s">
        <v>698</v>
      </c>
      <c r="N357" s="7" t="s">
        <v>699</v>
      </c>
      <c r="O357" s="7" t="s">
        <v>700</v>
      </c>
      <c r="P357" s="7" t="s">
        <v>701</v>
      </c>
      <c r="Q357" s="7" t="s">
        <v>702</v>
      </c>
      <c r="R357" s="7" t="s">
        <v>703</v>
      </c>
      <c r="S357" s="7" t="s">
        <v>704</v>
      </c>
      <c r="T357" s="7" t="s">
        <v>705</v>
      </c>
      <c r="U357" s="7" t="s">
        <v>706</v>
      </c>
      <c r="V357" s="7" t="s">
        <v>707</v>
      </c>
      <c r="W357" s="7" t="s">
        <v>708</v>
      </c>
      <c r="X357" s="7" t="s">
        <v>709</v>
      </c>
      <c r="Y357" s="7" t="s">
        <v>710</v>
      </c>
      <c r="Z357" s="7" t="s">
        <v>711</v>
      </c>
      <c r="AA357" s="7" t="s">
        <v>712</v>
      </c>
      <c r="AB357" s="7" t="s">
        <v>694</v>
      </c>
      <c r="AC357" s="7" t="s">
        <v>713</v>
      </c>
      <c r="AD357" s="7" t="s">
        <v>714</v>
      </c>
      <c r="AE357" s="7" t="s">
        <v>715</v>
      </c>
      <c r="AF357" s="7" t="s">
        <v>716</v>
      </c>
      <c r="AG357" s="7" t="s">
        <v>1873</v>
      </c>
      <c r="AH357" s="7" t="s">
        <v>1874</v>
      </c>
      <c r="AI357" s="7" t="s">
        <v>1875</v>
      </c>
      <c r="AJ357" s="7" t="s">
        <v>1876</v>
      </c>
      <c r="AK357" s="7" t="s">
        <v>1877</v>
      </c>
      <c r="AL357" s="7" t="s">
        <v>1878</v>
      </c>
      <c r="AM357" s="7" t="s">
        <v>1879</v>
      </c>
      <c r="AN357" s="7" t="s">
        <v>1880</v>
      </c>
      <c r="AO357" s="7" t="s">
        <v>1881</v>
      </c>
      <c r="AP357" s="7" t="s">
        <v>1882</v>
      </c>
      <c r="AQ357" s="7" t="s">
        <v>1883</v>
      </c>
      <c r="AR357" s="7" t="s">
        <v>1884</v>
      </c>
      <c r="AS357" s="7" t="s">
        <v>1885</v>
      </c>
      <c r="AT357" s="7" t="s">
        <v>1886</v>
      </c>
      <c r="AU357" s="7" t="s">
        <v>1887</v>
      </c>
      <c r="AV357" s="7" t="s">
        <v>1888</v>
      </c>
      <c r="AW357" s="7" t="s">
        <v>1889</v>
      </c>
      <c r="AX357" s="7" t="s">
        <v>1460</v>
      </c>
      <c r="AY357" s="7" t="s">
        <v>1890</v>
      </c>
      <c r="AZ357" s="7" t="s">
        <v>1891</v>
      </c>
      <c r="BA357" s="7" t="s">
        <v>1892</v>
      </c>
      <c r="BB357" s="7" t="s">
        <v>1894</v>
      </c>
    </row>
    <row r="358" spans="1:57" ht="78" customHeight="1" x14ac:dyDescent="0.4">
      <c r="A358" s="67" t="s">
        <v>460</v>
      </c>
      <c r="B358" t="e">
        <f>_xlfn.XLOOKUP(A358,'Product info'!A:A,'Product info'!C:C,,2)</f>
        <v>#N/A</v>
      </c>
      <c r="C358" s="69" t="s">
        <v>688</v>
      </c>
      <c r="D358" s="7" t="s">
        <v>689</v>
      </c>
      <c r="E358" s="7" t="s">
        <v>690</v>
      </c>
      <c r="F358" s="7" t="s">
        <v>691</v>
      </c>
      <c r="G358" s="7" t="s">
        <v>692</v>
      </c>
      <c r="H358" s="7" t="s">
        <v>693</v>
      </c>
      <c r="I358" s="7" t="s">
        <v>694</v>
      </c>
      <c r="J358" s="7" t="s">
        <v>695</v>
      </c>
      <c r="K358" s="7" t="s">
        <v>696</v>
      </c>
      <c r="L358" s="7" t="s">
        <v>697</v>
      </c>
      <c r="M358" s="7" t="s">
        <v>698</v>
      </c>
      <c r="N358" s="7" t="s">
        <v>699</v>
      </c>
      <c r="O358" s="7" t="s">
        <v>700</v>
      </c>
      <c r="P358" s="7" t="s">
        <v>701</v>
      </c>
      <c r="Q358" s="7" t="s">
        <v>702</v>
      </c>
      <c r="R358" s="7" t="s">
        <v>703</v>
      </c>
      <c r="S358" s="7" t="s">
        <v>704</v>
      </c>
      <c r="T358" s="7" t="s">
        <v>705</v>
      </c>
      <c r="U358" s="7" t="s">
        <v>706</v>
      </c>
      <c r="V358" s="7" t="s">
        <v>707</v>
      </c>
      <c r="W358" s="7" t="s">
        <v>708</v>
      </c>
      <c r="X358" s="7" t="s">
        <v>709</v>
      </c>
      <c r="Y358" s="7" t="s">
        <v>710</v>
      </c>
      <c r="Z358" s="7" t="s">
        <v>711</v>
      </c>
      <c r="AA358" s="7" t="s">
        <v>712</v>
      </c>
      <c r="AB358" s="7" t="s">
        <v>694</v>
      </c>
      <c r="AC358" s="7" t="s">
        <v>713</v>
      </c>
      <c r="AD358" s="7" t="s">
        <v>714</v>
      </c>
      <c r="AE358" s="7" t="s">
        <v>715</v>
      </c>
      <c r="AF358" s="7" t="s">
        <v>716</v>
      </c>
      <c r="AG358" s="7" t="s">
        <v>1895</v>
      </c>
      <c r="AH358" s="7" t="s">
        <v>1896</v>
      </c>
      <c r="AI358" s="7" t="s">
        <v>1897</v>
      </c>
      <c r="AJ358" s="7" t="s">
        <v>1898</v>
      </c>
      <c r="AK358" s="7" t="s">
        <v>1899</v>
      </c>
      <c r="AL358" s="7" t="s">
        <v>1900</v>
      </c>
      <c r="AM358" s="7" t="s">
        <v>1901</v>
      </c>
      <c r="AN358" s="7" t="s">
        <v>1902</v>
      </c>
      <c r="AO358" s="7" t="s">
        <v>1903</v>
      </c>
      <c r="AP358" s="7" t="s">
        <v>1904</v>
      </c>
      <c r="AQ358" s="7" t="s">
        <v>1905</v>
      </c>
      <c r="AR358" s="7" t="s">
        <v>1906</v>
      </c>
      <c r="AS358" s="7" t="s">
        <v>1907</v>
      </c>
      <c r="AT358" s="7" t="s">
        <v>1908</v>
      </c>
      <c r="AU358" s="7" t="s">
        <v>1909</v>
      </c>
      <c r="AV358" s="7" t="s">
        <v>1910</v>
      </c>
    </row>
    <row r="359" spans="1:57" ht="78" customHeight="1" x14ac:dyDescent="0.4">
      <c r="A359" s="67" t="s">
        <v>461</v>
      </c>
      <c r="B359" t="e">
        <f>_xlfn.XLOOKUP(A359,'Product info'!A:A,'Product info'!C:C,,2)</f>
        <v>#N/A</v>
      </c>
      <c r="C359" s="69" t="s">
        <v>688</v>
      </c>
      <c r="D359" s="7" t="s">
        <v>689</v>
      </c>
      <c r="E359" s="7" t="s">
        <v>690</v>
      </c>
      <c r="F359" s="7" t="s">
        <v>691</v>
      </c>
      <c r="G359" s="7" t="s">
        <v>692</v>
      </c>
      <c r="H359" s="7" t="s">
        <v>693</v>
      </c>
      <c r="I359" s="7" t="s">
        <v>694</v>
      </c>
      <c r="J359" s="7" t="s">
        <v>695</v>
      </c>
      <c r="K359" s="7" t="s">
        <v>696</v>
      </c>
      <c r="L359" s="7" t="s">
        <v>697</v>
      </c>
      <c r="M359" s="7" t="s">
        <v>698</v>
      </c>
      <c r="N359" s="7" t="s">
        <v>699</v>
      </c>
      <c r="O359" s="7" t="s">
        <v>700</v>
      </c>
      <c r="P359" s="7" t="s">
        <v>701</v>
      </c>
      <c r="Q359" s="7" t="s">
        <v>702</v>
      </c>
      <c r="R359" s="7" t="s">
        <v>703</v>
      </c>
      <c r="S359" s="7" t="s">
        <v>704</v>
      </c>
      <c r="T359" s="7" t="s">
        <v>705</v>
      </c>
      <c r="U359" s="7" t="s">
        <v>706</v>
      </c>
      <c r="V359" s="7" t="s">
        <v>707</v>
      </c>
      <c r="W359" s="7" t="s">
        <v>708</v>
      </c>
      <c r="X359" s="7" t="s">
        <v>709</v>
      </c>
      <c r="Y359" s="7" t="s">
        <v>710</v>
      </c>
      <c r="Z359" s="7" t="s">
        <v>711</v>
      </c>
      <c r="AA359" s="7" t="s">
        <v>712</v>
      </c>
      <c r="AB359" s="7" t="s">
        <v>694</v>
      </c>
      <c r="AC359" s="7" t="s">
        <v>713</v>
      </c>
      <c r="AD359" s="7" t="s">
        <v>714</v>
      </c>
      <c r="AE359" s="7" t="s">
        <v>715</v>
      </c>
      <c r="AF359" s="7" t="s">
        <v>716</v>
      </c>
      <c r="AG359" s="7" t="s">
        <v>1895</v>
      </c>
      <c r="AH359" s="7" t="s">
        <v>1896</v>
      </c>
      <c r="AI359" s="7" t="s">
        <v>1897</v>
      </c>
      <c r="AJ359" s="7" t="s">
        <v>1898</v>
      </c>
      <c r="AK359" s="7" t="s">
        <v>1899</v>
      </c>
      <c r="AL359" s="7" t="s">
        <v>1900</v>
      </c>
      <c r="AM359" s="7" t="s">
        <v>1907</v>
      </c>
      <c r="AN359" s="7" t="s">
        <v>1908</v>
      </c>
      <c r="AO359" s="7" t="s">
        <v>1909</v>
      </c>
      <c r="AP359" s="7" t="s">
        <v>1910</v>
      </c>
    </row>
    <row r="360" spans="1:57" ht="78" customHeight="1" x14ac:dyDescent="0.4">
      <c r="A360" s="67" t="s">
        <v>459</v>
      </c>
      <c r="B360" t="e">
        <f>_xlfn.XLOOKUP(A360,'Product info'!A:A,'Product info'!C:C,,2)</f>
        <v>#N/A</v>
      </c>
      <c r="C360" s="69" t="s">
        <v>688</v>
      </c>
      <c r="D360" s="7" t="s">
        <v>689</v>
      </c>
      <c r="E360" s="7" t="s">
        <v>690</v>
      </c>
      <c r="F360" s="7" t="s">
        <v>691</v>
      </c>
      <c r="G360" s="7" t="s">
        <v>692</v>
      </c>
      <c r="H360" s="7" t="s">
        <v>693</v>
      </c>
      <c r="I360" s="7" t="s">
        <v>694</v>
      </c>
      <c r="J360" s="7" t="s">
        <v>695</v>
      </c>
      <c r="K360" s="7" t="s">
        <v>696</v>
      </c>
      <c r="L360" s="7" t="s">
        <v>697</v>
      </c>
      <c r="M360" s="7" t="s">
        <v>698</v>
      </c>
      <c r="N360" s="7" t="s">
        <v>699</v>
      </c>
      <c r="O360" s="7" t="s">
        <v>700</v>
      </c>
      <c r="P360" s="7" t="s">
        <v>701</v>
      </c>
      <c r="Q360" s="7" t="s">
        <v>702</v>
      </c>
      <c r="R360" s="7" t="s">
        <v>703</v>
      </c>
      <c r="S360" s="7" t="s">
        <v>704</v>
      </c>
      <c r="T360" s="7" t="s">
        <v>705</v>
      </c>
      <c r="U360" s="7" t="s">
        <v>706</v>
      </c>
      <c r="V360" s="7" t="s">
        <v>707</v>
      </c>
      <c r="W360" s="7" t="s">
        <v>708</v>
      </c>
      <c r="X360" s="7" t="s">
        <v>709</v>
      </c>
      <c r="Y360" s="7" t="s">
        <v>710</v>
      </c>
      <c r="Z360" s="7" t="s">
        <v>711</v>
      </c>
      <c r="AA360" s="7" t="s">
        <v>712</v>
      </c>
      <c r="AB360" s="7" t="s">
        <v>694</v>
      </c>
      <c r="AC360" s="7" t="s">
        <v>713</v>
      </c>
      <c r="AD360" s="7" t="s">
        <v>714</v>
      </c>
      <c r="AE360" s="7" t="s">
        <v>715</v>
      </c>
      <c r="AF360" s="7" t="s">
        <v>716</v>
      </c>
      <c r="AG360" s="7" t="s">
        <v>1895</v>
      </c>
      <c r="AH360" s="7" t="s">
        <v>1896</v>
      </c>
      <c r="AI360" s="7" t="s">
        <v>1897</v>
      </c>
      <c r="AJ360" s="7" t="s">
        <v>1898</v>
      </c>
      <c r="AK360" s="7" t="s">
        <v>1899</v>
      </c>
      <c r="AL360" s="7" t="s">
        <v>1900</v>
      </c>
      <c r="AM360" s="7" t="s">
        <v>1901</v>
      </c>
      <c r="AN360" s="7" t="s">
        <v>1907</v>
      </c>
      <c r="AO360" s="7" t="s">
        <v>1908</v>
      </c>
      <c r="AP360" s="7" t="s">
        <v>1909</v>
      </c>
      <c r="AQ360" s="7" t="s">
        <v>1910</v>
      </c>
    </row>
    <row r="361" spans="1:57" ht="78" customHeight="1" x14ac:dyDescent="0.4">
      <c r="A361" s="67" t="s">
        <v>256</v>
      </c>
      <c r="B361" t="e">
        <f>_xlfn.XLOOKUP(A361,'Product info'!A:A,'Product info'!C:C,,2)</f>
        <v>#N/A</v>
      </c>
      <c r="C361" s="69" t="s">
        <v>688</v>
      </c>
      <c r="D361" s="7" t="s">
        <v>689</v>
      </c>
      <c r="E361" s="7" t="s">
        <v>690</v>
      </c>
      <c r="F361" s="7" t="s">
        <v>691</v>
      </c>
      <c r="G361" s="7" t="s">
        <v>692</v>
      </c>
      <c r="H361" s="7" t="s">
        <v>693</v>
      </c>
      <c r="I361" s="7" t="s">
        <v>694</v>
      </c>
      <c r="J361" s="7" t="s">
        <v>695</v>
      </c>
      <c r="K361" s="7" t="s">
        <v>696</v>
      </c>
      <c r="L361" s="7" t="s">
        <v>697</v>
      </c>
      <c r="M361" s="7" t="s">
        <v>698</v>
      </c>
      <c r="N361" s="7" t="s">
        <v>699</v>
      </c>
      <c r="O361" s="7" t="s">
        <v>700</v>
      </c>
      <c r="P361" s="7" t="s">
        <v>701</v>
      </c>
      <c r="Q361" s="7" t="s">
        <v>702</v>
      </c>
      <c r="R361" s="7" t="s">
        <v>703</v>
      </c>
      <c r="S361" s="7" t="s">
        <v>704</v>
      </c>
      <c r="T361" s="7" t="s">
        <v>705</v>
      </c>
      <c r="U361" s="7" t="s">
        <v>706</v>
      </c>
      <c r="V361" s="7" t="s">
        <v>707</v>
      </c>
      <c r="W361" s="7" t="s">
        <v>708</v>
      </c>
      <c r="X361" s="7" t="s">
        <v>709</v>
      </c>
      <c r="Y361" s="7" t="s">
        <v>710</v>
      </c>
      <c r="Z361" s="7" t="s">
        <v>711</v>
      </c>
      <c r="AA361" s="7" t="s">
        <v>712</v>
      </c>
      <c r="AB361" s="7" t="s">
        <v>694</v>
      </c>
      <c r="AC361" s="7" t="s">
        <v>713</v>
      </c>
      <c r="AD361" s="7" t="s">
        <v>714</v>
      </c>
      <c r="AE361" s="7" t="s">
        <v>715</v>
      </c>
      <c r="AF361" s="7" t="s">
        <v>716</v>
      </c>
      <c r="AG361" s="7" t="s">
        <v>1911</v>
      </c>
      <c r="AH361" s="7" t="s">
        <v>1912</v>
      </c>
      <c r="AI361" s="7" t="s">
        <v>1913</v>
      </c>
      <c r="AJ361" s="7" t="s">
        <v>1914</v>
      </c>
      <c r="AK361" s="7" t="s">
        <v>1915</v>
      </c>
      <c r="AL361" s="7" t="s">
        <v>1916</v>
      </c>
      <c r="AM361" s="7" t="s">
        <v>1917</v>
      </c>
      <c r="AN361" s="7" t="s">
        <v>1918</v>
      </c>
      <c r="AO361" s="7" t="s">
        <v>1919</v>
      </c>
      <c r="AP361" s="7" t="s">
        <v>1920</v>
      </c>
      <c r="AQ361" s="7" t="s">
        <v>1921</v>
      </c>
      <c r="AR361" s="7" t="s">
        <v>1922</v>
      </c>
      <c r="AS361" s="7" t="s">
        <v>1923</v>
      </c>
      <c r="AT361" s="7" t="s">
        <v>1924</v>
      </c>
      <c r="AU361" s="7" t="s">
        <v>1925</v>
      </c>
    </row>
    <row r="362" spans="1:57" ht="78" customHeight="1" x14ac:dyDescent="0.4">
      <c r="A362" s="67" t="s">
        <v>257</v>
      </c>
      <c r="B362" t="e">
        <f>_xlfn.XLOOKUP(A362,'Product info'!A:A,'Product info'!C:C,,2)</f>
        <v>#N/A</v>
      </c>
      <c r="C362" s="69" t="s">
        <v>688</v>
      </c>
      <c r="D362" s="7" t="s">
        <v>689</v>
      </c>
      <c r="E362" s="7" t="s">
        <v>690</v>
      </c>
      <c r="F362" s="7" t="s">
        <v>691</v>
      </c>
      <c r="G362" s="7" t="s">
        <v>692</v>
      </c>
      <c r="H362" s="7" t="s">
        <v>693</v>
      </c>
      <c r="I362" s="7" t="s">
        <v>694</v>
      </c>
      <c r="J362" s="7" t="s">
        <v>695</v>
      </c>
      <c r="K362" s="7" t="s">
        <v>696</v>
      </c>
      <c r="L362" s="7" t="s">
        <v>697</v>
      </c>
      <c r="M362" s="7" t="s">
        <v>698</v>
      </c>
      <c r="N362" s="7" t="s">
        <v>699</v>
      </c>
      <c r="O362" s="7" t="s">
        <v>700</v>
      </c>
      <c r="P362" s="7" t="s">
        <v>701</v>
      </c>
      <c r="Q362" s="7" t="s">
        <v>702</v>
      </c>
      <c r="R362" s="7" t="s">
        <v>703</v>
      </c>
      <c r="S362" s="7" t="s">
        <v>704</v>
      </c>
      <c r="T362" s="7" t="s">
        <v>705</v>
      </c>
      <c r="U362" s="7" t="s">
        <v>706</v>
      </c>
      <c r="V362" s="7" t="s">
        <v>707</v>
      </c>
      <c r="W362" s="7" t="s">
        <v>708</v>
      </c>
      <c r="X362" s="7" t="s">
        <v>709</v>
      </c>
      <c r="Y362" s="7" t="s">
        <v>710</v>
      </c>
      <c r="Z362" s="7" t="s">
        <v>711</v>
      </c>
      <c r="AA362" s="7" t="s">
        <v>712</v>
      </c>
      <c r="AB362" s="7" t="s">
        <v>694</v>
      </c>
      <c r="AC362" s="7" t="s">
        <v>713</v>
      </c>
      <c r="AD362" s="7" t="s">
        <v>714</v>
      </c>
      <c r="AE362" s="7" t="s">
        <v>715</v>
      </c>
      <c r="AF362" s="7" t="s">
        <v>716</v>
      </c>
      <c r="AG362" s="7" t="s">
        <v>1911</v>
      </c>
      <c r="AH362" s="7" t="s">
        <v>1912</v>
      </c>
      <c r="AI362" s="7" t="s">
        <v>1913</v>
      </c>
      <c r="AJ362" s="7" t="s">
        <v>1926</v>
      </c>
      <c r="AK362" s="7" t="s">
        <v>1915</v>
      </c>
      <c r="AL362" s="7" t="s">
        <v>1916</v>
      </c>
      <c r="AM362" s="7" t="s">
        <v>1917</v>
      </c>
      <c r="AN362" s="7" t="s">
        <v>1927</v>
      </c>
      <c r="AO362" s="7" t="s">
        <v>1919</v>
      </c>
      <c r="AP362" s="7" t="s">
        <v>1920</v>
      </c>
      <c r="AQ362" s="7" t="s">
        <v>1928</v>
      </c>
      <c r="AR362" s="7" t="s">
        <v>1922</v>
      </c>
      <c r="AS362" s="7" t="s">
        <v>1923</v>
      </c>
      <c r="AT362" s="7" t="s">
        <v>1924</v>
      </c>
      <c r="AU362" s="7" t="s">
        <v>1925</v>
      </c>
    </row>
    <row r="363" spans="1:57" ht="78" customHeight="1" x14ac:dyDescent="0.4">
      <c r="A363" s="67" t="s">
        <v>236</v>
      </c>
      <c r="B363" t="e">
        <f>_xlfn.XLOOKUP(A363,'Product info'!A:A,'Product info'!C:C,,2)</f>
        <v>#N/A</v>
      </c>
      <c r="C363" s="69" t="s">
        <v>688</v>
      </c>
      <c r="D363" s="7" t="s">
        <v>689</v>
      </c>
      <c r="E363" s="7" t="s">
        <v>690</v>
      </c>
      <c r="F363" s="7" t="s">
        <v>691</v>
      </c>
      <c r="G363" s="7" t="s">
        <v>692</v>
      </c>
      <c r="H363" s="7" t="s">
        <v>693</v>
      </c>
      <c r="I363" s="7" t="s">
        <v>694</v>
      </c>
      <c r="J363" s="7" t="s">
        <v>695</v>
      </c>
      <c r="K363" s="7" t="s">
        <v>696</v>
      </c>
      <c r="L363" s="7" t="s">
        <v>697</v>
      </c>
      <c r="M363" s="7" t="s">
        <v>698</v>
      </c>
      <c r="N363" s="7" t="s">
        <v>699</v>
      </c>
      <c r="O363" s="7" t="s">
        <v>700</v>
      </c>
      <c r="P363" s="7" t="s">
        <v>701</v>
      </c>
      <c r="Q363" s="7" t="s">
        <v>702</v>
      </c>
      <c r="R363" s="7" t="s">
        <v>703</v>
      </c>
      <c r="S363" s="7" t="s">
        <v>704</v>
      </c>
      <c r="T363" s="7" t="s">
        <v>705</v>
      </c>
      <c r="U363" s="7" t="s">
        <v>706</v>
      </c>
      <c r="V363" s="7" t="s">
        <v>707</v>
      </c>
      <c r="W363" s="7" t="s">
        <v>708</v>
      </c>
      <c r="X363" s="7" t="s">
        <v>709</v>
      </c>
      <c r="Y363" s="7" t="s">
        <v>710</v>
      </c>
      <c r="Z363" s="7" t="s">
        <v>711</v>
      </c>
      <c r="AA363" s="7" t="s">
        <v>712</v>
      </c>
      <c r="AB363" s="7" t="s">
        <v>694</v>
      </c>
      <c r="AC363" s="7" t="s">
        <v>713</v>
      </c>
      <c r="AD363" s="7" t="s">
        <v>714</v>
      </c>
      <c r="AE363" s="7" t="s">
        <v>715</v>
      </c>
      <c r="AF363" s="7" t="s">
        <v>716</v>
      </c>
      <c r="AG363" s="7" t="s">
        <v>1810</v>
      </c>
      <c r="AH363" s="7" t="s">
        <v>1755</v>
      </c>
      <c r="AI363" s="7" t="s">
        <v>1757</v>
      </c>
      <c r="AJ363" s="7" t="s">
        <v>1758</v>
      </c>
      <c r="AK363" s="7" t="s">
        <v>1929</v>
      </c>
      <c r="AL363" s="7" t="s">
        <v>1930</v>
      </c>
      <c r="AM363" s="7" t="s">
        <v>1739</v>
      </c>
      <c r="AN363" s="7" t="s">
        <v>1931</v>
      </c>
      <c r="AO363" s="7" t="s">
        <v>1762</v>
      </c>
      <c r="AP363" s="7" t="s">
        <v>1763</v>
      </c>
      <c r="AQ363" s="7" t="s">
        <v>1764</v>
      </c>
      <c r="AR363" s="7" t="s">
        <v>1813</v>
      </c>
      <c r="AS363" s="7" t="s">
        <v>1932</v>
      </c>
      <c r="AT363" s="7" t="s">
        <v>1767</v>
      </c>
      <c r="AU363" s="7" t="s">
        <v>1933</v>
      </c>
      <c r="AV363" s="7" t="s">
        <v>1934</v>
      </c>
      <c r="AW363" s="7" t="s">
        <v>1774</v>
      </c>
      <c r="AX363" s="7" t="s">
        <v>1935</v>
      </c>
      <c r="AY363" s="7" t="s">
        <v>1776</v>
      </c>
    </row>
    <row r="364" spans="1:57" ht="78" customHeight="1" x14ac:dyDescent="0.4">
      <c r="A364" s="67" t="s">
        <v>241</v>
      </c>
      <c r="B364" t="e">
        <f>_xlfn.XLOOKUP(A364,'Product info'!A:A,'Product info'!C:C,,2)</f>
        <v>#N/A</v>
      </c>
      <c r="C364" s="69" t="s">
        <v>688</v>
      </c>
      <c r="D364" s="7" t="s">
        <v>689</v>
      </c>
      <c r="E364" s="7" t="s">
        <v>690</v>
      </c>
      <c r="F364" s="7" t="s">
        <v>691</v>
      </c>
      <c r="G364" s="7" t="s">
        <v>692</v>
      </c>
      <c r="H364" s="7" t="s">
        <v>693</v>
      </c>
      <c r="I364" s="7" t="s">
        <v>694</v>
      </c>
      <c r="J364" s="7" t="s">
        <v>695</v>
      </c>
      <c r="K364" s="7" t="s">
        <v>696</v>
      </c>
      <c r="L364" s="7" t="s">
        <v>697</v>
      </c>
      <c r="M364" s="7" t="s">
        <v>698</v>
      </c>
      <c r="N364" s="7" t="s">
        <v>699</v>
      </c>
      <c r="O364" s="7" t="s">
        <v>700</v>
      </c>
      <c r="P364" s="7" t="s">
        <v>701</v>
      </c>
      <c r="Q364" s="7" t="s">
        <v>702</v>
      </c>
      <c r="R364" s="7" t="s">
        <v>703</v>
      </c>
      <c r="S364" s="7" t="s">
        <v>704</v>
      </c>
      <c r="T364" s="7" t="s">
        <v>705</v>
      </c>
      <c r="U364" s="7" t="s">
        <v>706</v>
      </c>
      <c r="V364" s="7" t="s">
        <v>707</v>
      </c>
      <c r="W364" s="7" t="s">
        <v>708</v>
      </c>
      <c r="X364" s="7" t="s">
        <v>709</v>
      </c>
      <c r="Y364" s="7" t="s">
        <v>710</v>
      </c>
      <c r="Z364" s="7" t="s">
        <v>711</v>
      </c>
      <c r="AA364" s="7" t="s">
        <v>712</v>
      </c>
      <c r="AB364" s="7" t="s">
        <v>694</v>
      </c>
      <c r="AC364" s="7" t="s">
        <v>713</v>
      </c>
      <c r="AD364" s="7" t="s">
        <v>714</v>
      </c>
      <c r="AE364" s="7" t="s">
        <v>715</v>
      </c>
      <c r="AF364" s="7" t="s">
        <v>716</v>
      </c>
      <c r="AG364" s="7" t="s">
        <v>1810</v>
      </c>
      <c r="AH364" s="7" t="s">
        <v>1755</v>
      </c>
      <c r="AI364" s="7" t="s">
        <v>1757</v>
      </c>
      <c r="AJ364" s="7" t="s">
        <v>1758</v>
      </c>
      <c r="AK364" s="7" t="s">
        <v>1759</v>
      </c>
      <c r="AL364" s="7" t="s">
        <v>1760</v>
      </c>
      <c r="AM364" s="7" t="s">
        <v>1739</v>
      </c>
      <c r="AN364" s="7" t="s">
        <v>1817</v>
      </c>
      <c r="AO364" s="7" t="s">
        <v>1762</v>
      </c>
      <c r="AP364" s="7" t="s">
        <v>1763</v>
      </c>
      <c r="AQ364" s="7" t="s">
        <v>1764</v>
      </c>
      <c r="AR364" s="7" t="s">
        <v>1813</v>
      </c>
      <c r="AS364" s="7" t="s">
        <v>1932</v>
      </c>
      <c r="AT364" s="7" t="s">
        <v>1767</v>
      </c>
      <c r="AU364" s="7" t="s">
        <v>1936</v>
      </c>
      <c r="AV364" s="7" t="s">
        <v>1937</v>
      </c>
      <c r="AW364" s="7" t="s">
        <v>1774</v>
      </c>
      <c r="AX364" s="7" t="s">
        <v>1775</v>
      </c>
      <c r="AY364" s="7" t="s">
        <v>1776</v>
      </c>
      <c r="AZ364" s="7" t="s">
        <v>1783</v>
      </c>
      <c r="BA364" s="7" t="s">
        <v>1938</v>
      </c>
      <c r="BB364" s="7" t="s">
        <v>1939</v>
      </c>
      <c r="BC364" s="7" t="s">
        <v>1940</v>
      </c>
      <c r="BD364" s="7" t="s">
        <v>1941</v>
      </c>
      <c r="BE364" s="7" t="s">
        <v>1942</v>
      </c>
    </row>
    <row r="365" spans="1:57" ht="78" customHeight="1" x14ac:dyDescent="0.4">
      <c r="A365" s="67" t="s">
        <v>70</v>
      </c>
      <c r="B365" t="e">
        <f>_xlfn.XLOOKUP(A365,'Product info'!A:A,'Product info'!C:C,,2)</f>
        <v>#N/A</v>
      </c>
      <c r="C365" s="69" t="s">
        <v>688</v>
      </c>
      <c r="D365" s="7" t="s">
        <v>689</v>
      </c>
      <c r="E365" s="7" t="s">
        <v>690</v>
      </c>
      <c r="F365" s="7" t="s">
        <v>691</v>
      </c>
      <c r="G365" s="7" t="s">
        <v>692</v>
      </c>
      <c r="H365" s="7" t="s">
        <v>693</v>
      </c>
      <c r="I365" s="7" t="s">
        <v>694</v>
      </c>
      <c r="J365" s="7" t="s">
        <v>695</v>
      </c>
      <c r="K365" s="7" t="s">
        <v>696</v>
      </c>
      <c r="L365" s="7" t="s">
        <v>697</v>
      </c>
      <c r="M365" s="7" t="s">
        <v>698</v>
      </c>
      <c r="N365" s="7" t="s">
        <v>699</v>
      </c>
      <c r="O365" s="7" t="s">
        <v>700</v>
      </c>
      <c r="P365" s="7" t="s">
        <v>701</v>
      </c>
      <c r="Q365" s="7" t="s">
        <v>702</v>
      </c>
      <c r="R365" s="7" t="s">
        <v>703</v>
      </c>
      <c r="S365" s="7" t="s">
        <v>704</v>
      </c>
      <c r="T365" s="7" t="s">
        <v>705</v>
      </c>
      <c r="U365" s="7" t="s">
        <v>706</v>
      </c>
      <c r="V365" s="7" t="s">
        <v>707</v>
      </c>
      <c r="W365" s="7" t="s">
        <v>708</v>
      </c>
      <c r="X365" s="7" t="s">
        <v>709</v>
      </c>
      <c r="Y365" s="7" t="s">
        <v>710</v>
      </c>
      <c r="Z365" s="7" t="s">
        <v>711</v>
      </c>
      <c r="AA365" s="7" t="s">
        <v>712</v>
      </c>
      <c r="AB365" s="7" t="s">
        <v>694</v>
      </c>
      <c r="AC365" s="7" t="s">
        <v>713</v>
      </c>
      <c r="AD365" s="7" t="s">
        <v>714</v>
      </c>
      <c r="AE365" s="7" t="s">
        <v>715</v>
      </c>
      <c r="AF365" s="7" t="s">
        <v>716</v>
      </c>
      <c r="AG365" s="7" t="s">
        <v>1943</v>
      </c>
      <c r="AH365" s="7" t="s">
        <v>1944</v>
      </c>
      <c r="AI365" s="7" t="s">
        <v>1945</v>
      </c>
      <c r="AJ365" s="7" t="s">
        <v>1946</v>
      </c>
      <c r="AK365" s="7" t="s">
        <v>1947</v>
      </c>
      <c r="AL365" s="7" t="s">
        <v>1948</v>
      </c>
      <c r="AM365" s="7" t="s">
        <v>1949</v>
      </c>
      <c r="AN365" s="7" t="s">
        <v>1950</v>
      </c>
      <c r="AO365" s="7" t="s">
        <v>1951</v>
      </c>
      <c r="AP365" s="7" t="s">
        <v>1952</v>
      </c>
      <c r="AQ365" s="7" t="s">
        <v>1912</v>
      </c>
      <c r="AR365" s="7" t="s">
        <v>1953</v>
      </c>
      <c r="AS365" s="7" t="s">
        <v>1954</v>
      </c>
      <c r="AT365" s="7" t="s">
        <v>1955</v>
      </c>
      <c r="AU365" s="7" t="s">
        <v>1956</v>
      </c>
      <c r="AV365" s="7" t="s">
        <v>1957</v>
      </c>
    </row>
    <row r="366" spans="1:57" ht="78" customHeight="1" x14ac:dyDescent="0.4">
      <c r="A366" s="67" t="s">
        <v>204</v>
      </c>
      <c r="B366" t="e">
        <f>_xlfn.XLOOKUP(A366,'Product info'!A:A,'Product info'!C:C,,2)</f>
        <v>#N/A</v>
      </c>
      <c r="C366" s="69" t="s">
        <v>688</v>
      </c>
      <c r="D366" s="7" t="s">
        <v>689</v>
      </c>
      <c r="E366" s="7" t="s">
        <v>690</v>
      </c>
      <c r="F366" s="7" t="s">
        <v>691</v>
      </c>
      <c r="G366" s="7" t="s">
        <v>692</v>
      </c>
      <c r="H366" s="7" t="s">
        <v>693</v>
      </c>
      <c r="I366" s="7" t="s">
        <v>694</v>
      </c>
      <c r="J366" s="7" t="s">
        <v>695</v>
      </c>
      <c r="K366" s="7" t="s">
        <v>696</v>
      </c>
      <c r="L366" s="7" t="s">
        <v>697</v>
      </c>
      <c r="M366" s="7" t="s">
        <v>698</v>
      </c>
      <c r="N366" s="7" t="s">
        <v>699</v>
      </c>
      <c r="O366" s="7" t="s">
        <v>700</v>
      </c>
      <c r="P366" s="7" t="s">
        <v>701</v>
      </c>
      <c r="Q366" s="7" t="s">
        <v>702</v>
      </c>
      <c r="R366" s="7" t="s">
        <v>703</v>
      </c>
      <c r="S366" s="7" t="s">
        <v>704</v>
      </c>
      <c r="T366" s="7" t="s">
        <v>705</v>
      </c>
      <c r="U366" s="7" t="s">
        <v>706</v>
      </c>
      <c r="V366" s="7" t="s">
        <v>707</v>
      </c>
      <c r="W366" s="7" t="s">
        <v>708</v>
      </c>
      <c r="X366" s="7" t="s">
        <v>709</v>
      </c>
      <c r="Y366" s="7" t="s">
        <v>710</v>
      </c>
      <c r="Z366" s="7" t="s">
        <v>711</v>
      </c>
      <c r="AA366" s="7" t="s">
        <v>712</v>
      </c>
      <c r="AB366" s="7" t="s">
        <v>694</v>
      </c>
      <c r="AC366" s="7" t="s">
        <v>713</v>
      </c>
      <c r="AD366" s="7" t="s">
        <v>714</v>
      </c>
      <c r="AE366" s="7" t="s">
        <v>715</v>
      </c>
      <c r="AF366" s="7" t="s">
        <v>716</v>
      </c>
      <c r="AG366" s="7" t="s">
        <v>1943</v>
      </c>
      <c r="AH366" s="7" t="s">
        <v>1958</v>
      </c>
      <c r="AI366" s="7" t="s">
        <v>1959</v>
      </c>
      <c r="AJ366" s="7" t="s">
        <v>1946</v>
      </c>
      <c r="AK366" s="7" t="s">
        <v>1947</v>
      </c>
      <c r="AL366" s="7" t="s">
        <v>1948</v>
      </c>
      <c r="AM366" s="7" t="s">
        <v>1949</v>
      </c>
      <c r="AN366" s="7" t="s">
        <v>1950</v>
      </c>
      <c r="AO366" s="7" t="s">
        <v>1951</v>
      </c>
      <c r="AP366" s="7" t="s">
        <v>1952</v>
      </c>
      <c r="AQ366" s="7" t="s">
        <v>1912</v>
      </c>
      <c r="AR366" s="7" t="s">
        <v>1953</v>
      </c>
      <c r="AS366" s="7" t="s">
        <v>1960</v>
      </c>
      <c r="AT366" s="7" t="s">
        <v>1961</v>
      </c>
      <c r="AU366" s="7" t="s">
        <v>1962</v>
      </c>
    </row>
    <row r="367" spans="1:57" ht="78" customHeight="1" x14ac:dyDescent="0.4">
      <c r="A367" s="67" t="s">
        <v>73</v>
      </c>
      <c r="B367" t="e">
        <f>_xlfn.XLOOKUP(A367,'Product info'!A:A,'Product info'!C:C,,2)</f>
        <v>#N/A</v>
      </c>
      <c r="C367" s="69" t="s">
        <v>688</v>
      </c>
      <c r="D367" s="7" t="s">
        <v>689</v>
      </c>
      <c r="E367" s="7" t="s">
        <v>690</v>
      </c>
      <c r="F367" s="7" t="s">
        <v>691</v>
      </c>
      <c r="G367" s="7" t="s">
        <v>692</v>
      </c>
      <c r="H367" s="7" t="s">
        <v>693</v>
      </c>
      <c r="I367" s="7" t="s">
        <v>694</v>
      </c>
      <c r="J367" s="7" t="s">
        <v>695</v>
      </c>
      <c r="K367" s="7" t="s">
        <v>696</v>
      </c>
      <c r="L367" s="7" t="s">
        <v>697</v>
      </c>
      <c r="M367" s="7" t="s">
        <v>698</v>
      </c>
      <c r="N367" s="7" t="s">
        <v>699</v>
      </c>
      <c r="O367" s="7" t="s">
        <v>700</v>
      </c>
      <c r="P367" s="7" t="s">
        <v>701</v>
      </c>
      <c r="Q367" s="7" t="s">
        <v>702</v>
      </c>
      <c r="R367" s="7" t="s">
        <v>703</v>
      </c>
      <c r="S367" s="7" t="s">
        <v>704</v>
      </c>
      <c r="T367" s="7" t="s">
        <v>705</v>
      </c>
      <c r="U367" s="7" t="s">
        <v>706</v>
      </c>
      <c r="V367" s="7" t="s">
        <v>707</v>
      </c>
      <c r="W367" s="7" t="s">
        <v>708</v>
      </c>
      <c r="X367" s="7" t="s">
        <v>709</v>
      </c>
      <c r="Y367" s="7" t="s">
        <v>710</v>
      </c>
      <c r="Z367" s="7" t="s">
        <v>711</v>
      </c>
      <c r="AA367" s="7" t="s">
        <v>712</v>
      </c>
      <c r="AB367" s="7" t="s">
        <v>694</v>
      </c>
      <c r="AC367" s="7" t="s">
        <v>713</v>
      </c>
      <c r="AD367" s="7" t="s">
        <v>714</v>
      </c>
      <c r="AE367" s="7" t="s">
        <v>715</v>
      </c>
      <c r="AF367" s="7" t="s">
        <v>716</v>
      </c>
      <c r="AG367" s="7" t="s">
        <v>688</v>
      </c>
      <c r="AH367" s="7" t="s">
        <v>689</v>
      </c>
      <c r="AI367" s="7" t="s">
        <v>747</v>
      </c>
      <c r="AJ367" s="7" t="s">
        <v>696</v>
      </c>
      <c r="AK367" s="7" t="s">
        <v>773</v>
      </c>
      <c r="AL367" s="7" t="s">
        <v>1963</v>
      </c>
      <c r="AM367" s="7" t="s">
        <v>1338</v>
      </c>
      <c r="AN367" s="7" t="s">
        <v>1964</v>
      </c>
      <c r="AO367" s="7" t="s">
        <v>1592</v>
      </c>
      <c r="AP367" s="7" t="s">
        <v>1965</v>
      </c>
      <c r="AQ367" s="7" t="s">
        <v>1966</v>
      </c>
      <c r="AR367" s="7" t="s">
        <v>787</v>
      </c>
      <c r="AS367" s="7" t="s">
        <v>786</v>
      </c>
      <c r="AT367" s="7" t="s">
        <v>1967</v>
      </c>
      <c r="AU367" s="7" t="s">
        <v>1591</v>
      </c>
      <c r="AV367" s="7" t="s">
        <v>785</v>
      </c>
      <c r="AW367" s="7" t="s">
        <v>1968</v>
      </c>
      <c r="AX367" s="7" t="s">
        <v>1969</v>
      </c>
      <c r="AY367" s="7" t="s">
        <v>1970</v>
      </c>
      <c r="AZ367" s="7" t="s">
        <v>1971</v>
      </c>
      <c r="BA367" s="7" t="s">
        <v>1972</v>
      </c>
      <c r="BB367" s="7" t="s">
        <v>1957</v>
      </c>
    </row>
    <row r="368" spans="1:57" ht="78" customHeight="1" x14ac:dyDescent="0.4">
      <c r="A368" s="67" t="s">
        <v>74</v>
      </c>
      <c r="B368" t="e">
        <f>_xlfn.XLOOKUP(A368,'Product info'!A:A,'Product info'!C:C,,2)</f>
        <v>#N/A</v>
      </c>
      <c r="C368" s="69" t="s">
        <v>688</v>
      </c>
      <c r="D368" s="7" t="s">
        <v>689</v>
      </c>
      <c r="E368" s="7" t="s">
        <v>690</v>
      </c>
      <c r="F368" s="7" t="s">
        <v>691</v>
      </c>
      <c r="G368" s="7" t="s">
        <v>692</v>
      </c>
      <c r="H368" s="7" t="s">
        <v>693</v>
      </c>
      <c r="I368" s="7" t="s">
        <v>694</v>
      </c>
      <c r="J368" s="7" t="s">
        <v>695</v>
      </c>
      <c r="K368" s="7" t="s">
        <v>696</v>
      </c>
      <c r="L368" s="7" t="s">
        <v>697</v>
      </c>
      <c r="M368" s="7" t="s">
        <v>698</v>
      </c>
      <c r="N368" s="7" t="s">
        <v>699</v>
      </c>
      <c r="O368" s="7" t="s">
        <v>700</v>
      </c>
      <c r="P368" s="7" t="s">
        <v>701</v>
      </c>
      <c r="Q368" s="7" t="s">
        <v>702</v>
      </c>
      <c r="R368" s="7" t="s">
        <v>703</v>
      </c>
      <c r="S368" s="7" t="s">
        <v>704</v>
      </c>
      <c r="T368" s="7" t="s">
        <v>705</v>
      </c>
      <c r="U368" s="7" t="s">
        <v>706</v>
      </c>
      <c r="V368" s="7" t="s">
        <v>707</v>
      </c>
      <c r="W368" s="7" t="s">
        <v>708</v>
      </c>
      <c r="X368" s="7" t="s">
        <v>709</v>
      </c>
      <c r="Y368" s="7" t="s">
        <v>710</v>
      </c>
      <c r="Z368" s="7" t="s">
        <v>711</v>
      </c>
      <c r="AA368" s="7" t="s">
        <v>712</v>
      </c>
      <c r="AB368" s="7" t="s">
        <v>694</v>
      </c>
      <c r="AC368" s="7" t="s">
        <v>713</v>
      </c>
      <c r="AD368" s="7" t="s">
        <v>714</v>
      </c>
      <c r="AE368" s="7" t="s">
        <v>715</v>
      </c>
      <c r="AF368" s="7" t="s">
        <v>716</v>
      </c>
      <c r="AG368" s="7" t="s">
        <v>1943</v>
      </c>
      <c r="AH368" s="7" t="s">
        <v>1944</v>
      </c>
      <c r="AI368" s="7" t="s">
        <v>1945</v>
      </c>
      <c r="AJ368" s="7" t="s">
        <v>1946</v>
      </c>
      <c r="AK368" s="7" t="s">
        <v>1947</v>
      </c>
      <c r="AL368" s="7" t="s">
        <v>1948</v>
      </c>
      <c r="AM368" s="7" t="s">
        <v>1949</v>
      </c>
      <c r="AN368" s="7" t="s">
        <v>1950</v>
      </c>
      <c r="AO368" s="7" t="s">
        <v>1951</v>
      </c>
      <c r="AP368" s="7" t="s">
        <v>1952</v>
      </c>
      <c r="AQ368" s="7" t="s">
        <v>1912</v>
      </c>
      <c r="AR368" s="7" t="s">
        <v>1953</v>
      </c>
      <c r="AS368" s="7" t="s">
        <v>1954</v>
      </c>
      <c r="AT368" s="7" t="s">
        <v>1955</v>
      </c>
      <c r="AU368" s="7" t="s">
        <v>1956</v>
      </c>
      <c r="AV368" s="7" t="s">
        <v>1957</v>
      </c>
      <c r="AW368" s="7" t="s">
        <v>1957</v>
      </c>
    </row>
    <row r="369" spans="1:54" ht="78" customHeight="1" x14ac:dyDescent="0.4">
      <c r="A369" s="67" t="s">
        <v>75</v>
      </c>
      <c r="B369" t="e">
        <f>_xlfn.XLOOKUP(A369,'Product info'!A:A,'Product info'!C:C,,2)</f>
        <v>#N/A</v>
      </c>
      <c r="C369" s="69" t="s">
        <v>688</v>
      </c>
      <c r="D369" s="7" t="s">
        <v>689</v>
      </c>
      <c r="E369" s="7" t="s">
        <v>690</v>
      </c>
      <c r="F369" s="7" t="s">
        <v>691</v>
      </c>
      <c r="G369" s="7" t="s">
        <v>692</v>
      </c>
      <c r="H369" s="7" t="s">
        <v>693</v>
      </c>
      <c r="I369" s="7" t="s">
        <v>694</v>
      </c>
      <c r="J369" s="7" t="s">
        <v>695</v>
      </c>
      <c r="K369" s="7" t="s">
        <v>696</v>
      </c>
      <c r="L369" s="7" t="s">
        <v>697</v>
      </c>
      <c r="M369" s="7" t="s">
        <v>698</v>
      </c>
      <c r="N369" s="7" t="s">
        <v>699</v>
      </c>
      <c r="O369" s="7" t="s">
        <v>700</v>
      </c>
      <c r="P369" s="7" t="s">
        <v>701</v>
      </c>
      <c r="Q369" s="7" t="s">
        <v>702</v>
      </c>
      <c r="R369" s="7" t="s">
        <v>703</v>
      </c>
      <c r="S369" s="7" t="s">
        <v>704</v>
      </c>
      <c r="T369" s="7" t="s">
        <v>705</v>
      </c>
      <c r="U369" s="7" t="s">
        <v>706</v>
      </c>
      <c r="V369" s="7" t="s">
        <v>707</v>
      </c>
      <c r="W369" s="7" t="s">
        <v>708</v>
      </c>
      <c r="X369" s="7" t="s">
        <v>709</v>
      </c>
      <c r="Y369" s="7" t="s">
        <v>710</v>
      </c>
      <c r="Z369" s="7" t="s">
        <v>711</v>
      </c>
      <c r="AA369" s="7" t="s">
        <v>712</v>
      </c>
      <c r="AB369" s="7" t="s">
        <v>694</v>
      </c>
      <c r="AC369" s="7" t="s">
        <v>713</v>
      </c>
      <c r="AD369" s="7" t="s">
        <v>714</v>
      </c>
      <c r="AE369" s="7" t="s">
        <v>715</v>
      </c>
      <c r="AF369" s="7" t="s">
        <v>716</v>
      </c>
      <c r="AG369" s="7" t="s">
        <v>688</v>
      </c>
      <c r="AH369" s="7" t="s">
        <v>689</v>
      </c>
      <c r="AI369" s="7" t="s">
        <v>747</v>
      </c>
      <c r="AJ369" s="7" t="s">
        <v>696</v>
      </c>
      <c r="AK369" s="7" t="s">
        <v>773</v>
      </c>
      <c r="AL369" s="7" t="s">
        <v>1963</v>
      </c>
      <c r="AM369" s="7" t="s">
        <v>1338</v>
      </c>
      <c r="AN369" s="7" t="s">
        <v>1964</v>
      </c>
      <c r="AO369" s="7" t="s">
        <v>1592</v>
      </c>
      <c r="AP369" s="7" t="s">
        <v>1965</v>
      </c>
      <c r="AQ369" s="7" t="s">
        <v>1966</v>
      </c>
      <c r="AR369" s="7" t="s">
        <v>787</v>
      </c>
      <c r="AS369" s="7" t="s">
        <v>786</v>
      </c>
      <c r="AT369" s="7" t="s">
        <v>1967</v>
      </c>
      <c r="AU369" s="7" t="s">
        <v>1591</v>
      </c>
      <c r="AV369" s="7" t="s">
        <v>785</v>
      </c>
      <c r="AW369" s="7" t="s">
        <v>1968</v>
      </c>
      <c r="AX369" s="7" t="s">
        <v>1969</v>
      </c>
      <c r="AY369" s="7" t="s">
        <v>1970</v>
      </c>
      <c r="AZ369" s="7" t="s">
        <v>1971</v>
      </c>
      <c r="BA369" s="7" t="s">
        <v>1972</v>
      </c>
      <c r="BB369" s="7" t="s">
        <v>1957</v>
      </c>
    </row>
    <row r="370" spans="1:54" ht="78" customHeight="1" x14ac:dyDescent="0.4">
      <c r="A370" s="67" t="s">
        <v>483</v>
      </c>
      <c r="B370" t="e">
        <f>_xlfn.XLOOKUP(A370,'Product info'!A:A,'Product info'!C:C,,2)</f>
        <v>#N/A</v>
      </c>
      <c r="C370" s="69" t="s">
        <v>688</v>
      </c>
      <c r="D370" s="7" t="s">
        <v>689</v>
      </c>
      <c r="E370" s="7" t="s">
        <v>690</v>
      </c>
      <c r="F370" s="7" t="s">
        <v>691</v>
      </c>
      <c r="G370" s="7" t="s">
        <v>692</v>
      </c>
      <c r="H370" s="7" t="s">
        <v>693</v>
      </c>
      <c r="I370" s="7" t="s">
        <v>694</v>
      </c>
      <c r="J370" s="7" t="s">
        <v>695</v>
      </c>
      <c r="K370" s="7" t="s">
        <v>696</v>
      </c>
      <c r="L370" s="7" t="s">
        <v>697</v>
      </c>
      <c r="M370" s="7" t="s">
        <v>698</v>
      </c>
      <c r="N370" s="7" t="s">
        <v>699</v>
      </c>
      <c r="O370" s="7" t="s">
        <v>700</v>
      </c>
      <c r="P370" s="7" t="s">
        <v>701</v>
      </c>
      <c r="Q370" s="7" t="s">
        <v>702</v>
      </c>
      <c r="R370" s="7" t="s">
        <v>703</v>
      </c>
      <c r="S370" s="7" t="s">
        <v>704</v>
      </c>
      <c r="T370" s="7" t="s">
        <v>705</v>
      </c>
      <c r="U370" s="7" t="s">
        <v>706</v>
      </c>
      <c r="V370" s="7" t="s">
        <v>707</v>
      </c>
      <c r="W370" s="7" t="s">
        <v>708</v>
      </c>
      <c r="X370" s="7" t="s">
        <v>709</v>
      </c>
      <c r="Y370" s="7" t="s">
        <v>710</v>
      </c>
      <c r="Z370" s="7" t="s">
        <v>711</v>
      </c>
      <c r="AA370" s="7" t="s">
        <v>712</v>
      </c>
      <c r="AB370" s="7" t="s">
        <v>694</v>
      </c>
      <c r="AC370" s="7" t="s">
        <v>713</v>
      </c>
      <c r="AD370" s="7" t="s">
        <v>714</v>
      </c>
      <c r="AE370" s="7" t="s">
        <v>715</v>
      </c>
      <c r="AF370" s="7" t="s">
        <v>716</v>
      </c>
      <c r="AG370" s="7" t="s">
        <v>1973</v>
      </c>
      <c r="AH370" s="7" t="s">
        <v>1974</v>
      </c>
      <c r="AI370" s="7" t="s">
        <v>1975</v>
      </c>
      <c r="AJ370" s="7" t="s">
        <v>1976</v>
      </c>
      <c r="AK370" s="7" t="s">
        <v>1977</v>
      </c>
      <c r="AL370" s="7" t="s">
        <v>1978</v>
      </c>
      <c r="AM370" s="7" t="s">
        <v>1979</v>
      </c>
      <c r="AN370" s="7" t="s">
        <v>1980</v>
      </c>
      <c r="AO370" s="7" t="s">
        <v>1981</v>
      </c>
      <c r="AP370" s="7" t="s">
        <v>1982</v>
      </c>
    </row>
    <row r="371" spans="1:54" ht="78" customHeight="1" x14ac:dyDescent="0.4">
      <c r="A371" s="67" t="s">
        <v>484</v>
      </c>
      <c r="B371" t="e">
        <f>_xlfn.XLOOKUP(A371,'Product info'!A:A,'Product info'!C:C,,2)</f>
        <v>#N/A</v>
      </c>
      <c r="C371" s="69" t="s">
        <v>688</v>
      </c>
      <c r="D371" s="7" t="s">
        <v>689</v>
      </c>
      <c r="E371" s="7" t="s">
        <v>690</v>
      </c>
      <c r="F371" s="7" t="s">
        <v>691</v>
      </c>
      <c r="G371" s="7" t="s">
        <v>692</v>
      </c>
      <c r="H371" s="7" t="s">
        <v>693</v>
      </c>
      <c r="I371" s="7" t="s">
        <v>694</v>
      </c>
      <c r="J371" s="7" t="s">
        <v>695</v>
      </c>
      <c r="K371" s="7" t="s">
        <v>696</v>
      </c>
      <c r="L371" s="7" t="s">
        <v>697</v>
      </c>
      <c r="M371" s="7" t="s">
        <v>698</v>
      </c>
      <c r="N371" s="7" t="s">
        <v>699</v>
      </c>
      <c r="O371" s="7" t="s">
        <v>700</v>
      </c>
      <c r="P371" s="7" t="s">
        <v>701</v>
      </c>
      <c r="Q371" s="7" t="s">
        <v>702</v>
      </c>
      <c r="R371" s="7" t="s">
        <v>703</v>
      </c>
      <c r="S371" s="7" t="s">
        <v>704</v>
      </c>
      <c r="T371" s="7" t="s">
        <v>705</v>
      </c>
      <c r="U371" s="7" t="s">
        <v>706</v>
      </c>
      <c r="V371" s="7" t="s">
        <v>707</v>
      </c>
      <c r="W371" s="7" t="s">
        <v>708</v>
      </c>
      <c r="X371" s="7" t="s">
        <v>709</v>
      </c>
      <c r="Y371" s="7" t="s">
        <v>710</v>
      </c>
      <c r="Z371" s="7" t="s">
        <v>711</v>
      </c>
      <c r="AA371" s="7" t="s">
        <v>712</v>
      </c>
      <c r="AB371" s="7" t="s">
        <v>694</v>
      </c>
      <c r="AC371" s="7" t="s">
        <v>713</v>
      </c>
      <c r="AD371" s="7" t="s">
        <v>714</v>
      </c>
      <c r="AE371" s="7" t="s">
        <v>715</v>
      </c>
      <c r="AF371" s="7" t="s">
        <v>716</v>
      </c>
      <c r="AG371" s="7" t="s">
        <v>1973</v>
      </c>
      <c r="AH371" s="7" t="s">
        <v>1974</v>
      </c>
      <c r="AI371" s="7" t="s">
        <v>1975</v>
      </c>
      <c r="AJ371" s="7" t="s">
        <v>1976</v>
      </c>
      <c r="AK371" s="7" t="s">
        <v>1977</v>
      </c>
      <c r="AL371" s="7" t="s">
        <v>1983</v>
      </c>
      <c r="AM371" s="7" t="s">
        <v>1978</v>
      </c>
      <c r="AN371" s="7" t="s">
        <v>1979</v>
      </c>
      <c r="AO371" s="7" t="s">
        <v>1980</v>
      </c>
      <c r="AP371" s="7" t="s">
        <v>1981</v>
      </c>
      <c r="AQ371" s="7" t="s">
        <v>1982</v>
      </c>
      <c r="AR371" s="7" t="s">
        <v>1984</v>
      </c>
    </row>
    <row r="372" spans="1:54" ht="78" customHeight="1" x14ac:dyDescent="0.4">
      <c r="A372" s="67" t="s">
        <v>218</v>
      </c>
      <c r="B372" t="e">
        <f>_xlfn.XLOOKUP(A372,'Product info'!A:A,'Product info'!C:C,,2)</f>
        <v>#N/A</v>
      </c>
      <c r="C372" s="69" t="s">
        <v>688</v>
      </c>
      <c r="D372" s="7" t="s">
        <v>689</v>
      </c>
      <c r="E372" s="7" t="s">
        <v>690</v>
      </c>
      <c r="F372" s="7" t="s">
        <v>691</v>
      </c>
      <c r="G372" s="7" t="s">
        <v>692</v>
      </c>
      <c r="H372" s="7" t="s">
        <v>693</v>
      </c>
      <c r="I372" s="7" t="s">
        <v>694</v>
      </c>
      <c r="J372" s="7" t="s">
        <v>695</v>
      </c>
      <c r="K372" s="7" t="s">
        <v>696</v>
      </c>
      <c r="L372" s="7" t="s">
        <v>697</v>
      </c>
      <c r="M372" s="7" t="s">
        <v>698</v>
      </c>
      <c r="N372" s="7" t="s">
        <v>699</v>
      </c>
      <c r="O372" s="7" t="s">
        <v>700</v>
      </c>
      <c r="P372" s="7" t="s">
        <v>701</v>
      </c>
      <c r="Q372" s="7" t="s">
        <v>702</v>
      </c>
      <c r="R372" s="7" t="s">
        <v>703</v>
      </c>
      <c r="S372" s="7" t="s">
        <v>704</v>
      </c>
      <c r="T372" s="7" t="s">
        <v>705</v>
      </c>
      <c r="U372" s="7" t="s">
        <v>706</v>
      </c>
      <c r="V372" s="7" t="s">
        <v>707</v>
      </c>
      <c r="W372" s="7" t="s">
        <v>708</v>
      </c>
      <c r="X372" s="7" t="s">
        <v>709</v>
      </c>
      <c r="Y372" s="7" t="s">
        <v>710</v>
      </c>
      <c r="Z372" s="7" t="s">
        <v>711</v>
      </c>
      <c r="AA372" s="7" t="s">
        <v>712</v>
      </c>
      <c r="AB372" s="7" t="s">
        <v>694</v>
      </c>
      <c r="AC372" s="7" t="s">
        <v>713</v>
      </c>
      <c r="AD372" s="7" t="s">
        <v>714</v>
      </c>
      <c r="AE372" s="7" t="s">
        <v>715</v>
      </c>
      <c r="AF372" s="7" t="s">
        <v>716</v>
      </c>
      <c r="AG372" s="7" t="s">
        <v>1985</v>
      </c>
      <c r="AH372" s="7" t="s">
        <v>1986</v>
      </c>
      <c r="AI372" s="7" t="s">
        <v>1591</v>
      </c>
      <c r="AJ372" s="7" t="s">
        <v>1592</v>
      </c>
      <c r="AK372" s="7" t="s">
        <v>1987</v>
      </c>
      <c r="AL372" s="7" t="s">
        <v>1988</v>
      </c>
      <c r="AM372" s="7" t="s">
        <v>1862</v>
      </c>
      <c r="AN372" s="7" t="s">
        <v>1989</v>
      </c>
      <c r="AO372" s="7" t="s">
        <v>1990</v>
      </c>
      <c r="AP372" s="7" t="s">
        <v>1991</v>
      </c>
      <c r="AQ372" s="7" t="s">
        <v>1992</v>
      </c>
      <c r="AR372" s="7" t="s">
        <v>1993</v>
      </c>
      <c r="AS372" s="7" t="s">
        <v>1994</v>
      </c>
      <c r="AT372" s="7" t="s">
        <v>1995</v>
      </c>
      <c r="AU372" s="7" t="s">
        <v>1996</v>
      </c>
      <c r="AV372" s="7" t="s">
        <v>1997</v>
      </c>
      <c r="AW372" s="7" t="s">
        <v>1998</v>
      </c>
      <c r="AX372" s="7" t="s">
        <v>1999</v>
      </c>
      <c r="AY372" s="7" t="s">
        <v>2000</v>
      </c>
      <c r="AZ372" s="7" t="s">
        <v>2001</v>
      </c>
      <c r="BA372" s="7" t="s">
        <v>2002</v>
      </c>
    </row>
    <row r="373" spans="1:54" ht="78" customHeight="1" x14ac:dyDescent="0.4">
      <c r="A373" s="67" t="s">
        <v>219</v>
      </c>
      <c r="B373" t="e">
        <f>_xlfn.XLOOKUP(A373,'Product info'!A:A,'Product info'!C:C,,2)</f>
        <v>#N/A</v>
      </c>
      <c r="C373" s="69" t="s">
        <v>688</v>
      </c>
      <c r="D373" s="7" t="s">
        <v>689</v>
      </c>
      <c r="E373" s="7" t="s">
        <v>690</v>
      </c>
      <c r="F373" s="7" t="s">
        <v>691</v>
      </c>
      <c r="G373" s="7" t="s">
        <v>692</v>
      </c>
      <c r="H373" s="7" t="s">
        <v>693</v>
      </c>
      <c r="I373" s="7" t="s">
        <v>694</v>
      </c>
      <c r="J373" s="7" t="s">
        <v>695</v>
      </c>
      <c r="K373" s="7" t="s">
        <v>696</v>
      </c>
      <c r="L373" s="7" t="s">
        <v>697</v>
      </c>
      <c r="M373" s="7" t="s">
        <v>698</v>
      </c>
      <c r="N373" s="7" t="s">
        <v>699</v>
      </c>
      <c r="O373" s="7" t="s">
        <v>700</v>
      </c>
      <c r="P373" s="7" t="s">
        <v>701</v>
      </c>
      <c r="Q373" s="7" t="s">
        <v>702</v>
      </c>
      <c r="R373" s="7" t="s">
        <v>703</v>
      </c>
      <c r="S373" s="7" t="s">
        <v>704</v>
      </c>
      <c r="T373" s="7" t="s">
        <v>705</v>
      </c>
      <c r="U373" s="7" t="s">
        <v>706</v>
      </c>
      <c r="V373" s="7" t="s">
        <v>707</v>
      </c>
      <c r="W373" s="7" t="s">
        <v>708</v>
      </c>
      <c r="X373" s="7" t="s">
        <v>709</v>
      </c>
      <c r="Y373" s="7" t="s">
        <v>710</v>
      </c>
      <c r="Z373" s="7" t="s">
        <v>711</v>
      </c>
      <c r="AA373" s="7" t="s">
        <v>712</v>
      </c>
      <c r="AB373" s="7" t="s">
        <v>694</v>
      </c>
      <c r="AC373" s="7" t="s">
        <v>713</v>
      </c>
      <c r="AD373" s="7" t="s">
        <v>714</v>
      </c>
      <c r="AE373" s="7" t="s">
        <v>715</v>
      </c>
      <c r="AF373" s="7" t="s">
        <v>716</v>
      </c>
      <c r="AG373" s="7" t="s">
        <v>2003</v>
      </c>
      <c r="AH373" s="7" t="s">
        <v>2004</v>
      </c>
      <c r="AI373" s="7" t="s">
        <v>1591</v>
      </c>
      <c r="AJ373" s="7" t="s">
        <v>1592</v>
      </c>
      <c r="AK373" s="7" t="s">
        <v>2005</v>
      </c>
      <c r="AL373" s="7" t="s">
        <v>2006</v>
      </c>
      <c r="AM373" s="7" t="s">
        <v>1862</v>
      </c>
      <c r="AN373" s="7" t="s">
        <v>2007</v>
      </c>
      <c r="AO373" s="7" t="s">
        <v>2008</v>
      </c>
      <c r="AP373" s="7" t="s">
        <v>1991</v>
      </c>
      <c r="AQ373" s="7" t="s">
        <v>1992</v>
      </c>
      <c r="AR373" s="7" t="s">
        <v>1993</v>
      </c>
      <c r="AS373" s="7" t="s">
        <v>2009</v>
      </c>
      <c r="AT373" s="7" t="s">
        <v>2010</v>
      </c>
      <c r="AU373" s="7" t="s">
        <v>2011</v>
      </c>
      <c r="AV373" s="7" t="s">
        <v>2012</v>
      </c>
      <c r="AW373" s="7" t="s">
        <v>1998</v>
      </c>
      <c r="AX373" s="7" t="s">
        <v>1999</v>
      </c>
      <c r="AY373" s="7" t="s">
        <v>2013</v>
      </c>
      <c r="AZ373" s="7" t="s">
        <v>2001</v>
      </c>
      <c r="BA373" s="7" t="s">
        <v>2002</v>
      </c>
    </row>
    <row r="374" spans="1:54" ht="78" customHeight="1" x14ac:dyDescent="0.4">
      <c r="A374" s="67" t="s">
        <v>217</v>
      </c>
      <c r="B374" t="e">
        <f>_xlfn.XLOOKUP(A374,'Product info'!A:A,'Product info'!C:C,,2)</f>
        <v>#N/A</v>
      </c>
      <c r="C374" s="69" t="s">
        <v>688</v>
      </c>
      <c r="D374" s="7" t="s">
        <v>689</v>
      </c>
      <c r="E374" s="7" t="s">
        <v>690</v>
      </c>
      <c r="F374" s="7" t="s">
        <v>691</v>
      </c>
      <c r="G374" s="7" t="s">
        <v>692</v>
      </c>
      <c r="H374" s="7" t="s">
        <v>693</v>
      </c>
      <c r="I374" s="7" t="s">
        <v>694</v>
      </c>
      <c r="J374" s="7" t="s">
        <v>695</v>
      </c>
      <c r="K374" s="7" t="s">
        <v>696</v>
      </c>
      <c r="L374" s="7" t="s">
        <v>697</v>
      </c>
      <c r="M374" s="7" t="s">
        <v>698</v>
      </c>
      <c r="N374" s="7" t="s">
        <v>699</v>
      </c>
      <c r="O374" s="7" t="s">
        <v>700</v>
      </c>
      <c r="P374" s="7" t="s">
        <v>701</v>
      </c>
      <c r="Q374" s="7" t="s">
        <v>702</v>
      </c>
      <c r="R374" s="7" t="s">
        <v>703</v>
      </c>
      <c r="S374" s="7" t="s">
        <v>704</v>
      </c>
      <c r="T374" s="7" t="s">
        <v>705</v>
      </c>
      <c r="U374" s="7" t="s">
        <v>706</v>
      </c>
      <c r="V374" s="7" t="s">
        <v>707</v>
      </c>
      <c r="W374" s="7" t="s">
        <v>708</v>
      </c>
      <c r="X374" s="7" t="s">
        <v>709</v>
      </c>
      <c r="Y374" s="7" t="s">
        <v>710</v>
      </c>
      <c r="Z374" s="7" t="s">
        <v>711</v>
      </c>
      <c r="AA374" s="7" t="s">
        <v>712</v>
      </c>
      <c r="AB374" s="7" t="s">
        <v>694</v>
      </c>
      <c r="AC374" s="7" t="s">
        <v>713</v>
      </c>
      <c r="AD374" s="7" t="s">
        <v>714</v>
      </c>
      <c r="AE374" s="7" t="s">
        <v>715</v>
      </c>
      <c r="AF374" s="7" t="s">
        <v>716</v>
      </c>
      <c r="AG374" s="7" t="s">
        <v>2003</v>
      </c>
      <c r="AH374" s="7" t="s">
        <v>1986</v>
      </c>
      <c r="AI374" s="7" t="s">
        <v>1591</v>
      </c>
      <c r="AJ374" s="7" t="s">
        <v>1592</v>
      </c>
      <c r="AK374" s="7" t="s">
        <v>1987</v>
      </c>
      <c r="AL374" s="7" t="s">
        <v>1988</v>
      </c>
      <c r="AM374" s="7" t="s">
        <v>1862</v>
      </c>
      <c r="AN374" s="7" t="s">
        <v>1989</v>
      </c>
      <c r="AO374" s="7" t="s">
        <v>1990</v>
      </c>
      <c r="AP374" s="7" t="s">
        <v>1991</v>
      </c>
      <c r="AQ374" s="7" t="s">
        <v>1992</v>
      </c>
      <c r="AR374" s="7" t="s">
        <v>1993</v>
      </c>
      <c r="AS374" s="7" t="s">
        <v>1994</v>
      </c>
      <c r="AT374" s="7" t="s">
        <v>2014</v>
      </c>
      <c r="AU374" s="7" t="s">
        <v>2015</v>
      </c>
      <c r="AV374" s="7" t="s">
        <v>2016</v>
      </c>
      <c r="AW374" s="7" t="s">
        <v>1997</v>
      </c>
      <c r="AX374" s="7" t="s">
        <v>1998</v>
      </c>
      <c r="AY374" s="7" t="s">
        <v>1999</v>
      </c>
      <c r="AZ374" s="7" t="s">
        <v>2017</v>
      </c>
      <c r="BA374" s="7" t="s">
        <v>2001</v>
      </c>
      <c r="BB374" s="7" t="s">
        <v>2002</v>
      </c>
    </row>
    <row r="375" spans="1:54" ht="78" customHeight="1" x14ac:dyDescent="0.4">
      <c r="A375" s="67" t="s">
        <v>216</v>
      </c>
      <c r="B375" t="e">
        <f>_xlfn.XLOOKUP(A375,'Product info'!A:A,'Product info'!C:C,,2)</f>
        <v>#N/A</v>
      </c>
      <c r="C375" s="69" t="s">
        <v>688</v>
      </c>
      <c r="D375" s="7" t="s">
        <v>689</v>
      </c>
      <c r="E375" s="7" t="s">
        <v>690</v>
      </c>
      <c r="F375" s="7" t="s">
        <v>691</v>
      </c>
      <c r="G375" s="7" t="s">
        <v>692</v>
      </c>
      <c r="H375" s="7" t="s">
        <v>693</v>
      </c>
      <c r="I375" s="7" t="s">
        <v>694</v>
      </c>
      <c r="J375" s="7" t="s">
        <v>695</v>
      </c>
      <c r="K375" s="7" t="s">
        <v>696</v>
      </c>
      <c r="L375" s="7" t="s">
        <v>697</v>
      </c>
      <c r="M375" s="7" t="s">
        <v>698</v>
      </c>
      <c r="N375" s="7" t="s">
        <v>699</v>
      </c>
      <c r="O375" s="7" t="s">
        <v>700</v>
      </c>
      <c r="P375" s="7" t="s">
        <v>701</v>
      </c>
      <c r="Q375" s="7" t="s">
        <v>702</v>
      </c>
      <c r="R375" s="7" t="s">
        <v>703</v>
      </c>
      <c r="S375" s="7" t="s">
        <v>704</v>
      </c>
      <c r="T375" s="7" t="s">
        <v>705</v>
      </c>
      <c r="U375" s="7" t="s">
        <v>706</v>
      </c>
      <c r="V375" s="7" t="s">
        <v>707</v>
      </c>
      <c r="W375" s="7" t="s">
        <v>708</v>
      </c>
      <c r="X375" s="7" t="s">
        <v>709</v>
      </c>
      <c r="Y375" s="7" t="s">
        <v>710</v>
      </c>
      <c r="Z375" s="7" t="s">
        <v>711</v>
      </c>
      <c r="AA375" s="7" t="s">
        <v>712</v>
      </c>
      <c r="AB375" s="7" t="s">
        <v>694</v>
      </c>
      <c r="AC375" s="7" t="s">
        <v>713</v>
      </c>
      <c r="AD375" s="7" t="s">
        <v>714</v>
      </c>
      <c r="AE375" s="7" t="s">
        <v>715</v>
      </c>
      <c r="AF375" s="7" t="s">
        <v>716</v>
      </c>
      <c r="AG375" s="7" t="s">
        <v>1985</v>
      </c>
      <c r="AH375" s="7" t="s">
        <v>1986</v>
      </c>
      <c r="AI375" s="7" t="s">
        <v>1591</v>
      </c>
      <c r="AJ375" s="7" t="s">
        <v>1592</v>
      </c>
      <c r="AK375" s="7" t="s">
        <v>1987</v>
      </c>
      <c r="AL375" s="7" t="s">
        <v>1988</v>
      </c>
      <c r="AM375" s="7" t="s">
        <v>1862</v>
      </c>
      <c r="AN375" s="7" t="s">
        <v>1989</v>
      </c>
      <c r="AO375" s="7" t="s">
        <v>1990</v>
      </c>
      <c r="AP375" s="7" t="s">
        <v>1991</v>
      </c>
      <c r="AQ375" s="7" t="s">
        <v>1992</v>
      </c>
      <c r="AR375" s="7" t="s">
        <v>1993</v>
      </c>
      <c r="AS375" s="7" t="s">
        <v>1994</v>
      </c>
      <c r="AT375" s="7" t="s">
        <v>2014</v>
      </c>
      <c r="AU375" s="7" t="s">
        <v>2015</v>
      </c>
      <c r="AV375" s="7" t="s">
        <v>2016</v>
      </c>
      <c r="AW375" s="7" t="s">
        <v>1997</v>
      </c>
      <c r="AX375" s="7" t="s">
        <v>1998</v>
      </c>
      <c r="AY375" s="7" t="s">
        <v>1999</v>
      </c>
      <c r="AZ375" s="7" t="s">
        <v>2018</v>
      </c>
      <c r="BA375" s="7" t="s">
        <v>2001</v>
      </c>
      <c r="BB375" s="7" t="s">
        <v>2002</v>
      </c>
    </row>
    <row r="376" spans="1:54" ht="78" customHeight="1" x14ac:dyDescent="0.4">
      <c r="A376" s="67" t="s">
        <v>226</v>
      </c>
      <c r="B376" t="e">
        <f>_xlfn.XLOOKUP(A376,'Product info'!A:A,'Product info'!C:C,,2)</f>
        <v>#N/A</v>
      </c>
      <c r="C376" s="69" t="s">
        <v>688</v>
      </c>
      <c r="D376" s="7" t="s">
        <v>689</v>
      </c>
      <c r="E376" s="7" t="s">
        <v>690</v>
      </c>
      <c r="F376" s="7" t="s">
        <v>691</v>
      </c>
      <c r="G376" s="7" t="s">
        <v>692</v>
      </c>
      <c r="H376" s="7" t="s">
        <v>693</v>
      </c>
      <c r="I376" s="7" t="s">
        <v>694</v>
      </c>
      <c r="J376" s="7" t="s">
        <v>695</v>
      </c>
      <c r="K376" s="7" t="s">
        <v>696</v>
      </c>
      <c r="L376" s="7" t="s">
        <v>697</v>
      </c>
      <c r="M376" s="7" t="s">
        <v>698</v>
      </c>
      <c r="N376" s="7" t="s">
        <v>699</v>
      </c>
      <c r="O376" s="7" t="s">
        <v>700</v>
      </c>
      <c r="P376" s="7" t="s">
        <v>701</v>
      </c>
      <c r="Q376" s="7" t="s">
        <v>702</v>
      </c>
      <c r="R376" s="7" t="s">
        <v>703</v>
      </c>
      <c r="S376" s="7" t="s">
        <v>704</v>
      </c>
      <c r="T376" s="7" t="s">
        <v>705</v>
      </c>
      <c r="U376" s="7" t="s">
        <v>706</v>
      </c>
      <c r="V376" s="7" t="s">
        <v>707</v>
      </c>
      <c r="W376" s="7" t="s">
        <v>708</v>
      </c>
      <c r="X376" s="7" t="s">
        <v>709</v>
      </c>
      <c r="Y376" s="7" t="s">
        <v>710</v>
      </c>
      <c r="Z376" s="7" t="s">
        <v>711</v>
      </c>
      <c r="AA376" s="7" t="s">
        <v>712</v>
      </c>
      <c r="AB376" s="7" t="s">
        <v>694</v>
      </c>
      <c r="AC376" s="7" t="s">
        <v>713</v>
      </c>
      <c r="AD376" s="7" t="s">
        <v>714</v>
      </c>
      <c r="AE376" s="7" t="s">
        <v>715</v>
      </c>
      <c r="AF376" s="7" t="s">
        <v>716</v>
      </c>
      <c r="AG376" s="7" t="s">
        <v>896</v>
      </c>
      <c r="AH376" s="7" t="s">
        <v>2019</v>
      </c>
      <c r="AI376" s="7" t="s">
        <v>2020</v>
      </c>
      <c r="AJ376" s="7" t="s">
        <v>2021</v>
      </c>
      <c r="AK376" s="7" t="s">
        <v>2022</v>
      </c>
      <c r="AL376" s="7" t="s">
        <v>2023</v>
      </c>
      <c r="AM376" s="7" t="s">
        <v>2024</v>
      </c>
      <c r="AN376" s="7" t="s">
        <v>1739</v>
      </c>
      <c r="AO376" s="7" t="s">
        <v>2025</v>
      </c>
      <c r="AP376" s="7" t="s">
        <v>2026</v>
      </c>
      <c r="AQ376" s="7" t="s">
        <v>2027</v>
      </c>
      <c r="AR376" s="7" t="s">
        <v>2028</v>
      </c>
      <c r="AS376" s="7" t="s">
        <v>2029</v>
      </c>
      <c r="AT376" s="7" t="s">
        <v>2030</v>
      </c>
      <c r="AU376" s="7" t="s">
        <v>2031</v>
      </c>
      <c r="AV376" s="7" t="s">
        <v>2032</v>
      </c>
      <c r="AW376" s="7" t="s">
        <v>2033</v>
      </c>
      <c r="AX376" s="7" t="s">
        <v>2034</v>
      </c>
      <c r="AY376" s="7" t="s">
        <v>2035</v>
      </c>
      <c r="AZ376" s="7" t="s">
        <v>2036</v>
      </c>
      <c r="BA376" s="7" t="s">
        <v>2037</v>
      </c>
      <c r="BB376" s="7" t="s">
        <v>2038</v>
      </c>
    </row>
    <row r="377" spans="1:54" ht="78" customHeight="1" x14ac:dyDescent="0.4">
      <c r="A377" s="67" t="s">
        <v>330</v>
      </c>
      <c r="B377" t="e">
        <f>_xlfn.XLOOKUP(A377,'Product info'!A:A,'Product info'!C:C,,2)</f>
        <v>#N/A</v>
      </c>
      <c r="C377" s="69" t="s">
        <v>688</v>
      </c>
      <c r="D377" s="7" t="s">
        <v>689</v>
      </c>
      <c r="E377" s="7" t="s">
        <v>690</v>
      </c>
      <c r="F377" s="7" t="s">
        <v>691</v>
      </c>
      <c r="G377" s="7" t="s">
        <v>692</v>
      </c>
      <c r="H377" s="7" t="s">
        <v>693</v>
      </c>
      <c r="I377" s="7" t="s">
        <v>694</v>
      </c>
      <c r="J377" s="7" t="s">
        <v>695</v>
      </c>
      <c r="K377" s="7" t="s">
        <v>696</v>
      </c>
      <c r="L377" s="7" t="s">
        <v>697</v>
      </c>
      <c r="M377" s="7" t="s">
        <v>698</v>
      </c>
      <c r="N377" s="7" t="s">
        <v>699</v>
      </c>
      <c r="O377" s="7" t="s">
        <v>700</v>
      </c>
      <c r="P377" s="7" t="s">
        <v>701</v>
      </c>
      <c r="Q377" s="7" t="s">
        <v>702</v>
      </c>
      <c r="R377" s="7" t="s">
        <v>703</v>
      </c>
      <c r="S377" s="7" t="s">
        <v>704</v>
      </c>
      <c r="T377" s="7" t="s">
        <v>705</v>
      </c>
      <c r="U377" s="7" t="s">
        <v>706</v>
      </c>
      <c r="V377" s="7" t="s">
        <v>707</v>
      </c>
      <c r="W377" s="7" t="s">
        <v>708</v>
      </c>
      <c r="X377" s="7" t="s">
        <v>709</v>
      </c>
      <c r="Y377" s="7" t="s">
        <v>710</v>
      </c>
      <c r="Z377" s="7" t="s">
        <v>711</v>
      </c>
      <c r="AA377" s="7" t="s">
        <v>712</v>
      </c>
      <c r="AB377" s="7" t="s">
        <v>694</v>
      </c>
      <c r="AC377" s="7" t="s">
        <v>713</v>
      </c>
      <c r="AD377" s="7" t="s">
        <v>714</v>
      </c>
      <c r="AE377" s="7" t="s">
        <v>715</v>
      </c>
      <c r="AF377" s="7" t="s">
        <v>716</v>
      </c>
      <c r="AG377" s="7" t="s">
        <v>2039</v>
      </c>
      <c r="AH377" s="7" t="s">
        <v>2040</v>
      </c>
      <c r="AI377" s="7" t="s">
        <v>2041</v>
      </c>
      <c r="AJ377" s="7" t="s">
        <v>2042</v>
      </c>
      <c r="AK377" s="7" t="s">
        <v>2043</v>
      </c>
      <c r="AL377" s="7" t="s">
        <v>2044</v>
      </c>
      <c r="AM377" s="7" t="s">
        <v>2045</v>
      </c>
      <c r="AN377" s="7" t="s">
        <v>2046</v>
      </c>
      <c r="AO377" s="7" t="s">
        <v>2047</v>
      </c>
      <c r="AP377" s="7" t="s">
        <v>2048</v>
      </c>
    </row>
    <row r="378" spans="1:54" ht="78" customHeight="1" x14ac:dyDescent="0.4">
      <c r="A378" s="67" t="s">
        <v>334</v>
      </c>
      <c r="B378" t="e">
        <f>_xlfn.XLOOKUP(A378,'Product info'!A:A,'Product info'!C:C,,2)</f>
        <v>#N/A</v>
      </c>
      <c r="C378" s="69" t="s">
        <v>688</v>
      </c>
      <c r="D378" s="7" t="s">
        <v>689</v>
      </c>
      <c r="E378" s="7" t="s">
        <v>690</v>
      </c>
      <c r="F378" s="7" t="s">
        <v>691</v>
      </c>
      <c r="G378" s="7" t="s">
        <v>692</v>
      </c>
      <c r="H378" s="7" t="s">
        <v>693</v>
      </c>
      <c r="I378" s="7" t="s">
        <v>694</v>
      </c>
      <c r="J378" s="7" t="s">
        <v>695</v>
      </c>
      <c r="K378" s="7" t="s">
        <v>696</v>
      </c>
      <c r="L378" s="7" t="s">
        <v>697</v>
      </c>
      <c r="M378" s="7" t="s">
        <v>698</v>
      </c>
      <c r="N378" s="7" t="s">
        <v>699</v>
      </c>
      <c r="O378" s="7" t="s">
        <v>700</v>
      </c>
      <c r="P378" s="7" t="s">
        <v>701</v>
      </c>
      <c r="Q378" s="7" t="s">
        <v>702</v>
      </c>
      <c r="R378" s="7" t="s">
        <v>703</v>
      </c>
      <c r="S378" s="7" t="s">
        <v>704</v>
      </c>
      <c r="T378" s="7" t="s">
        <v>705</v>
      </c>
      <c r="U378" s="7" t="s">
        <v>706</v>
      </c>
      <c r="V378" s="7" t="s">
        <v>707</v>
      </c>
      <c r="W378" s="7" t="s">
        <v>708</v>
      </c>
      <c r="X378" s="7" t="s">
        <v>709</v>
      </c>
      <c r="Y378" s="7" t="s">
        <v>710</v>
      </c>
      <c r="Z378" s="7" t="s">
        <v>711</v>
      </c>
      <c r="AA378" s="7" t="s">
        <v>712</v>
      </c>
      <c r="AB378" s="7" t="s">
        <v>694</v>
      </c>
      <c r="AC378" s="7" t="s">
        <v>713</v>
      </c>
      <c r="AD378" s="7" t="s">
        <v>714</v>
      </c>
      <c r="AE378" s="7" t="s">
        <v>715</v>
      </c>
      <c r="AF378" s="7" t="s">
        <v>716</v>
      </c>
      <c r="AG378" s="7" t="s">
        <v>2039</v>
      </c>
      <c r="AH378" s="7" t="s">
        <v>2040</v>
      </c>
      <c r="AI378" s="7" t="s">
        <v>2041</v>
      </c>
      <c r="AJ378" s="7" t="s">
        <v>2042</v>
      </c>
      <c r="AK378" s="7" t="s">
        <v>2043</v>
      </c>
      <c r="AL378" s="7" t="s">
        <v>2044</v>
      </c>
      <c r="AM378" s="7" t="s">
        <v>2045</v>
      </c>
      <c r="AN378" s="7" t="s">
        <v>2046</v>
      </c>
      <c r="AO378" s="7" t="s">
        <v>2047</v>
      </c>
      <c r="AP378" s="7" t="s">
        <v>2048</v>
      </c>
    </row>
    <row r="379" spans="1:54" ht="78" customHeight="1" x14ac:dyDescent="0.4">
      <c r="A379" s="67" t="s">
        <v>337</v>
      </c>
      <c r="B379" t="e">
        <f>_xlfn.XLOOKUP(A379,'Product info'!A:A,'Product info'!C:C,,2)</f>
        <v>#N/A</v>
      </c>
      <c r="C379" s="69" t="s">
        <v>688</v>
      </c>
      <c r="D379" s="7" t="s">
        <v>689</v>
      </c>
      <c r="E379" s="7" t="s">
        <v>690</v>
      </c>
      <c r="F379" s="7" t="s">
        <v>691</v>
      </c>
      <c r="G379" s="7" t="s">
        <v>692</v>
      </c>
      <c r="H379" s="7" t="s">
        <v>693</v>
      </c>
      <c r="I379" s="7" t="s">
        <v>694</v>
      </c>
      <c r="J379" s="7" t="s">
        <v>695</v>
      </c>
      <c r="K379" s="7" t="s">
        <v>696</v>
      </c>
      <c r="L379" s="7" t="s">
        <v>697</v>
      </c>
      <c r="M379" s="7" t="s">
        <v>698</v>
      </c>
      <c r="N379" s="7" t="s">
        <v>699</v>
      </c>
      <c r="O379" s="7" t="s">
        <v>700</v>
      </c>
      <c r="P379" s="7" t="s">
        <v>701</v>
      </c>
      <c r="Q379" s="7" t="s">
        <v>702</v>
      </c>
      <c r="R379" s="7" t="s">
        <v>703</v>
      </c>
      <c r="S379" s="7" t="s">
        <v>704</v>
      </c>
      <c r="T379" s="7" t="s">
        <v>705</v>
      </c>
      <c r="U379" s="7" t="s">
        <v>706</v>
      </c>
      <c r="V379" s="7" t="s">
        <v>707</v>
      </c>
      <c r="W379" s="7" t="s">
        <v>708</v>
      </c>
      <c r="X379" s="7" t="s">
        <v>709</v>
      </c>
      <c r="Y379" s="7" t="s">
        <v>710</v>
      </c>
      <c r="Z379" s="7" t="s">
        <v>711</v>
      </c>
      <c r="AA379" s="7" t="s">
        <v>712</v>
      </c>
      <c r="AB379" s="7" t="s">
        <v>694</v>
      </c>
      <c r="AC379" s="7" t="s">
        <v>713</v>
      </c>
      <c r="AD379" s="7" t="s">
        <v>714</v>
      </c>
      <c r="AE379" s="7" t="s">
        <v>715</v>
      </c>
      <c r="AF379" s="7" t="s">
        <v>716</v>
      </c>
      <c r="AG379" s="7" t="s">
        <v>2039</v>
      </c>
      <c r="AH379" s="7" t="s">
        <v>2040</v>
      </c>
      <c r="AI379" s="7" t="s">
        <v>2041</v>
      </c>
      <c r="AJ379" s="7" t="s">
        <v>2042</v>
      </c>
      <c r="AK379" s="7" t="s">
        <v>2043</v>
      </c>
      <c r="AL379" s="7" t="s">
        <v>2044</v>
      </c>
      <c r="AM379" s="7" t="s">
        <v>2045</v>
      </c>
      <c r="AN379" s="7" t="s">
        <v>2046</v>
      </c>
      <c r="AO379" s="7" t="s">
        <v>2047</v>
      </c>
      <c r="AP379" s="7" t="s">
        <v>2048</v>
      </c>
    </row>
    <row r="380" spans="1:54" ht="78" customHeight="1" x14ac:dyDescent="0.4">
      <c r="A380" s="67" t="s">
        <v>335</v>
      </c>
      <c r="B380" t="e">
        <f>_xlfn.XLOOKUP(A380,'Product info'!A:A,'Product info'!C:C,,2)</f>
        <v>#N/A</v>
      </c>
      <c r="C380" s="69" t="s">
        <v>688</v>
      </c>
      <c r="D380" s="7" t="s">
        <v>689</v>
      </c>
      <c r="E380" s="7" t="s">
        <v>690</v>
      </c>
      <c r="F380" s="7" t="s">
        <v>691</v>
      </c>
      <c r="G380" s="7" t="s">
        <v>692</v>
      </c>
      <c r="H380" s="7" t="s">
        <v>693</v>
      </c>
      <c r="I380" s="7" t="s">
        <v>694</v>
      </c>
      <c r="J380" s="7" t="s">
        <v>695</v>
      </c>
      <c r="K380" s="7" t="s">
        <v>696</v>
      </c>
      <c r="L380" s="7" t="s">
        <v>697</v>
      </c>
      <c r="M380" s="7" t="s">
        <v>698</v>
      </c>
      <c r="N380" s="7" t="s">
        <v>699</v>
      </c>
      <c r="O380" s="7" t="s">
        <v>700</v>
      </c>
      <c r="P380" s="7" t="s">
        <v>701</v>
      </c>
      <c r="Q380" s="7" t="s">
        <v>702</v>
      </c>
      <c r="R380" s="7" t="s">
        <v>703</v>
      </c>
      <c r="S380" s="7" t="s">
        <v>704</v>
      </c>
      <c r="T380" s="7" t="s">
        <v>705</v>
      </c>
      <c r="U380" s="7" t="s">
        <v>706</v>
      </c>
      <c r="V380" s="7" t="s">
        <v>707</v>
      </c>
      <c r="W380" s="7" t="s">
        <v>708</v>
      </c>
      <c r="X380" s="7" t="s">
        <v>709</v>
      </c>
      <c r="Y380" s="7" t="s">
        <v>710</v>
      </c>
      <c r="Z380" s="7" t="s">
        <v>711</v>
      </c>
      <c r="AA380" s="7" t="s">
        <v>712</v>
      </c>
      <c r="AB380" s="7" t="s">
        <v>694</v>
      </c>
      <c r="AC380" s="7" t="s">
        <v>713</v>
      </c>
      <c r="AD380" s="7" t="s">
        <v>714</v>
      </c>
      <c r="AE380" s="7" t="s">
        <v>715</v>
      </c>
      <c r="AF380" s="7" t="s">
        <v>716</v>
      </c>
      <c r="AG380" s="7" t="s">
        <v>2039</v>
      </c>
      <c r="AH380" s="7" t="s">
        <v>2040</v>
      </c>
      <c r="AI380" s="7" t="s">
        <v>2041</v>
      </c>
      <c r="AJ380" s="7" t="s">
        <v>2042</v>
      </c>
      <c r="AK380" s="7" t="s">
        <v>2043</v>
      </c>
      <c r="AL380" s="7" t="s">
        <v>2044</v>
      </c>
      <c r="AM380" s="7" t="s">
        <v>2045</v>
      </c>
      <c r="AN380" s="7" t="s">
        <v>2046</v>
      </c>
      <c r="AO380" s="7" t="s">
        <v>2047</v>
      </c>
      <c r="AP380" s="7" t="s">
        <v>2048</v>
      </c>
    </row>
    <row r="381" spans="1:54" ht="78" customHeight="1" x14ac:dyDescent="0.4">
      <c r="A381" s="67" t="s">
        <v>329</v>
      </c>
      <c r="B381" t="e">
        <f>_xlfn.XLOOKUP(A381,'Product info'!A:A,'Product info'!C:C,,2)</f>
        <v>#N/A</v>
      </c>
      <c r="C381" s="69" t="s">
        <v>688</v>
      </c>
      <c r="D381" s="7" t="s">
        <v>689</v>
      </c>
      <c r="E381" s="7" t="s">
        <v>690</v>
      </c>
      <c r="F381" s="7" t="s">
        <v>691</v>
      </c>
      <c r="G381" s="7" t="s">
        <v>692</v>
      </c>
      <c r="H381" s="7" t="s">
        <v>693</v>
      </c>
      <c r="I381" s="7" t="s">
        <v>694</v>
      </c>
      <c r="J381" s="7" t="s">
        <v>695</v>
      </c>
      <c r="K381" s="7" t="s">
        <v>696</v>
      </c>
      <c r="L381" s="7" t="s">
        <v>697</v>
      </c>
      <c r="M381" s="7" t="s">
        <v>698</v>
      </c>
      <c r="N381" s="7" t="s">
        <v>699</v>
      </c>
      <c r="O381" s="7" t="s">
        <v>700</v>
      </c>
      <c r="P381" s="7" t="s">
        <v>701</v>
      </c>
      <c r="Q381" s="7" t="s">
        <v>702</v>
      </c>
      <c r="R381" s="7" t="s">
        <v>703</v>
      </c>
      <c r="S381" s="7" t="s">
        <v>704</v>
      </c>
      <c r="T381" s="7" t="s">
        <v>705</v>
      </c>
      <c r="U381" s="7" t="s">
        <v>706</v>
      </c>
      <c r="V381" s="7" t="s">
        <v>707</v>
      </c>
      <c r="W381" s="7" t="s">
        <v>708</v>
      </c>
      <c r="X381" s="7" t="s">
        <v>709</v>
      </c>
      <c r="Y381" s="7" t="s">
        <v>710</v>
      </c>
      <c r="Z381" s="7" t="s">
        <v>711</v>
      </c>
      <c r="AA381" s="7" t="s">
        <v>712</v>
      </c>
      <c r="AB381" s="7" t="s">
        <v>694</v>
      </c>
      <c r="AC381" s="7" t="s">
        <v>713</v>
      </c>
      <c r="AD381" s="7" t="s">
        <v>714</v>
      </c>
      <c r="AE381" s="7" t="s">
        <v>715</v>
      </c>
      <c r="AF381" s="7" t="s">
        <v>716</v>
      </c>
      <c r="AG381" s="7" t="s">
        <v>2039</v>
      </c>
      <c r="AH381" s="7" t="s">
        <v>2040</v>
      </c>
      <c r="AI381" s="7" t="s">
        <v>2041</v>
      </c>
      <c r="AJ381" s="7" t="s">
        <v>2042</v>
      </c>
      <c r="AK381" s="7" t="s">
        <v>2043</v>
      </c>
      <c r="AL381" s="7" t="s">
        <v>2044</v>
      </c>
      <c r="AM381" s="7" t="s">
        <v>2045</v>
      </c>
      <c r="AN381" s="7" t="s">
        <v>2046</v>
      </c>
      <c r="AO381" s="7" t="s">
        <v>2047</v>
      </c>
      <c r="AP381" s="7" t="s">
        <v>2048</v>
      </c>
    </row>
    <row r="382" spans="1:54" ht="78" customHeight="1" x14ac:dyDescent="0.4">
      <c r="A382" s="67" t="s">
        <v>333</v>
      </c>
      <c r="B382" t="e">
        <f>_xlfn.XLOOKUP(A382,'Product info'!A:A,'Product info'!C:C,,2)</f>
        <v>#N/A</v>
      </c>
      <c r="C382" s="69" t="s">
        <v>688</v>
      </c>
      <c r="D382" s="7" t="s">
        <v>689</v>
      </c>
      <c r="E382" s="7" t="s">
        <v>690</v>
      </c>
      <c r="F382" s="7" t="s">
        <v>691</v>
      </c>
      <c r="G382" s="7" t="s">
        <v>692</v>
      </c>
      <c r="H382" s="7" t="s">
        <v>693</v>
      </c>
      <c r="I382" s="7" t="s">
        <v>694</v>
      </c>
      <c r="J382" s="7" t="s">
        <v>695</v>
      </c>
      <c r="K382" s="7" t="s">
        <v>696</v>
      </c>
      <c r="L382" s="7" t="s">
        <v>697</v>
      </c>
      <c r="M382" s="7" t="s">
        <v>698</v>
      </c>
      <c r="N382" s="7" t="s">
        <v>699</v>
      </c>
      <c r="O382" s="7" t="s">
        <v>700</v>
      </c>
      <c r="P382" s="7" t="s">
        <v>701</v>
      </c>
      <c r="Q382" s="7" t="s">
        <v>702</v>
      </c>
      <c r="R382" s="7" t="s">
        <v>703</v>
      </c>
      <c r="S382" s="7" t="s">
        <v>704</v>
      </c>
      <c r="T382" s="7" t="s">
        <v>705</v>
      </c>
      <c r="U382" s="7" t="s">
        <v>706</v>
      </c>
      <c r="V382" s="7" t="s">
        <v>707</v>
      </c>
      <c r="W382" s="7" t="s">
        <v>708</v>
      </c>
      <c r="X382" s="7" t="s">
        <v>709</v>
      </c>
      <c r="Y382" s="7" t="s">
        <v>710</v>
      </c>
      <c r="Z382" s="7" t="s">
        <v>711</v>
      </c>
      <c r="AA382" s="7" t="s">
        <v>712</v>
      </c>
      <c r="AB382" s="7" t="s">
        <v>694</v>
      </c>
      <c r="AC382" s="7" t="s">
        <v>713</v>
      </c>
      <c r="AD382" s="7" t="s">
        <v>714</v>
      </c>
      <c r="AE382" s="7" t="s">
        <v>715</v>
      </c>
      <c r="AF382" s="7" t="s">
        <v>716</v>
      </c>
      <c r="AG382" s="7" t="s">
        <v>2039</v>
      </c>
      <c r="AH382" s="7" t="s">
        <v>2040</v>
      </c>
      <c r="AI382" s="7" t="s">
        <v>2041</v>
      </c>
      <c r="AJ382" s="7" t="s">
        <v>2042</v>
      </c>
      <c r="AK382" s="7" t="s">
        <v>2043</v>
      </c>
      <c r="AL382" s="7" t="s">
        <v>2044</v>
      </c>
      <c r="AM382" s="7" t="s">
        <v>2045</v>
      </c>
      <c r="AN382" s="7" t="s">
        <v>2046</v>
      </c>
      <c r="AO382" s="7" t="s">
        <v>2047</v>
      </c>
      <c r="AP382" s="7" t="s">
        <v>2048</v>
      </c>
    </row>
    <row r="383" spans="1:54" ht="78" customHeight="1" x14ac:dyDescent="0.4">
      <c r="A383" s="67" t="s">
        <v>336</v>
      </c>
      <c r="B383" t="e">
        <f>_xlfn.XLOOKUP(A383,'Product info'!A:A,'Product info'!C:C,,2)</f>
        <v>#N/A</v>
      </c>
      <c r="C383" s="69" t="s">
        <v>688</v>
      </c>
      <c r="D383" s="7" t="s">
        <v>689</v>
      </c>
      <c r="E383" s="7" t="s">
        <v>690</v>
      </c>
      <c r="F383" s="7" t="s">
        <v>691</v>
      </c>
      <c r="G383" s="7" t="s">
        <v>692</v>
      </c>
      <c r="H383" s="7" t="s">
        <v>693</v>
      </c>
      <c r="I383" s="7" t="s">
        <v>694</v>
      </c>
      <c r="J383" s="7" t="s">
        <v>695</v>
      </c>
      <c r="K383" s="7" t="s">
        <v>696</v>
      </c>
      <c r="L383" s="7" t="s">
        <v>697</v>
      </c>
      <c r="M383" s="7" t="s">
        <v>698</v>
      </c>
      <c r="N383" s="7" t="s">
        <v>699</v>
      </c>
      <c r="O383" s="7" t="s">
        <v>700</v>
      </c>
      <c r="P383" s="7" t="s">
        <v>701</v>
      </c>
      <c r="Q383" s="7" t="s">
        <v>702</v>
      </c>
      <c r="R383" s="7" t="s">
        <v>703</v>
      </c>
      <c r="S383" s="7" t="s">
        <v>704</v>
      </c>
      <c r="T383" s="7" t="s">
        <v>705</v>
      </c>
      <c r="U383" s="7" t="s">
        <v>706</v>
      </c>
      <c r="V383" s="7" t="s">
        <v>707</v>
      </c>
      <c r="W383" s="7" t="s">
        <v>708</v>
      </c>
      <c r="X383" s="7" t="s">
        <v>709</v>
      </c>
      <c r="Y383" s="7" t="s">
        <v>710</v>
      </c>
      <c r="Z383" s="7" t="s">
        <v>711</v>
      </c>
      <c r="AA383" s="7" t="s">
        <v>712</v>
      </c>
      <c r="AB383" s="7" t="s">
        <v>694</v>
      </c>
      <c r="AC383" s="7" t="s">
        <v>713</v>
      </c>
      <c r="AD383" s="7" t="s">
        <v>714</v>
      </c>
      <c r="AE383" s="7" t="s">
        <v>715</v>
      </c>
      <c r="AF383" s="7" t="s">
        <v>716</v>
      </c>
      <c r="AG383" s="7" t="s">
        <v>2039</v>
      </c>
      <c r="AH383" s="7" t="s">
        <v>2040</v>
      </c>
      <c r="AI383" s="7" t="s">
        <v>2041</v>
      </c>
      <c r="AJ383" s="7" t="s">
        <v>2042</v>
      </c>
      <c r="AK383" s="7" t="s">
        <v>2043</v>
      </c>
      <c r="AL383" s="7" t="s">
        <v>2044</v>
      </c>
      <c r="AM383" s="7" t="s">
        <v>2045</v>
      </c>
      <c r="AN383" s="7" t="s">
        <v>2046</v>
      </c>
      <c r="AO383" s="7" t="s">
        <v>2047</v>
      </c>
      <c r="AP383" s="7" t="s">
        <v>2048</v>
      </c>
    </row>
    <row r="384" spans="1:54" ht="78" customHeight="1" x14ac:dyDescent="0.4">
      <c r="A384" s="67" t="s">
        <v>482</v>
      </c>
      <c r="B384" t="e">
        <f>_xlfn.XLOOKUP(A384,'Product info'!A:A,'Product info'!C:C,,2)</f>
        <v>#N/A</v>
      </c>
      <c r="C384" s="69" t="s">
        <v>688</v>
      </c>
      <c r="D384" s="7" t="s">
        <v>689</v>
      </c>
      <c r="E384" s="7" t="s">
        <v>690</v>
      </c>
      <c r="F384" s="7" t="s">
        <v>691</v>
      </c>
      <c r="G384" s="7" t="s">
        <v>692</v>
      </c>
      <c r="H384" s="7" t="s">
        <v>693</v>
      </c>
      <c r="I384" s="7" t="s">
        <v>694</v>
      </c>
      <c r="J384" s="7" t="s">
        <v>695</v>
      </c>
      <c r="K384" s="7" t="s">
        <v>696</v>
      </c>
      <c r="L384" s="7" t="s">
        <v>697</v>
      </c>
      <c r="M384" s="7" t="s">
        <v>698</v>
      </c>
      <c r="N384" s="7" t="s">
        <v>699</v>
      </c>
      <c r="O384" s="7" t="s">
        <v>700</v>
      </c>
      <c r="P384" s="7" t="s">
        <v>701</v>
      </c>
      <c r="Q384" s="7" t="s">
        <v>702</v>
      </c>
      <c r="R384" s="7" t="s">
        <v>703</v>
      </c>
      <c r="S384" s="7" t="s">
        <v>704</v>
      </c>
      <c r="T384" s="7" t="s">
        <v>705</v>
      </c>
      <c r="U384" s="7" t="s">
        <v>706</v>
      </c>
      <c r="V384" s="7" t="s">
        <v>707</v>
      </c>
      <c r="W384" s="7" t="s">
        <v>708</v>
      </c>
      <c r="X384" s="7" t="s">
        <v>709</v>
      </c>
      <c r="Y384" s="7" t="s">
        <v>710</v>
      </c>
      <c r="Z384" s="7" t="s">
        <v>711</v>
      </c>
      <c r="AA384" s="7" t="s">
        <v>712</v>
      </c>
      <c r="AB384" s="7" t="s">
        <v>694</v>
      </c>
      <c r="AC384" s="7" t="s">
        <v>713</v>
      </c>
      <c r="AD384" s="7" t="s">
        <v>714</v>
      </c>
      <c r="AE384" s="7" t="s">
        <v>715</v>
      </c>
      <c r="AF384" s="7" t="s">
        <v>716</v>
      </c>
      <c r="AG384" s="7" t="s">
        <v>2049</v>
      </c>
      <c r="AH384" s="7" t="s">
        <v>2050</v>
      </c>
      <c r="AI384" s="7" t="s">
        <v>2051</v>
      </c>
      <c r="AJ384" s="7" t="s">
        <v>2052</v>
      </c>
      <c r="AK384" s="7" t="s">
        <v>2053</v>
      </c>
      <c r="AL384" s="7" t="s">
        <v>2054</v>
      </c>
      <c r="AM384" s="7" t="s">
        <v>2055</v>
      </c>
      <c r="AN384" s="7" t="s">
        <v>2056</v>
      </c>
      <c r="AO384" s="7" t="s">
        <v>2057</v>
      </c>
      <c r="AP384" s="7" t="s">
        <v>2058</v>
      </c>
    </row>
    <row r="385" spans="1:62" ht="78" customHeight="1" x14ac:dyDescent="0.4">
      <c r="A385" s="67" t="s">
        <v>272</v>
      </c>
      <c r="B385" t="e">
        <f>_xlfn.XLOOKUP(A385,'Product info'!A:A,'Product info'!C:C,,2)</f>
        <v>#N/A</v>
      </c>
      <c r="C385" s="69" t="s">
        <v>688</v>
      </c>
      <c r="D385" s="7" t="s">
        <v>689</v>
      </c>
      <c r="E385" s="7" t="s">
        <v>690</v>
      </c>
      <c r="F385" s="7" t="s">
        <v>691</v>
      </c>
      <c r="G385" s="7" t="s">
        <v>692</v>
      </c>
      <c r="H385" s="7" t="s">
        <v>693</v>
      </c>
      <c r="I385" s="7" t="s">
        <v>694</v>
      </c>
      <c r="J385" s="7" t="s">
        <v>695</v>
      </c>
      <c r="K385" s="7" t="s">
        <v>696</v>
      </c>
      <c r="L385" s="7" t="s">
        <v>697</v>
      </c>
      <c r="M385" s="7" t="s">
        <v>698</v>
      </c>
      <c r="N385" s="7" t="s">
        <v>699</v>
      </c>
      <c r="O385" s="7" t="s">
        <v>700</v>
      </c>
      <c r="P385" s="7" t="s">
        <v>701</v>
      </c>
      <c r="Q385" s="7" t="s">
        <v>702</v>
      </c>
      <c r="R385" s="7" t="s">
        <v>703</v>
      </c>
      <c r="S385" s="7" t="s">
        <v>704</v>
      </c>
      <c r="T385" s="7" t="s">
        <v>705</v>
      </c>
      <c r="U385" s="7" t="s">
        <v>706</v>
      </c>
      <c r="V385" s="7" t="s">
        <v>707</v>
      </c>
      <c r="W385" s="7" t="s">
        <v>708</v>
      </c>
      <c r="X385" s="7" t="s">
        <v>709</v>
      </c>
      <c r="Y385" s="7" t="s">
        <v>710</v>
      </c>
      <c r="Z385" s="7" t="s">
        <v>711</v>
      </c>
      <c r="AA385" s="7" t="s">
        <v>712</v>
      </c>
      <c r="AB385" s="7" t="s">
        <v>694</v>
      </c>
      <c r="AC385" s="7" t="s">
        <v>713</v>
      </c>
      <c r="AD385" s="7" t="s">
        <v>714</v>
      </c>
      <c r="AE385" s="7" t="s">
        <v>715</v>
      </c>
      <c r="AF385" s="7" t="s">
        <v>716</v>
      </c>
      <c r="AG385" s="7" t="s">
        <v>2059</v>
      </c>
      <c r="AH385" s="7" t="s">
        <v>2060</v>
      </c>
      <c r="AI385" s="7" t="s">
        <v>2061</v>
      </c>
      <c r="AJ385" s="7" t="s">
        <v>2062</v>
      </c>
      <c r="AK385" s="7" t="s">
        <v>2063</v>
      </c>
      <c r="AL385" s="7" t="s">
        <v>2064</v>
      </c>
      <c r="AM385" s="7" t="s">
        <v>2065</v>
      </c>
      <c r="AN385" s="7" t="s">
        <v>2066</v>
      </c>
      <c r="AO385" s="7" t="s">
        <v>714</v>
      </c>
      <c r="AP385" s="7" t="s">
        <v>715</v>
      </c>
      <c r="AQ385" s="7" t="s">
        <v>716</v>
      </c>
      <c r="AR385" s="7" t="s">
        <v>2067</v>
      </c>
      <c r="AS385" s="7" t="s">
        <v>2068</v>
      </c>
      <c r="AT385" s="7" t="s">
        <v>2069</v>
      </c>
    </row>
    <row r="386" spans="1:62" ht="78" customHeight="1" x14ac:dyDescent="0.4">
      <c r="A386" s="67" t="s">
        <v>265</v>
      </c>
      <c r="B386" t="e">
        <f>_xlfn.XLOOKUP(A386,'Product info'!A:A,'Product info'!C:C,,2)</f>
        <v>#N/A</v>
      </c>
      <c r="C386" s="69" t="s">
        <v>688</v>
      </c>
      <c r="D386" s="7" t="s">
        <v>689</v>
      </c>
      <c r="E386" s="7" t="s">
        <v>690</v>
      </c>
      <c r="F386" s="7" t="s">
        <v>691</v>
      </c>
      <c r="G386" s="7" t="s">
        <v>692</v>
      </c>
      <c r="H386" s="7" t="s">
        <v>693</v>
      </c>
      <c r="I386" s="7" t="s">
        <v>694</v>
      </c>
      <c r="J386" s="7" t="s">
        <v>695</v>
      </c>
      <c r="K386" s="7" t="s">
        <v>696</v>
      </c>
      <c r="L386" s="7" t="s">
        <v>697</v>
      </c>
      <c r="M386" s="7" t="s">
        <v>698</v>
      </c>
      <c r="N386" s="7" t="s">
        <v>699</v>
      </c>
      <c r="O386" s="7" t="s">
        <v>700</v>
      </c>
      <c r="P386" s="7" t="s">
        <v>701</v>
      </c>
      <c r="Q386" s="7" t="s">
        <v>702</v>
      </c>
      <c r="R386" s="7" t="s">
        <v>703</v>
      </c>
      <c r="S386" s="7" t="s">
        <v>704</v>
      </c>
      <c r="T386" s="7" t="s">
        <v>705</v>
      </c>
      <c r="U386" s="7" t="s">
        <v>706</v>
      </c>
      <c r="V386" s="7" t="s">
        <v>707</v>
      </c>
      <c r="W386" s="7" t="s">
        <v>708</v>
      </c>
      <c r="X386" s="7" t="s">
        <v>709</v>
      </c>
      <c r="Y386" s="7" t="s">
        <v>710</v>
      </c>
      <c r="Z386" s="7" t="s">
        <v>711</v>
      </c>
      <c r="AA386" s="7" t="s">
        <v>712</v>
      </c>
      <c r="AB386" s="7" t="s">
        <v>694</v>
      </c>
      <c r="AC386" s="7" t="s">
        <v>713</v>
      </c>
      <c r="AD386" s="7" t="s">
        <v>714</v>
      </c>
      <c r="AE386" s="7" t="s">
        <v>715</v>
      </c>
      <c r="AF386" s="7" t="s">
        <v>716</v>
      </c>
      <c r="AG386" s="7" t="s">
        <v>2059</v>
      </c>
      <c r="AH386" s="7" t="s">
        <v>2060</v>
      </c>
      <c r="AI386" s="7" t="s">
        <v>2061</v>
      </c>
      <c r="AJ386" s="7" t="s">
        <v>2062</v>
      </c>
      <c r="AK386" s="7" t="s">
        <v>2063</v>
      </c>
      <c r="AL386" s="7" t="s">
        <v>2064</v>
      </c>
      <c r="AM386" s="7" t="s">
        <v>2065</v>
      </c>
      <c r="AN386" s="7" t="s">
        <v>2066</v>
      </c>
      <c r="AO386" s="7" t="s">
        <v>714</v>
      </c>
      <c r="AP386" s="7" t="s">
        <v>715</v>
      </c>
      <c r="AQ386" s="7" t="s">
        <v>716</v>
      </c>
      <c r="AR386" s="7" t="s">
        <v>2067</v>
      </c>
      <c r="AS386" s="7" t="s">
        <v>2068</v>
      </c>
      <c r="AT386" s="7" t="s">
        <v>2069</v>
      </c>
    </row>
    <row r="387" spans="1:62" ht="78" customHeight="1" x14ac:dyDescent="0.4">
      <c r="A387" s="67" t="s">
        <v>486</v>
      </c>
      <c r="B387" t="e">
        <f>_xlfn.XLOOKUP(A387,'Product info'!A:A,'Product info'!C:C,,2)</f>
        <v>#N/A</v>
      </c>
      <c r="C387" s="69" t="s">
        <v>688</v>
      </c>
      <c r="D387" s="7" t="s">
        <v>689</v>
      </c>
      <c r="E387" s="7" t="s">
        <v>690</v>
      </c>
      <c r="F387" s="7" t="s">
        <v>691</v>
      </c>
      <c r="G387" s="7" t="s">
        <v>692</v>
      </c>
      <c r="H387" s="7" t="s">
        <v>693</v>
      </c>
      <c r="I387" s="7" t="s">
        <v>694</v>
      </c>
      <c r="J387" s="7" t="s">
        <v>695</v>
      </c>
      <c r="K387" s="7" t="s">
        <v>696</v>
      </c>
      <c r="L387" s="7" t="s">
        <v>697</v>
      </c>
      <c r="M387" s="7" t="s">
        <v>698</v>
      </c>
      <c r="N387" s="7" t="s">
        <v>699</v>
      </c>
      <c r="O387" s="7" t="s">
        <v>700</v>
      </c>
      <c r="P387" s="7" t="s">
        <v>701</v>
      </c>
      <c r="Q387" s="7" t="s">
        <v>702</v>
      </c>
      <c r="R387" s="7" t="s">
        <v>703</v>
      </c>
      <c r="S387" s="7" t="s">
        <v>704</v>
      </c>
      <c r="T387" s="7" t="s">
        <v>705</v>
      </c>
      <c r="U387" s="7" t="s">
        <v>706</v>
      </c>
      <c r="V387" s="7" t="s">
        <v>707</v>
      </c>
      <c r="W387" s="7" t="s">
        <v>708</v>
      </c>
      <c r="X387" s="7" t="s">
        <v>709</v>
      </c>
      <c r="Y387" s="7" t="s">
        <v>710</v>
      </c>
      <c r="Z387" s="7" t="s">
        <v>711</v>
      </c>
      <c r="AA387" s="7" t="s">
        <v>712</v>
      </c>
      <c r="AB387" s="7" t="s">
        <v>694</v>
      </c>
      <c r="AC387" s="7" t="s">
        <v>713</v>
      </c>
      <c r="AD387" s="7" t="s">
        <v>714</v>
      </c>
      <c r="AE387" s="7" t="s">
        <v>715</v>
      </c>
      <c r="AF387" s="7" t="s">
        <v>716</v>
      </c>
      <c r="AG387" s="7" t="s">
        <v>2070</v>
      </c>
      <c r="AH387" s="7" t="s">
        <v>2071</v>
      </c>
      <c r="AI387" s="7" t="s">
        <v>2072</v>
      </c>
      <c r="AJ387" s="7" t="s">
        <v>2073</v>
      </c>
      <c r="AK387" s="7" t="s">
        <v>2074</v>
      </c>
      <c r="AL387" s="7" t="s">
        <v>2075</v>
      </c>
      <c r="AM387" s="7" t="s">
        <v>2076</v>
      </c>
      <c r="AN387" s="7" t="s">
        <v>2077</v>
      </c>
      <c r="AO387" s="7" t="s">
        <v>2078</v>
      </c>
      <c r="AP387" s="7" t="s">
        <v>2079</v>
      </c>
      <c r="AQ387" s="7" t="s">
        <v>2080</v>
      </c>
      <c r="AR387" s="7" t="s">
        <v>2081</v>
      </c>
      <c r="AS387" s="7" t="s">
        <v>2082</v>
      </c>
      <c r="AT387" s="7" t="s">
        <v>2083</v>
      </c>
      <c r="AU387" s="7" t="s">
        <v>2084</v>
      </c>
      <c r="AV387" s="7" t="s">
        <v>2085</v>
      </c>
      <c r="AW387" s="7" t="s">
        <v>2086</v>
      </c>
      <c r="AX387" s="7" t="s">
        <v>2087</v>
      </c>
    </row>
    <row r="388" spans="1:62" ht="78" customHeight="1" x14ac:dyDescent="0.4">
      <c r="A388" s="67" t="s">
        <v>487</v>
      </c>
      <c r="B388" t="e">
        <f>_xlfn.XLOOKUP(A388,'Product info'!A:A,'Product info'!C:C,,2)</f>
        <v>#N/A</v>
      </c>
      <c r="C388" s="69" t="s">
        <v>688</v>
      </c>
      <c r="D388" s="7" t="s">
        <v>689</v>
      </c>
      <c r="E388" s="7" t="s">
        <v>690</v>
      </c>
      <c r="F388" s="7" t="s">
        <v>691</v>
      </c>
      <c r="G388" s="7" t="s">
        <v>692</v>
      </c>
      <c r="H388" s="7" t="s">
        <v>693</v>
      </c>
      <c r="I388" s="7" t="s">
        <v>694</v>
      </c>
      <c r="J388" s="7" t="s">
        <v>695</v>
      </c>
      <c r="K388" s="7" t="s">
        <v>696</v>
      </c>
      <c r="L388" s="7" t="s">
        <v>697</v>
      </c>
      <c r="M388" s="7" t="s">
        <v>698</v>
      </c>
      <c r="N388" s="7" t="s">
        <v>699</v>
      </c>
      <c r="O388" s="7" t="s">
        <v>700</v>
      </c>
      <c r="P388" s="7" t="s">
        <v>701</v>
      </c>
      <c r="Q388" s="7" t="s">
        <v>702</v>
      </c>
      <c r="R388" s="7" t="s">
        <v>703</v>
      </c>
      <c r="S388" s="7" t="s">
        <v>704</v>
      </c>
      <c r="T388" s="7" t="s">
        <v>705</v>
      </c>
      <c r="U388" s="7" t="s">
        <v>706</v>
      </c>
      <c r="V388" s="7" t="s">
        <v>707</v>
      </c>
      <c r="W388" s="7" t="s">
        <v>708</v>
      </c>
      <c r="X388" s="7" t="s">
        <v>709</v>
      </c>
      <c r="Y388" s="7" t="s">
        <v>710</v>
      </c>
      <c r="Z388" s="7" t="s">
        <v>711</v>
      </c>
      <c r="AA388" s="7" t="s">
        <v>712</v>
      </c>
      <c r="AB388" s="7" t="s">
        <v>694</v>
      </c>
      <c r="AC388" s="7" t="s">
        <v>713</v>
      </c>
      <c r="AD388" s="7" t="s">
        <v>714</v>
      </c>
      <c r="AE388" s="7" t="s">
        <v>715</v>
      </c>
      <c r="AF388" s="7" t="s">
        <v>716</v>
      </c>
      <c r="AG388" s="7" t="s">
        <v>2070</v>
      </c>
      <c r="AH388" s="7" t="s">
        <v>2071</v>
      </c>
      <c r="AI388" s="7" t="s">
        <v>2072</v>
      </c>
      <c r="AJ388" s="7" t="s">
        <v>2073</v>
      </c>
      <c r="AK388" s="7" t="s">
        <v>2074</v>
      </c>
      <c r="AL388" s="7" t="s">
        <v>2075</v>
      </c>
      <c r="AM388" s="7" t="s">
        <v>2076</v>
      </c>
      <c r="AN388" s="7" t="s">
        <v>2077</v>
      </c>
      <c r="AO388" s="7" t="s">
        <v>2078</v>
      </c>
      <c r="AP388" s="7" t="s">
        <v>2079</v>
      </c>
      <c r="AQ388" s="7" t="s">
        <v>2080</v>
      </c>
      <c r="AR388" s="7" t="s">
        <v>2081</v>
      </c>
      <c r="AS388" s="7" t="s">
        <v>2082</v>
      </c>
      <c r="AT388" s="7" t="s">
        <v>2083</v>
      </c>
      <c r="AU388" s="7" t="s">
        <v>2084</v>
      </c>
      <c r="AV388" s="7" t="s">
        <v>2085</v>
      </c>
      <c r="AW388" s="7" t="s">
        <v>2086</v>
      </c>
      <c r="AX388" s="7" t="s">
        <v>2087</v>
      </c>
    </row>
    <row r="389" spans="1:62" ht="78" customHeight="1" x14ac:dyDescent="0.4">
      <c r="A389" s="67" t="s">
        <v>342</v>
      </c>
      <c r="B389" t="e">
        <f>_xlfn.XLOOKUP(A389,'Product info'!A:A,'Product info'!C:C,,2)</f>
        <v>#N/A</v>
      </c>
      <c r="C389" s="69" t="s">
        <v>688</v>
      </c>
      <c r="D389" s="7" t="s">
        <v>689</v>
      </c>
      <c r="E389" s="7" t="s">
        <v>690</v>
      </c>
      <c r="F389" s="7" t="s">
        <v>691</v>
      </c>
      <c r="G389" s="7" t="s">
        <v>692</v>
      </c>
      <c r="H389" s="7" t="s">
        <v>693</v>
      </c>
      <c r="I389" s="7" t="s">
        <v>694</v>
      </c>
      <c r="J389" s="7" t="s">
        <v>695</v>
      </c>
      <c r="K389" s="7" t="s">
        <v>696</v>
      </c>
      <c r="L389" s="7" t="s">
        <v>697</v>
      </c>
      <c r="M389" s="7" t="s">
        <v>698</v>
      </c>
      <c r="N389" s="7" t="s">
        <v>699</v>
      </c>
      <c r="O389" s="7" t="s">
        <v>700</v>
      </c>
      <c r="P389" s="7" t="s">
        <v>701</v>
      </c>
      <c r="Q389" s="7" t="s">
        <v>702</v>
      </c>
      <c r="R389" s="7" t="s">
        <v>703</v>
      </c>
      <c r="S389" s="7" t="s">
        <v>704</v>
      </c>
      <c r="T389" s="7" t="s">
        <v>705</v>
      </c>
      <c r="U389" s="7" t="s">
        <v>706</v>
      </c>
      <c r="V389" s="7" t="s">
        <v>707</v>
      </c>
      <c r="W389" s="7" t="s">
        <v>708</v>
      </c>
      <c r="X389" s="7" t="s">
        <v>709</v>
      </c>
      <c r="Y389" s="7" t="s">
        <v>710</v>
      </c>
      <c r="Z389" s="7" t="s">
        <v>711</v>
      </c>
      <c r="AA389" s="7" t="s">
        <v>712</v>
      </c>
      <c r="AB389" s="7" t="s">
        <v>694</v>
      </c>
      <c r="AC389" s="7" t="s">
        <v>713</v>
      </c>
      <c r="AD389" s="7" t="s">
        <v>714</v>
      </c>
      <c r="AE389" s="7" t="s">
        <v>715</v>
      </c>
      <c r="AF389" s="7" t="s">
        <v>716</v>
      </c>
      <c r="AG389" s="7" t="s">
        <v>2088</v>
      </c>
      <c r="AH389" s="7" t="s">
        <v>2089</v>
      </c>
      <c r="AI389" s="7" t="s">
        <v>2090</v>
      </c>
      <c r="AJ389" s="7" t="s">
        <v>2091</v>
      </c>
      <c r="AK389" s="7" t="s">
        <v>848</v>
      </c>
      <c r="AL389" s="7" t="s">
        <v>849</v>
      </c>
      <c r="AM389" s="7" t="s">
        <v>2092</v>
      </c>
      <c r="AN389" s="7" t="s">
        <v>2093</v>
      </c>
      <c r="AO389" s="7" t="s">
        <v>2094</v>
      </c>
      <c r="AP389" s="7" t="s">
        <v>2095</v>
      </c>
      <c r="AQ389" s="7" t="s">
        <v>2096</v>
      </c>
      <c r="AR389" s="7" t="s">
        <v>2097</v>
      </c>
      <c r="AS389" s="7" t="s">
        <v>2098</v>
      </c>
      <c r="AT389" s="7" t="s">
        <v>2099</v>
      </c>
      <c r="AU389" s="7" t="s">
        <v>2100</v>
      </c>
      <c r="AV389" s="7" t="s">
        <v>2101</v>
      </c>
      <c r="AW389" s="7" t="s">
        <v>2102</v>
      </c>
      <c r="AX389" s="7" t="s">
        <v>2103</v>
      </c>
      <c r="AY389" s="7" t="s">
        <v>2104</v>
      </c>
      <c r="AZ389" s="7" t="s">
        <v>2105</v>
      </c>
      <c r="BA389" s="7" t="s">
        <v>2106</v>
      </c>
      <c r="BB389" s="7" t="s">
        <v>2107</v>
      </c>
      <c r="BC389" s="7" t="s">
        <v>2108</v>
      </c>
      <c r="BD389" s="7" t="s">
        <v>2109</v>
      </c>
      <c r="BE389" s="7" t="s">
        <v>2110</v>
      </c>
      <c r="BF389" s="7" t="s">
        <v>2111</v>
      </c>
      <c r="BG389" s="7" t="s">
        <v>2112</v>
      </c>
      <c r="BH389" s="7" t="s">
        <v>2113</v>
      </c>
      <c r="BI389" s="7" t="s">
        <v>2114</v>
      </c>
    </row>
    <row r="390" spans="1:62" ht="78" customHeight="1" x14ac:dyDescent="0.4">
      <c r="A390" s="67" t="s">
        <v>343</v>
      </c>
      <c r="B390" t="e">
        <f>_xlfn.XLOOKUP(A390,'Product info'!A:A,'Product info'!C:C,,2)</f>
        <v>#N/A</v>
      </c>
      <c r="C390" s="69" t="s">
        <v>688</v>
      </c>
      <c r="D390" s="7" t="s">
        <v>689</v>
      </c>
      <c r="E390" s="7" t="s">
        <v>690</v>
      </c>
      <c r="F390" s="7" t="s">
        <v>691</v>
      </c>
      <c r="G390" s="7" t="s">
        <v>692</v>
      </c>
      <c r="H390" s="7" t="s">
        <v>693</v>
      </c>
      <c r="I390" s="7" t="s">
        <v>694</v>
      </c>
      <c r="J390" s="7" t="s">
        <v>695</v>
      </c>
      <c r="K390" s="7" t="s">
        <v>696</v>
      </c>
      <c r="L390" s="7" t="s">
        <v>697</v>
      </c>
      <c r="M390" s="7" t="s">
        <v>698</v>
      </c>
      <c r="N390" s="7" t="s">
        <v>699</v>
      </c>
      <c r="O390" s="7" t="s">
        <v>700</v>
      </c>
      <c r="P390" s="7" t="s">
        <v>701</v>
      </c>
      <c r="Q390" s="7" t="s">
        <v>702</v>
      </c>
      <c r="R390" s="7" t="s">
        <v>703</v>
      </c>
      <c r="S390" s="7" t="s">
        <v>704</v>
      </c>
      <c r="T390" s="7" t="s">
        <v>705</v>
      </c>
      <c r="U390" s="7" t="s">
        <v>706</v>
      </c>
      <c r="V390" s="7" t="s">
        <v>707</v>
      </c>
      <c r="W390" s="7" t="s">
        <v>708</v>
      </c>
      <c r="X390" s="7" t="s">
        <v>709</v>
      </c>
      <c r="Y390" s="7" t="s">
        <v>710</v>
      </c>
      <c r="Z390" s="7" t="s">
        <v>711</v>
      </c>
      <c r="AA390" s="7" t="s">
        <v>712</v>
      </c>
      <c r="AB390" s="7" t="s">
        <v>694</v>
      </c>
      <c r="AC390" s="7" t="s">
        <v>713</v>
      </c>
      <c r="AD390" s="7" t="s">
        <v>714</v>
      </c>
      <c r="AE390" s="7" t="s">
        <v>715</v>
      </c>
      <c r="AF390" s="7" t="s">
        <v>716</v>
      </c>
      <c r="AG390" s="7" t="s">
        <v>2088</v>
      </c>
      <c r="AH390" s="7" t="s">
        <v>2089</v>
      </c>
      <c r="AI390" s="7" t="s">
        <v>2090</v>
      </c>
      <c r="AJ390" s="7" t="s">
        <v>2091</v>
      </c>
      <c r="AK390" s="7" t="s">
        <v>848</v>
      </c>
      <c r="AL390" s="7" t="s">
        <v>849</v>
      </c>
      <c r="AM390" s="7" t="s">
        <v>2092</v>
      </c>
      <c r="AN390" s="7" t="s">
        <v>2093</v>
      </c>
      <c r="AO390" s="7" t="s">
        <v>2094</v>
      </c>
      <c r="AP390" s="7" t="s">
        <v>2095</v>
      </c>
      <c r="AQ390" s="7" t="s">
        <v>2096</v>
      </c>
      <c r="AR390" s="7" t="s">
        <v>2097</v>
      </c>
      <c r="AS390" s="7" t="s">
        <v>2098</v>
      </c>
      <c r="AT390" s="7" t="s">
        <v>2099</v>
      </c>
      <c r="AU390" s="7" t="s">
        <v>2100</v>
      </c>
      <c r="AV390" s="7" t="s">
        <v>2101</v>
      </c>
      <c r="AW390" s="7" t="s">
        <v>2102</v>
      </c>
      <c r="AX390" s="7" t="s">
        <v>2103</v>
      </c>
      <c r="AY390" s="7" t="s">
        <v>2104</v>
      </c>
      <c r="AZ390" s="7" t="s">
        <v>2105</v>
      </c>
      <c r="BA390" s="7" t="s">
        <v>2106</v>
      </c>
      <c r="BB390" s="7" t="s">
        <v>2107</v>
      </c>
      <c r="BC390" s="7" t="s">
        <v>2108</v>
      </c>
      <c r="BD390" s="7" t="s">
        <v>2109</v>
      </c>
      <c r="BE390" s="7" t="s">
        <v>2110</v>
      </c>
      <c r="BF390" s="7" t="s">
        <v>2111</v>
      </c>
      <c r="BG390" s="7" t="s">
        <v>2112</v>
      </c>
      <c r="BH390" s="7" t="s">
        <v>2113</v>
      </c>
      <c r="BI390" s="7" t="s">
        <v>2114</v>
      </c>
    </row>
    <row r="391" spans="1:62" ht="78" customHeight="1" x14ac:dyDescent="0.4">
      <c r="A391" s="67" t="s">
        <v>543</v>
      </c>
      <c r="B391" t="e">
        <f>_xlfn.XLOOKUP(A391,'Product info'!A:A,'Product info'!C:C,,2)</f>
        <v>#N/A</v>
      </c>
      <c r="C391" s="69" t="s">
        <v>688</v>
      </c>
      <c r="D391" s="7" t="s">
        <v>689</v>
      </c>
      <c r="E391" s="7" t="s">
        <v>690</v>
      </c>
      <c r="F391" s="7" t="s">
        <v>691</v>
      </c>
      <c r="G391" s="7" t="s">
        <v>692</v>
      </c>
      <c r="H391" s="7" t="s">
        <v>693</v>
      </c>
      <c r="I391" s="7" t="s">
        <v>694</v>
      </c>
      <c r="J391" s="7" t="s">
        <v>695</v>
      </c>
      <c r="K391" s="7" t="s">
        <v>696</v>
      </c>
      <c r="L391" s="7" t="s">
        <v>697</v>
      </c>
      <c r="M391" s="7" t="s">
        <v>698</v>
      </c>
      <c r="N391" s="7" t="s">
        <v>699</v>
      </c>
      <c r="O391" s="7" t="s">
        <v>700</v>
      </c>
      <c r="P391" s="7" t="s">
        <v>701</v>
      </c>
      <c r="Q391" s="7" t="s">
        <v>702</v>
      </c>
      <c r="R391" s="7" t="s">
        <v>703</v>
      </c>
      <c r="S391" s="7" t="s">
        <v>704</v>
      </c>
      <c r="T391" s="7" t="s">
        <v>705</v>
      </c>
      <c r="U391" s="7" t="s">
        <v>706</v>
      </c>
      <c r="V391" s="7" t="s">
        <v>707</v>
      </c>
      <c r="W391" s="7" t="s">
        <v>708</v>
      </c>
      <c r="X391" s="7" t="s">
        <v>709</v>
      </c>
      <c r="Y391" s="7" t="s">
        <v>710</v>
      </c>
      <c r="Z391" s="7" t="s">
        <v>711</v>
      </c>
      <c r="AA391" s="7" t="s">
        <v>712</v>
      </c>
      <c r="AB391" s="7" t="s">
        <v>694</v>
      </c>
      <c r="AC391" s="7" t="s">
        <v>713</v>
      </c>
      <c r="AD391" s="7" t="s">
        <v>714</v>
      </c>
      <c r="AE391" s="7" t="s">
        <v>715</v>
      </c>
      <c r="AF391" s="7" t="s">
        <v>716</v>
      </c>
      <c r="AG391" s="7" t="s">
        <v>2115</v>
      </c>
      <c r="AH391" s="7" t="s">
        <v>2116</v>
      </c>
      <c r="AI391" s="7" t="s">
        <v>2117</v>
      </c>
      <c r="AJ391" s="7" t="s">
        <v>2118</v>
      </c>
      <c r="AK391" s="7" t="s">
        <v>2119</v>
      </c>
      <c r="AL391" s="7" t="s">
        <v>2120</v>
      </c>
      <c r="AM391" s="7" t="s">
        <v>2121</v>
      </c>
      <c r="AN391" s="7" t="s">
        <v>2122</v>
      </c>
      <c r="AO391" s="7" t="s">
        <v>2123</v>
      </c>
      <c r="AP391" s="7" t="s">
        <v>1111</v>
      </c>
      <c r="AQ391" s="7" t="s">
        <v>1112</v>
      </c>
      <c r="AR391" s="7" t="s">
        <v>1113</v>
      </c>
      <c r="AS391" s="7" t="s">
        <v>1114</v>
      </c>
      <c r="AT391" s="7" t="s">
        <v>1115</v>
      </c>
      <c r="AU391" s="7" t="s">
        <v>1117</v>
      </c>
      <c r="AV391" s="7" t="s">
        <v>2124</v>
      </c>
    </row>
    <row r="392" spans="1:62" ht="78" customHeight="1" x14ac:dyDescent="0.4">
      <c r="A392" s="67" t="s">
        <v>506</v>
      </c>
      <c r="B392" t="e">
        <f>_xlfn.XLOOKUP(A392,'Product info'!A:A,'Product info'!C:C,,2)</f>
        <v>#N/A</v>
      </c>
      <c r="C392" s="69" t="s">
        <v>688</v>
      </c>
      <c r="D392" s="7" t="s">
        <v>689</v>
      </c>
      <c r="E392" s="7" t="s">
        <v>690</v>
      </c>
      <c r="F392" s="7" t="s">
        <v>691</v>
      </c>
      <c r="G392" s="7" t="s">
        <v>692</v>
      </c>
      <c r="H392" s="7" t="s">
        <v>693</v>
      </c>
      <c r="I392" s="7" t="s">
        <v>694</v>
      </c>
      <c r="J392" s="7" t="s">
        <v>695</v>
      </c>
      <c r="K392" s="7" t="s">
        <v>696</v>
      </c>
      <c r="L392" s="7" t="s">
        <v>697</v>
      </c>
      <c r="M392" s="7" t="s">
        <v>698</v>
      </c>
      <c r="N392" s="7" t="s">
        <v>699</v>
      </c>
      <c r="O392" s="7" t="s">
        <v>700</v>
      </c>
      <c r="P392" s="7" t="s">
        <v>701</v>
      </c>
      <c r="Q392" s="7" t="s">
        <v>702</v>
      </c>
      <c r="R392" s="7" t="s">
        <v>703</v>
      </c>
      <c r="S392" s="7" t="s">
        <v>704</v>
      </c>
      <c r="T392" s="7" t="s">
        <v>705</v>
      </c>
      <c r="U392" s="7" t="s">
        <v>706</v>
      </c>
      <c r="V392" s="7" t="s">
        <v>707</v>
      </c>
      <c r="W392" s="7" t="s">
        <v>708</v>
      </c>
      <c r="X392" s="7" t="s">
        <v>709</v>
      </c>
      <c r="Y392" s="7" t="s">
        <v>710</v>
      </c>
      <c r="Z392" s="7" t="s">
        <v>711</v>
      </c>
      <c r="AA392" s="7" t="s">
        <v>712</v>
      </c>
      <c r="AB392" s="7" t="s">
        <v>694</v>
      </c>
      <c r="AC392" s="7" t="s">
        <v>713</v>
      </c>
      <c r="AD392" s="7" t="s">
        <v>714</v>
      </c>
      <c r="AE392" s="7" t="s">
        <v>715</v>
      </c>
      <c r="AF392" s="7" t="s">
        <v>716</v>
      </c>
      <c r="AG392" s="7" t="s">
        <v>845</v>
      </c>
      <c r="AH392" s="7" t="s">
        <v>846</v>
      </c>
      <c r="AI392" s="7" t="s">
        <v>847</v>
      </c>
      <c r="AJ392" s="7" t="s">
        <v>844</v>
      </c>
      <c r="AK392" s="7" t="s">
        <v>848</v>
      </c>
      <c r="AL392" s="7" t="s">
        <v>849</v>
      </c>
      <c r="AM392" s="7" t="s">
        <v>850</v>
      </c>
      <c r="AN392" s="7" t="s">
        <v>851</v>
      </c>
      <c r="AO392" s="7" t="s">
        <v>852</v>
      </c>
      <c r="AP392" s="7" t="s">
        <v>853</v>
      </c>
      <c r="AQ392" s="7" t="s">
        <v>854</v>
      </c>
      <c r="AR392" s="7" t="s">
        <v>855</v>
      </c>
      <c r="AS392" s="7" t="s">
        <v>856</v>
      </c>
      <c r="AT392" s="7" t="s">
        <v>857</v>
      </c>
      <c r="AU392" s="7" t="s">
        <v>858</v>
      </c>
      <c r="AV392" s="7" t="s">
        <v>1429</v>
      </c>
      <c r="AW392" s="7" t="s">
        <v>2125</v>
      </c>
      <c r="AX392" s="7" t="s">
        <v>2126</v>
      </c>
      <c r="AY392" s="7" t="s">
        <v>2127</v>
      </c>
      <c r="AZ392" s="7" t="s">
        <v>2128</v>
      </c>
      <c r="BA392" s="7" t="s">
        <v>2129</v>
      </c>
      <c r="BB392" s="7" t="s">
        <v>2130</v>
      </c>
      <c r="BC392" s="7" t="s">
        <v>2131</v>
      </c>
    </row>
    <row r="393" spans="1:62" ht="78" customHeight="1" x14ac:dyDescent="0.4">
      <c r="A393" s="67" t="s">
        <v>502</v>
      </c>
      <c r="B393" t="e">
        <f>_xlfn.XLOOKUP(A393,'Product info'!A:A,'Product info'!C:C,,2)</f>
        <v>#N/A</v>
      </c>
      <c r="C393" s="69" t="s">
        <v>688</v>
      </c>
      <c r="D393" s="7" t="s">
        <v>689</v>
      </c>
      <c r="E393" s="7" t="s">
        <v>690</v>
      </c>
      <c r="F393" s="7" t="s">
        <v>691</v>
      </c>
      <c r="G393" s="7" t="s">
        <v>692</v>
      </c>
      <c r="H393" s="7" t="s">
        <v>693</v>
      </c>
      <c r="I393" s="7" t="s">
        <v>694</v>
      </c>
      <c r="J393" s="7" t="s">
        <v>695</v>
      </c>
      <c r="K393" s="7" t="s">
        <v>696</v>
      </c>
      <c r="L393" s="7" t="s">
        <v>697</v>
      </c>
      <c r="M393" s="7" t="s">
        <v>698</v>
      </c>
      <c r="N393" s="7" t="s">
        <v>699</v>
      </c>
      <c r="O393" s="7" t="s">
        <v>700</v>
      </c>
      <c r="P393" s="7" t="s">
        <v>701</v>
      </c>
      <c r="Q393" s="7" t="s">
        <v>702</v>
      </c>
      <c r="R393" s="7" t="s">
        <v>703</v>
      </c>
      <c r="S393" s="7" t="s">
        <v>704</v>
      </c>
      <c r="T393" s="7" t="s">
        <v>705</v>
      </c>
      <c r="U393" s="7" t="s">
        <v>706</v>
      </c>
      <c r="V393" s="7" t="s">
        <v>707</v>
      </c>
      <c r="W393" s="7" t="s">
        <v>708</v>
      </c>
      <c r="X393" s="7" t="s">
        <v>709</v>
      </c>
      <c r="Y393" s="7" t="s">
        <v>710</v>
      </c>
      <c r="Z393" s="7" t="s">
        <v>711</v>
      </c>
      <c r="AA393" s="7" t="s">
        <v>712</v>
      </c>
      <c r="AB393" s="7" t="s">
        <v>694</v>
      </c>
      <c r="AC393" s="7" t="s">
        <v>713</v>
      </c>
      <c r="AD393" s="7" t="s">
        <v>714</v>
      </c>
      <c r="AE393" s="7" t="s">
        <v>715</v>
      </c>
      <c r="AF393" s="7" t="s">
        <v>716</v>
      </c>
      <c r="AG393" s="7" t="s">
        <v>845</v>
      </c>
      <c r="AH393" s="7" t="s">
        <v>846</v>
      </c>
      <c r="AI393" s="7" t="s">
        <v>847</v>
      </c>
      <c r="AJ393" s="7" t="s">
        <v>844</v>
      </c>
      <c r="AK393" s="7" t="s">
        <v>848</v>
      </c>
      <c r="AL393" s="7" t="s">
        <v>849</v>
      </c>
      <c r="AM393" s="7" t="s">
        <v>850</v>
      </c>
      <c r="AN393" s="7" t="s">
        <v>851</v>
      </c>
      <c r="AO393" s="7" t="s">
        <v>852</v>
      </c>
      <c r="AP393" s="7" t="s">
        <v>853</v>
      </c>
      <c r="AQ393" s="7" t="s">
        <v>854</v>
      </c>
      <c r="AR393" s="7" t="s">
        <v>855</v>
      </c>
      <c r="AS393" s="7" t="s">
        <v>856</v>
      </c>
      <c r="AT393" s="7" t="s">
        <v>857</v>
      </c>
      <c r="AU393" s="7" t="s">
        <v>858</v>
      </c>
      <c r="AV393" s="7" t="s">
        <v>1429</v>
      </c>
      <c r="AW393" s="7" t="s">
        <v>2125</v>
      </c>
      <c r="AX393" s="7" t="s">
        <v>2126</v>
      </c>
      <c r="AY393" s="7" t="s">
        <v>2127</v>
      </c>
      <c r="AZ393" s="7" t="s">
        <v>2128</v>
      </c>
      <c r="BA393" s="7" t="s">
        <v>2129</v>
      </c>
      <c r="BB393" s="7" t="s">
        <v>2130</v>
      </c>
      <c r="BC393" s="7" t="s">
        <v>2132</v>
      </c>
    </row>
    <row r="394" spans="1:62" ht="78" customHeight="1" x14ac:dyDescent="0.4">
      <c r="A394" s="67" t="s">
        <v>258</v>
      </c>
      <c r="B394" t="e">
        <f>_xlfn.XLOOKUP(A394,'Product info'!A:A,'Product info'!C:C,,2)</f>
        <v>#N/A</v>
      </c>
      <c r="C394" s="69" t="s">
        <v>688</v>
      </c>
      <c r="D394" s="7" t="s">
        <v>689</v>
      </c>
      <c r="E394" s="7" t="s">
        <v>690</v>
      </c>
      <c r="F394" s="7" t="s">
        <v>691</v>
      </c>
      <c r="G394" s="7" t="s">
        <v>692</v>
      </c>
      <c r="H394" s="7" t="s">
        <v>693</v>
      </c>
      <c r="I394" s="7" t="s">
        <v>694</v>
      </c>
      <c r="J394" s="7" t="s">
        <v>695</v>
      </c>
      <c r="K394" s="7" t="s">
        <v>696</v>
      </c>
      <c r="L394" s="7" t="s">
        <v>697</v>
      </c>
      <c r="M394" s="7" t="s">
        <v>698</v>
      </c>
      <c r="N394" s="7" t="s">
        <v>699</v>
      </c>
      <c r="O394" s="7" t="s">
        <v>700</v>
      </c>
      <c r="P394" s="7" t="s">
        <v>701</v>
      </c>
      <c r="Q394" s="7" t="s">
        <v>702</v>
      </c>
      <c r="R394" s="7" t="s">
        <v>703</v>
      </c>
      <c r="S394" s="7" t="s">
        <v>704</v>
      </c>
      <c r="T394" s="7" t="s">
        <v>705</v>
      </c>
      <c r="U394" s="7" t="s">
        <v>706</v>
      </c>
      <c r="V394" s="7" t="s">
        <v>707</v>
      </c>
      <c r="W394" s="7" t="s">
        <v>708</v>
      </c>
      <c r="X394" s="7" t="s">
        <v>709</v>
      </c>
      <c r="Y394" s="7" t="s">
        <v>710</v>
      </c>
      <c r="Z394" s="7" t="s">
        <v>711</v>
      </c>
      <c r="AA394" s="7" t="s">
        <v>712</v>
      </c>
      <c r="AB394" s="7" t="s">
        <v>694</v>
      </c>
      <c r="AC394" s="7" t="s">
        <v>713</v>
      </c>
      <c r="AD394" s="7" t="s">
        <v>714</v>
      </c>
      <c r="AE394" s="7" t="s">
        <v>715</v>
      </c>
      <c r="AF394" s="7" t="s">
        <v>716</v>
      </c>
      <c r="AG394" s="7" t="s">
        <v>2133</v>
      </c>
      <c r="AH394" s="7" t="s">
        <v>2134</v>
      </c>
      <c r="AI394" s="7" t="s">
        <v>2135</v>
      </c>
      <c r="AJ394" s="7" t="s">
        <v>2136</v>
      </c>
      <c r="AK394" s="7" t="s">
        <v>2137</v>
      </c>
      <c r="AL394" s="7" t="s">
        <v>2138</v>
      </c>
      <c r="AM394" s="7" t="s">
        <v>2139</v>
      </c>
      <c r="AN394" s="7" t="s">
        <v>2140</v>
      </c>
      <c r="AO394" s="7" t="s">
        <v>2141</v>
      </c>
      <c r="AP394" s="7" t="s">
        <v>2142</v>
      </c>
      <c r="AQ394" s="7" t="s">
        <v>2143</v>
      </c>
      <c r="AR394" s="7" t="s">
        <v>2144</v>
      </c>
      <c r="AS394" s="7" t="s">
        <v>2145</v>
      </c>
      <c r="AT394" s="7" t="s">
        <v>2146</v>
      </c>
      <c r="AU394" s="7" t="s">
        <v>2147</v>
      </c>
      <c r="AV394" s="7" t="s">
        <v>2148</v>
      </c>
      <c r="AW394" s="7" t="s">
        <v>2149</v>
      </c>
      <c r="AX394" s="7" t="s">
        <v>2150</v>
      </c>
      <c r="AY394" s="7" t="s">
        <v>2151</v>
      </c>
      <c r="AZ394" s="7" t="s">
        <v>2152</v>
      </c>
      <c r="BA394" s="7" t="s">
        <v>2153</v>
      </c>
      <c r="BB394" s="7" t="s">
        <v>2154</v>
      </c>
      <c r="BC394" s="7" t="s">
        <v>2155</v>
      </c>
      <c r="BD394" s="7" t="s">
        <v>2156</v>
      </c>
      <c r="BE394" s="7" t="s">
        <v>2157</v>
      </c>
      <c r="BF394" s="7" t="s">
        <v>714</v>
      </c>
      <c r="BG394" s="7" t="s">
        <v>715</v>
      </c>
      <c r="BH394" s="7" t="s">
        <v>716</v>
      </c>
      <c r="BI394" s="7" t="s">
        <v>2158</v>
      </c>
    </row>
    <row r="395" spans="1:62" ht="78" customHeight="1" x14ac:dyDescent="0.4">
      <c r="A395" s="67" t="s">
        <v>227</v>
      </c>
      <c r="B395" t="e">
        <f>_xlfn.XLOOKUP(A395,'Product info'!A:A,'Product info'!C:C,,2)</f>
        <v>#N/A</v>
      </c>
      <c r="C395" s="69" t="s">
        <v>688</v>
      </c>
      <c r="D395" s="7" t="s">
        <v>689</v>
      </c>
      <c r="E395" s="7" t="s">
        <v>690</v>
      </c>
      <c r="F395" s="7" t="s">
        <v>691</v>
      </c>
      <c r="G395" s="7" t="s">
        <v>692</v>
      </c>
      <c r="H395" s="7" t="s">
        <v>693</v>
      </c>
      <c r="I395" s="7" t="s">
        <v>694</v>
      </c>
      <c r="J395" s="7" t="s">
        <v>695</v>
      </c>
      <c r="K395" s="7" t="s">
        <v>696</v>
      </c>
      <c r="L395" s="7" t="s">
        <v>697</v>
      </c>
      <c r="M395" s="7" t="s">
        <v>698</v>
      </c>
      <c r="N395" s="7" t="s">
        <v>699</v>
      </c>
      <c r="O395" s="7" t="s">
        <v>700</v>
      </c>
      <c r="P395" s="7" t="s">
        <v>701</v>
      </c>
      <c r="Q395" s="7" t="s">
        <v>702</v>
      </c>
      <c r="R395" s="7" t="s">
        <v>703</v>
      </c>
      <c r="S395" s="7" t="s">
        <v>704</v>
      </c>
      <c r="T395" s="7" t="s">
        <v>705</v>
      </c>
      <c r="U395" s="7" t="s">
        <v>706</v>
      </c>
      <c r="V395" s="7" t="s">
        <v>707</v>
      </c>
      <c r="W395" s="7" t="s">
        <v>708</v>
      </c>
      <c r="X395" s="7" t="s">
        <v>709</v>
      </c>
      <c r="Y395" s="7" t="s">
        <v>710</v>
      </c>
      <c r="Z395" s="7" t="s">
        <v>711</v>
      </c>
      <c r="AA395" s="7" t="s">
        <v>712</v>
      </c>
      <c r="AB395" s="7" t="s">
        <v>694</v>
      </c>
      <c r="AC395" s="7" t="s">
        <v>713</v>
      </c>
      <c r="AD395" s="7" t="s">
        <v>714</v>
      </c>
      <c r="AE395" s="7" t="s">
        <v>715</v>
      </c>
      <c r="AF395" s="7" t="s">
        <v>716</v>
      </c>
      <c r="AG395" s="7" t="s">
        <v>2159</v>
      </c>
      <c r="AH395" s="7" t="s">
        <v>2160</v>
      </c>
      <c r="AI395" s="7" t="s">
        <v>2161</v>
      </c>
      <c r="AJ395" s="7" t="s">
        <v>896</v>
      </c>
      <c r="AK395" s="7" t="s">
        <v>2019</v>
      </c>
      <c r="AL395" s="7" t="s">
        <v>2020</v>
      </c>
      <c r="AM395" s="7" t="s">
        <v>2021</v>
      </c>
      <c r="AN395" s="7" t="s">
        <v>2022</v>
      </c>
      <c r="AO395" s="7" t="s">
        <v>2023</v>
      </c>
      <c r="AP395" s="7" t="s">
        <v>2024</v>
      </c>
      <c r="AQ395" s="7" t="s">
        <v>1739</v>
      </c>
      <c r="AR395" s="7" t="s">
        <v>2025</v>
      </c>
      <c r="AS395" s="7" t="s">
        <v>2026</v>
      </c>
      <c r="AT395" s="7" t="s">
        <v>2027</v>
      </c>
      <c r="AU395" s="7" t="s">
        <v>2028</v>
      </c>
      <c r="AV395" s="7" t="s">
        <v>2029</v>
      </c>
      <c r="AW395" s="7" t="s">
        <v>2030</v>
      </c>
      <c r="AX395" s="7" t="s">
        <v>2031</v>
      </c>
      <c r="AY395" s="7" t="s">
        <v>2032</v>
      </c>
      <c r="AZ395" s="7" t="s">
        <v>2033</v>
      </c>
      <c r="BA395" s="7" t="s">
        <v>2034</v>
      </c>
      <c r="BB395" s="7" t="s">
        <v>2035</v>
      </c>
      <c r="BC395" s="7" t="s">
        <v>2036</v>
      </c>
      <c r="BD395" s="7" t="s">
        <v>2037</v>
      </c>
      <c r="BE395" s="7" t="s">
        <v>2038</v>
      </c>
    </row>
    <row r="396" spans="1:62" ht="78" customHeight="1" x14ac:dyDescent="0.4">
      <c r="A396" s="67" t="s">
        <v>516</v>
      </c>
      <c r="B396" t="e">
        <f>_xlfn.XLOOKUP(A396,'Product info'!A:A,'Product info'!C:C,,2)</f>
        <v>#N/A</v>
      </c>
      <c r="C396" s="69" t="s">
        <v>688</v>
      </c>
      <c r="D396" s="7" t="s">
        <v>689</v>
      </c>
      <c r="E396" s="7" t="s">
        <v>690</v>
      </c>
      <c r="F396" s="7" t="s">
        <v>691</v>
      </c>
      <c r="G396" s="7" t="s">
        <v>692</v>
      </c>
      <c r="H396" s="7" t="s">
        <v>693</v>
      </c>
      <c r="I396" s="7" t="s">
        <v>694</v>
      </c>
      <c r="J396" s="7" t="s">
        <v>695</v>
      </c>
      <c r="K396" s="7" t="s">
        <v>696</v>
      </c>
      <c r="L396" s="7" t="s">
        <v>697</v>
      </c>
      <c r="M396" s="7" t="s">
        <v>698</v>
      </c>
      <c r="N396" s="7" t="s">
        <v>699</v>
      </c>
      <c r="O396" s="7" t="s">
        <v>700</v>
      </c>
      <c r="P396" s="7" t="s">
        <v>701</v>
      </c>
      <c r="Q396" s="7" t="s">
        <v>702</v>
      </c>
      <c r="R396" s="7" t="s">
        <v>703</v>
      </c>
      <c r="S396" s="7" t="s">
        <v>704</v>
      </c>
      <c r="T396" s="7" t="s">
        <v>705</v>
      </c>
      <c r="U396" s="7" t="s">
        <v>706</v>
      </c>
      <c r="V396" s="7" t="s">
        <v>707</v>
      </c>
      <c r="W396" s="7" t="s">
        <v>708</v>
      </c>
      <c r="X396" s="7" t="s">
        <v>709</v>
      </c>
      <c r="Y396" s="7" t="s">
        <v>710</v>
      </c>
      <c r="Z396" s="7" t="s">
        <v>711</v>
      </c>
      <c r="AA396" s="7" t="s">
        <v>712</v>
      </c>
      <c r="AB396" s="7" t="s">
        <v>694</v>
      </c>
      <c r="AC396" s="7" t="s">
        <v>713</v>
      </c>
      <c r="AD396" s="7" t="s">
        <v>714</v>
      </c>
      <c r="AE396" s="7" t="s">
        <v>715</v>
      </c>
      <c r="AF396" s="7" t="s">
        <v>716</v>
      </c>
      <c r="AG396" s="7" t="s">
        <v>2162</v>
      </c>
      <c r="AH396" s="7" t="s">
        <v>2163</v>
      </c>
      <c r="AI396" s="7" t="s">
        <v>1915</v>
      </c>
      <c r="AJ396" s="7" t="s">
        <v>2164</v>
      </c>
      <c r="AK396" s="7" t="s">
        <v>2165</v>
      </c>
      <c r="AL396" s="7" t="s">
        <v>2166</v>
      </c>
      <c r="AM396" s="7" t="s">
        <v>2167</v>
      </c>
      <c r="AN396" s="7" t="s">
        <v>2168</v>
      </c>
      <c r="AO396" s="7" t="s">
        <v>2169</v>
      </c>
      <c r="AP396" s="7" t="s">
        <v>2170</v>
      </c>
      <c r="AQ396" s="7" t="s">
        <v>2171</v>
      </c>
      <c r="AR396" s="7" t="s">
        <v>2172</v>
      </c>
      <c r="AS396" s="7" t="s">
        <v>2173</v>
      </c>
      <c r="AT396" s="7" t="s">
        <v>2174</v>
      </c>
      <c r="AU396" s="7" t="s">
        <v>2175</v>
      </c>
    </row>
    <row r="397" spans="1:62" ht="78" customHeight="1" x14ac:dyDescent="0.4">
      <c r="A397" s="67" t="s">
        <v>565</v>
      </c>
      <c r="B397" t="e">
        <f>_xlfn.XLOOKUP(A397,'Product info'!A:A,'Product info'!C:C,,2)</f>
        <v>#N/A</v>
      </c>
      <c r="C397" s="69" t="s">
        <v>688</v>
      </c>
      <c r="D397" s="7" t="s">
        <v>689</v>
      </c>
      <c r="E397" s="7" t="s">
        <v>690</v>
      </c>
      <c r="F397" s="7" t="s">
        <v>691</v>
      </c>
      <c r="G397" s="7" t="s">
        <v>692</v>
      </c>
      <c r="H397" s="7" t="s">
        <v>693</v>
      </c>
      <c r="I397" s="7" t="s">
        <v>694</v>
      </c>
      <c r="J397" s="7" t="s">
        <v>695</v>
      </c>
      <c r="K397" s="7" t="s">
        <v>696</v>
      </c>
      <c r="L397" s="7" t="s">
        <v>697</v>
      </c>
      <c r="M397" s="7" t="s">
        <v>698</v>
      </c>
      <c r="N397" s="7" t="s">
        <v>699</v>
      </c>
      <c r="O397" s="7" t="s">
        <v>700</v>
      </c>
      <c r="P397" s="7" t="s">
        <v>701</v>
      </c>
      <c r="Q397" s="7" t="s">
        <v>702</v>
      </c>
      <c r="R397" s="7" t="s">
        <v>703</v>
      </c>
      <c r="S397" s="7" t="s">
        <v>704</v>
      </c>
      <c r="T397" s="7" t="s">
        <v>705</v>
      </c>
      <c r="U397" s="7" t="s">
        <v>706</v>
      </c>
      <c r="V397" s="7" t="s">
        <v>707</v>
      </c>
      <c r="W397" s="7" t="s">
        <v>708</v>
      </c>
      <c r="X397" s="7" t="s">
        <v>709</v>
      </c>
      <c r="Y397" s="7" t="s">
        <v>710</v>
      </c>
      <c r="Z397" s="7" t="s">
        <v>711</v>
      </c>
      <c r="AA397" s="7" t="s">
        <v>712</v>
      </c>
      <c r="AB397" s="7" t="s">
        <v>694</v>
      </c>
      <c r="AC397" s="7" t="s">
        <v>713</v>
      </c>
      <c r="AD397" s="7" t="s">
        <v>714</v>
      </c>
      <c r="AE397" s="7" t="s">
        <v>715</v>
      </c>
      <c r="AF397" s="7" t="s">
        <v>716</v>
      </c>
      <c r="AG397" s="7" t="s">
        <v>2176</v>
      </c>
      <c r="AH397" s="7" t="s">
        <v>2177</v>
      </c>
      <c r="AI397" s="7" t="s">
        <v>2178</v>
      </c>
      <c r="AJ397" s="7" t="s">
        <v>2179</v>
      </c>
      <c r="AK397" s="7" t="s">
        <v>2180</v>
      </c>
      <c r="AL397" s="7" t="s">
        <v>2181</v>
      </c>
      <c r="AM397" s="7" t="s">
        <v>2182</v>
      </c>
      <c r="AN397" s="7" t="s">
        <v>2183</v>
      </c>
      <c r="AO397" s="7" t="s">
        <v>2184</v>
      </c>
      <c r="AP397" s="7" t="s">
        <v>2185</v>
      </c>
      <c r="AQ397" s="7" t="s">
        <v>2186</v>
      </c>
      <c r="AR397" s="7" t="s">
        <v>2187</v>
      </c>
      <c r="AS397" s="7" t="s">
        <v>2188</v>
      </c>
      <c r="AT397" s="7" t="s">
        <v>2189</v>
      </c>
      <c r="AU397" s="7" t="s">
        <v>2190</v>
      </c>
      <c r="AV397" s="7" t="s">
        <v>2191</v>
      </c>
      <c r="AW397" s="7" t="s">
        <v>2192</v>
      </c>
      <c r="AX397" s="7" t="s">
        <v>2193</v>
      </c>
      <c r="AY397" s="7" t="s">
        <v>2194</v>
      </c>
      <c r="AZ397" s="7" t="s">
        <v>2195</v>
      </c>
      <c r="BA397" s="7" t="s">
        <v>2196</v>
      </c>
      <c r="BB397" s="7" t="s">
        <v>2197</v>
      </c>
      <c r="BC397" s="7" t="s">
        <v>2198</v>
      </c>
      <c r="BD397" s="7" t="s">
        <v>2199</v>
      </c>
    </row>
    <row r="398" spans="1:62" ht="78" customHeight="1" x14ac:dyDescent="0.4">
      <c r="A398" s="67" t="s">
        <v>402</v>
      </c>
      <c r="B398" t="e">
        <f>_xlfn.XLOOKUP(A398,'Product info'!A:A,'Product info'!C:C,,2)</f>
        <v>#N/A</v>
      </c>
      <c r="C398" s="69" t="s">
        <v>688</v>
      </c>
      <c r="D398" s="7" t="s">
        <v>689</v>
      </c>
      <c r="E398" s="7" t="s">
        <v>690</v>
      </c>
      <c r="F398" s="7" t="s">
        <v>691</v>
      </c>
      <c r="G398" s="7" t="s">
        <v>692</v>
      </c>
      <c r="H398" s="7" t="s">
        <v>693</v>
      </c>
      <c r="I398" s="7" t="s">
        <v>694</v>
      </c>
      <c r="J398" s="7" t="s">
        <v>695</v>
      </c>
      <c r="K398" s="7" t="s">
        <v>696</v>
      </c>
      <c r="L398" s="7" t="s">
        <v>697</v>
      </c>
      <c r="M398" s="7" t="s">
        <v>698</v>
      </c>
      <c r="N398" s="7" t="s">
        <v>699</v>
      </c>
      <c r="O398" s="7" t="s">
        <v>700</v>
      </c>
      <c r="P398" s="7" t="s">
        <v>701</v>
      </c>
      <c r="Q398" s="7" t="s">
        <v>702</v>
      </c>
      <c r="R398" s="7" t="s">
        <v>703</v>
      </c>
      <c r="S398" s="7" t="s">
        <v>704</v>
      </c>
      <c r="T398" s="7" t="s">
        <v>705</v>
      </c>
      <c r="U398" s="7" t="s">
        <v>706</v>
      </c>
      <c r="V398" s="7" t="s">
        <v>707</v>
      </c>
      <c r="W398" s="7" t="s">
        <v>708</v>
      </c>
      <c r="X398" s="7" t="s">
        <v>709</v>
      </c>
      <c r="Y398" s="7" t="s">
        <v>710</v>
      </c>
      <c r="Z398" s="7" t="s">
        <v>711</v>
      </c>
      <c r="AA398" s="7" t="s">
        <v>712</v>
      </c>
      <c r="AB398" s="7" t="s">
        <v>694</v>
      </c>
      <c r="AC398" s="7" t="s">
        <v>713</v>
      </c>
      <c r="AD398" s="7" t="s">
        <v>714</v>
      </c>
      <c r="AE398" s="7" t="s">
        <v>715</v>
      </c>
      <c r="AF398" s="7" t="s">
        <v>716</v>
      </c>
      <c r="AG398" s="7" t="s">
        <v>2200</v>
      </c>
      <c r="AH398" s="7" t="s">
        <v>2201</v>
      </c>
      <c r="AI398" s="7" t="s">
        <v>2202</v>
      </c>
      <c r="AJ398" s="7" t="s">
        <v>2203</v>
      </c>
      <c r="AK398" s="7" t="s">
        <v>2204</v>
      </c>
      <c r="AL398" s="7" t="s">
        <v>2205</v>
      </c>
      <c r="AM398" s="7" t="s">
        <v>2206</v>
      </c>
      <c r="AN398" s="7" t="s">
        <v>2207</v>
      </c>
      <c r="AO398" s="7" t="s">
        <v>2208</v>
      </c>
      <c r="AP398" s="7" t="s">
        <v>2209</v>
      </c>
      <c r="AQ398" s="7" t="s">
        <v>2210</v>
      </c>
      <c r="AR398" s="7" t="s">
        <v>2211</v>
      </c>
      <c r="AS398" s="7" t="s">
        <v>2212</v>
      </c>
      <c r="AT398" s="7" t="s">
        <v>2213</v>
      </c>
      <c r="AU398" s="7" t="s">
        <v>2214</v>
      </c>
      <c r="AV398" s="7" t="s">
        <v>2215</v>
      </c>
      <c r="AW398" s="7" t="s">
        <v>2216</v>
      </c>
      <c r="AX398" s="7" t="s">
        <v>2217</v>
      </c>
      <c r="AY398" s="7" t="s">
        <v>2218</v>
      </c>
      <c r="AZ398" s="7" t="s">
        <v>2219</v>
      </c>
      <c r="BA398" s="7" t="s">
        <v>2220</v>
      </c>
      <c r="BB398" s="7" t="s">
        <v>2221</v>
      </c>
      <c r="BC398" s="7" t="s">
        <v>2222</v>
      </c>
      <c r="BD398" s="7" t="s">
        <v>2223</v>
      </c>
      <c r="BE398" s="7" t="s">
        <v>2224</v>
      </c>
      <c r="BF398" s="7" t="s">
        <v>2225</v>
      </c>
      <c r="BG398" s="7" t="s">
        <v>2226</v>
      </c>
    </row>
    <row r="399" spans="1:62" ht="78" customHeight="1" x14ac:dyDescent="0.4">
      <c r="A399" s="67" t="s">
        <v>299</v>
      </c>
      <c r="B399" t="e">
        <f>_xlfn.XLOOKUP(A399,'Product info'!A:A,'Product info'!C:C,,2)</f>
        <v>#N/A</v>
      </c>
      <c r="C399" s="69" t="s">
        <v>688</v>
      </c>
      <c r="D399" s="7" t="s">
        <v>689</v>
      </c>
      <c r="E399" s="7" t="s">
        <v>690</v>
      </c>
      <c r="F399" s="7" t="s">
        <v>691</v>
      </c>
      <c r="G399" s="7" t="s">
        <v>692</v>
      </c>
      <c r="H399" s="7" t="s">
        <v>693</v>
      </c>
      <c r="I399" s="7" t="s">
        <v>694</v>
      </c>
      <c r="J399" s="7" t="s">
        <v>695</v>
      </c>
      <c r="K399" s="7" t="s">
        <v>696</v>
      </c>
      <c r="L399" s="7" t="s">
        <v>697</v>
      </c>
      <c r="M399" s="7" t="s">
        <v>698</v>
      </c>
      <c r="N399" s="7" t="s">
        <v>699</v>
      </c>
      <c r="O399" s="7" t="s">
        <v>700</v>
      </c>
      <c r="P399" s="7" t="s">
        <v>701</v>
      </c>
      <c r="Q399" s="7" t="s">
        <v>702</v>
      </c>
      <c r="R399" s="7" t="s">
        <v>703</v>
      </c>
      <c r="S399" s="7" t="s">
        <v>704</v>
      </c>
      <c r="T399" s="7" t="s">
        <v>705</v>
      </c>
      <c r="U399" s="7" t="s">
        <v>706</v>
      </c>
      <c r="V399" s="7" t="s">
        <v>707</v>
      </c>
      <c r="W399" s="7" t="s">
        <v>708</v>
      </c>
      <c r="X399" s="7" t="s">
        <v>709</v>
      </c>
      <c r="Y399" s="7" t="s">
        <v>710</v>
      </c>
      <c r="Z399" s="7" t="s">
        <v>711</v>
      </c>
      <c r="AA399" s="7" t="s">
        <v>712</v>
      </c>
      <c r="AB399" s="7" t="s">
        <v>694</v>
      </c>
      <c r="AC399" s="7" t="s">
        <v>713</v>
      </c>
      <c r="AD399" s="7" t="s">
        <v>714</v>
      </c>
      <c r="AE399" s="7" t="s">
        <v>715</v>
      </c>
      <c r="AF399" s="7" t="s">
        <v>716</v>
      </c>
      <c r="AG399" s="7" t="s">
        <v>2227</v>
      </c>
      <c r="AH399" s="7" t="s">
        <v>2228</v>
      </c>
      <c r="AI399" s="7" t="s">
        <v>2229</v>
      </c>
      <c r="AJ399" s="7" t="s">
        <v>2230</v>
      </c>
      <c r="AK399" s="7" t="s">
        <v>2231</v>
      </c>
      <c r="AL399" s="7" t="s">
        <v>2232</v>
      </c>
      <c r="AM399" s="7" t="s">
        <v>2233</v>
      </c>
      <c r="AN399" s="7" t="s">
        <v>2234</v>
      </c>
      <c r="AO399" s="7" t="s">
        <v>2235</v>
      </c>
      <c r="AP399" s="7" t="s">
        <v>2236</v>
      </c>
      <c r="AQ399" s="7" t="s">
        <v>2237</v>
      </c>
      <c r="AR399" s="7" t="s">
        <v>2238</v>
      </c>
      <c r="AS399" s="7" t="s">
        <v>2239</v>
      </c>
      <c r="AT399" s="7" t="s">
        <v>2240</v>
      </c>
      <c r="AU399" s="7" t="s">
        <v>2241</v>
      </c>
      <c r="AV399" s="7" t="s">
        <v>2242</v>
      </c>
      <c r="AW399" s="7" t="s">
        <v>2243</v>
      </c>
      <c r="AX399" s="7" t="s">
        <v>2244</v>
      </c>
      <c r="AY399" s="7" t="s">
        <v>2245</v>
      </c>
      <c r="AZ399" s="7" t="s">
        <v>2246</v>
      </c>
      <c r="BA399" s="7" t="s">
        <v>2247</v>
      </c>
      <c r="BB399" s="7" t="s">
        <v>2248</v>
      </c>
      <c r="BC399" s="7" t="s">
        <v>2249</v>
      </c>
      <c r="BD399" s="7" t="s">
        <v>2250</v>
      </c>
      <c r="BE399" s="7" t="s">
        <v>2251</v>
      </c>
      <c r="BF399" s="7" t="s">
        <v>2252</v>
      </c>
      <c r="BG399" s="7" t="s">
        <v>2253</v>
      </c>
      <c r="BH399" s="7" t="s">
        <v>2254</v>
      </c>
      <c r="BI399" s="7" t="s">
        <v>2255</v>
      </c>
      <c r="BJ399" s="7" t="s">
        <v>2198</v>
      </c>
    </row>
    <row r="400" spans="1:62" ht="78" customHeight="1" x14ac:dyDescent="0.4">
      <c r="A400" s="67" t="s">
        <v>298</v>
      </c>
      <c r="B400" t="e">
        <f>_xlfn.XLOOKUP(A400,'Product info'!A:A,'Product info'!C:C,,2)</f>
        <v>#N/A</v>
      </c>
      <c r="C400" s="69" t="s">
        <v>688</v>
      </c>
      <c r="D400" s="7" t="s">
        <v>689</v>
      </c>
      <c r="E400" s="7" t="s">
        <v>690</v>
      </c>
      <c r="F400" s="7" t="s">
        <v>691</v>
      </c>
      <c r="G400" s="7" t="s">
        <v>692</v>
      </c>
      <c r="H400" s="7" t="s">
        <v>693</v>
      </c>
      <c r="I400" s="7" t="s">
        <v>694</v>
      </c>
      <c r="J400" s="7" t="s">
        <v>695</v>
      </c>
      <c r="K400" s="7" t="s">
        <v>696</v>
      </c>
      <c r="L400" s="7" t="s">
        <v>697</v>
      </c>
      <c r="M400" s="7" t="s">
        <v>698</v>
      </c>
      <c r="N400" s="7" t="s">
        <v>699</v>
      </c>
      <c r="O400" s="7" t="s">
        <v>700</v>
      </c>
      <c r="P400" s="7" t="s">
        <v>701</v>
      </c>
      <c r="Q400" s="7" t="s">
        <v>702</v>
      </c>
      <c r="R400" s="7" t="s">
        <v>703</v>
      </c>
      <c r="S400" s="7" t="s">
        <v>704</v>
      </c>
      <c r="T400" s="7" t="s">
        <v>705</v>
      </c>
      <c r="U400" s="7" t="s">
        <v>706</v>
      </c>
      <c r="V400" s="7" t="s">
        <v>707</v>
      </c>
      <c r="W400" s="7" t="s">
        <v>708</v>
      </c>
      <c r="X400" s="7" t="s">
        <v>709</v>
      </c>
      <c r="Y400" s="7" t="s">
        <v>710</v>
      </c>
      <c r="Z400" s="7" t="s">
        <v>711</v>
      </c>
      <c r="AA400" s="7" t="s">
        <v>712</v>
      </c>
      <c r="AB400" s="7" t="s">
        <v>694</v>
      </c>
      <c r="AC400" s="7" t="s">
        <v>713</v>
      </c>
      <c r="AD400" s="7" t="s">
        <v>714</v>
      </c>
      <c r="AE400" s="7" t="s">
        <v>715</v>
      </c>
      <c r="AF400" s="7" t="s">
        <v>716</v>
      </c>
      <c r="AG400" s="7" t="s">
        <v>2256</v>
      </c>
      <c r="AH400" s="7" t="s">
        <v>2257</v>
      </c>
      <c r="AI400" s="7" t="s">
        <v>2258</v>
      </c>
      <c r="AJ400" s="7" t="s">
        <v>2259</v>
      </c>
      <c r="AK400" s="7" t="s">
        <v>2260</v>
      </c>
      <c r="AL400" s="7" t="s">
        <v>2261</v>
      </c>
      <c r="AM400" s="7" t="s">
        <v>2262</v>
      </c>
      <c r="AN400" s="7" t="s">
        <v>2263</v>
      </c>
      <c r="AO400" s="7" t="s">
        <v>2264</v>
      </c>
      <c r="AP400" s="7" t="s">
        <v>2265</v>
      </c>
      <c r="AQ400" s="7" t="s">
        <v>2266</v>
      </c>
      <c r="AR400" s="7" t="s">
        <v>2267</v>
      </c>
      <c r="AS400" s="7" t="s">
        <v>2268</v>
      </c>
      <c r="AT400" s="7" t="s">
        <v>2269</v>
      </c>
      <c r="AU400" s="7" t="s">
        <v>2270</v>
      </c>
      <c r="AV400" s="7" t="s">
        <v>2271</v>
      </c>
      <c r="AW400" s="7" t="s">
        <v>2272</v>
      </c>
      <c r="AX400" s="7" t="s">
        <v>2273</v>
      </c>
      <c r="AY400" s="7" t="s">
        <v>2274</v>
      </c>
      <c r="AZ400" s="7" t="s">
        <v>2275</v>
      </c>
      <c r="BA400" s="7" t="s">
        <v>2276</v>
      </c>
      <c r="BB400" s="7" t="s">
        <v>2277</v>
      </c>
      <c r="BC400" s="7" t="s">
        <v>2278</v>
      </c>
      <c r="BD400" s="7" t="s">
        <v>2279</v>
      </c>
      <c r="BE400" s="7" t="s">
        <v>2280</v>
      </c>
    </row>
    <row r="401" spans="1:61" ht="78" customHeight="1" x14ac:dyDescent="0.4">
      <c r="A401" s="67" t="s">
        <v>496</v>
      </c>
      <c r="B401" t="e">
        <f>_xlfn.XLOOKUP(A401,'Product info'!A:A,'Product info'!C:C,,2)</f>
        <v>#N/A</v>
      </c>
      <c r="C401" s="69" t="s">
        <v>688</v>
      </c>
      <c r="D401" s="7" t="s">
        <v>689</v>
      </c>
      <c r="E401" s="7" t="s">
        <v>690</v>
      </c>
      <c r="F401" s="7" t="s">
        <v>691</v>
      </c>
      <c r="G401" s="7" t="s">
        <v>692</v>
      </c>
      <c r="H401" s="7" t="s">
        <v>693</v>
      </c>
      <c r="I401" s="7" t="s">
        <v>694</v>
      </c>
      <c r="J401" s="7" t="s">
        <v>695</v>
      </c>
      <c r="K401" s="7" t="s">
        <v>696</v>
      </c>
      <c r="L401" s="7" t="s">
        <v>697</v>
      </c>
      <c r="M401" s="7" t="s">
        <v>698</v>
      </c>
      <c r="N401" s="7" t="s">
        <v>699</v>
      </c>
      <c r="O401" s="7" t="s">
        <v>700</v>
      </c>
      <c r="P401" s="7" t="s">
        <v>701</v>
      </c>
      <c r="Q401" s="7" t="s">
        <v>702</v>
      </c>
      <c r="R401" s="7" t="s">
        <v>703</v>
      </c>
      <c r="S401" s="7" t="s">
        <v>704</v>
      </c>
      <c r="T401" s="7" t="s">
        <v>705</v>
      </c>
      <c r="U401" s="7" t="s">
        <v>706</v>
      </c>
      <c r="V401" s="7" t="s">
        <v>707</v>
      </c>
      <c r="W401" s="7" t="s">
        <v>708</v>
      </c>
      <c r="X401" s="7" t="s">
        <v>709</v>
      </c>
      <c r="Y401" s="7" t="s">
        <v>710</v>
      </c>
      <c r="Z401" s="7" t="s">
        <v>711</v>
      </c>
      <c r="AA401" s="7" t="s">
        <v>712</v>
      </c>
      <c r="AB401" s="7" t="s">
        <v>694</v>
      </c>
      <c r="AC401" s="7" t="s">
        <v>713</v>
      </c>
      <c r="AD401" s="7" t="s">
        <v>714</v>
      </c>
      <c r="AE401" s="7" t="s">
        <v>715</v>
      </c>
      <c r="AF401" s="7" t="s">
        <v>716</v>
      </c>
      <c r="AG401" s="7" t="s">
        <v>2281</v>
      </c>
      <c r="AH401" s="7" t="s">
        <v>2282</v>
      </c>
      <c r="AI401" s="7" t="s">
        <v>2283</v>
      </c>
      <c r="AJ401" s="7" t="s">
        <v>2284</v>
      </c>
      <c r="AK401" s="7" t="s">
        <v>2285</v>
      </c>
      <c r="AL401" s="7" t="s">
        <v>2286</v>
      </c>
      <c r="AM401" s="7" t="s">
        <v>2287</v>
      </c>
      <c r="AN401" s="7" t="s">
        <v>2288</v>
      </c>
      <c r="AO401" s="7" t="s">
        <v>2289</v>
      </c>
      <c r="AP401" s="7" t="s">
        <v>2290</v>
      </c>
      <c r="AQ401" s="7" t="s">
        <v>2291</v>
      </c>
      <c r="AR401" s="7" t="s">
        <v>2292</v>
      </c>
      <c r="AS401" s="7" t="s">
        <v>2293</v>
      </c>
      <c r="AT401" s="7" t="s">
        <v>2294</v>
      </c>
      <c r="AU401" s="7" t="s">
        <v>2295</v>
      </c>
      <c r="AV401" s="7" t="s">
        <v>2296</v>
      </c>
      <c r="AW401" s="7" t="s">
        <v>2297</v>
      </c>
      <c r="AX401" s="7" t="s">
        <v>2298</v>
      </c>
      <c r="AY401" s="7" t="s">
        <v>2299</v>
      </c>
      <c r="AZ401" s="7" t="s">
        <v>2300</v>
      </c>
      <c r="BA401" s="7" t="s">
        <v>2301</v>
      </c>
    </row>
    <row r="402" spans="1:61" ht="78" customHeight="1" x14ac:dyDescent="0.4">
      <c r="A402" s="67" t="s">
        <v>81</v>
      </c>
      <c r="B402" t="e">
        <f>_xlfn.XLOOKUP(A402,'Product info'!A:A,'Product info'!C:C,,2)</f>
        <v>#N/A</v>
      </c>
      <c r="C402" s="69" t="s">
        <v>688</v>
      </c>
      <c r="D402" s="7" t="s">
        <v>689</v>
      </c>
      <c r="E402" s="7" t="s">
        <v>690</v>
      </c>
      <c r="F402" s="7" t="s">
        <v>691</v>
      </c>
      <c r="G402" s="7" t="s">
        <v>692</v>
      </c>
      <c r="H402" s="7" t="s">
        <v>693</v>
      </c>
      <c r="I402" s="7" t="s">
        <v>694</v>
      </c>
      <c r="J402" s="7" t="s">
        <v>695</v>
      </c>
      <c r="K402" s="7" t="s">
        <v>696</v>
      </c>
      <c r="L402" s="7" t="s">
        <v>697</v>
      </c>
      <c r="M402" s="7" t="s">
        <v>698</v>
      </c>
      <c r="N402" s="7" t="s">
        <v>699</v>
      </c>
      <c r="O402" s="7" t="s">
        <v>700</v>
      </c>
      <c r="P402" s="7" t="s">
        <v>701</v>
      </c>
      <c r="Q402" s="7" t="s">
        <v>702</v>
      </c>
      <c r="R402" s="7" t="s">
        <v>703</v>
      </c>
      <c r="S402" s="7" t="s">
        <v>704</v>
      </c>
      <c r="T402" s="7" t="s">
        <v>705</v>
      </c>
      <c r="U402" s="7" t="s">
        <v>706</v>
      </c>
      <c r="V402" s="7" t="s">
        <v>707</v>
      </c>
      <c r="W402" s="7" t="s">
        <v>708</v>
      </c>
      <c r="X402" s="7" t="s">
        <v>709</v>
      </c>
      <c r="Y402" s="7" t="s">
        <v>710</v>
      </c>
      <c r="Z402" s="7" t="s">
        <v>711</v>
      </c>
      <c r="AA402" s="7" t="s">
        <v>712</v>
      </c>
      <c r="AB402" s="7" t="s">
        <v>694</v>
      </c>
      <c r="AC402" s="7" t="s">
        <v>713</v>
      </c>
      <c r="AD402" s="7" t="s">
        <v>714</v>
      </c>
      <c r="AE402" s="7" t="s">
        <v>715</v>
      </c>
      <c r="AF402" s="7" t="s">
        <v>716</v>
      </c>
      <c r="AG402" s="7" t="s">
        <v>2050</v>
      </c>
      <c r="AH402" s="7" t="s">
        <v>2302</v>
      </c>
      <c r="AI402" s="7" t="s">
        <v>2303</v>
      </c>
      <c r="AJ402" s="7" t="s">
        <v>2304</v>
      </c>
      <c r="AK402" s="7" t="s">
        <v>2305</v>
      </c>
      <c r="AL402" s="7" t="s">
        <v>2306</v>
      </c>
      <c r="AM402" s="7" t="s">
        <v>2307</v>
      </c>
      <c r="AN402" s="7" t="s">
        <v>2308</v>
      </c>
      <c r="AO402" s="7" t="s">
        <v>2309</v>
      </c>
      <c r="AP402" s="7" t="s">
        <v>2310</v>
      </c>
      <c r="AQ402" s="7" t="s">
        <v>2311</v>
      </c>
      <c r="AR402" s="7" t="s">
        <v>2312</v>
      </c>
      <c r="AS402" s="7" t="s">
        <v>2313</v>
      </c>
      <c r="AT402" s="7" t="s">
        <v>2314</v>
      </c>
      <c r="AU402" s="7" t="s">
        <v>2315</v>
      </c>
    </row>
    <row r="403" spans="1:61" ht="78" customHeight="1" x14ac:dyDescent="0.4">
      <c r="A403" s="67" t="s">
        <v>80</v>
      </c>
      <c r="B403" t="e">
        <f>_xlfn.XLOOKUP(A403,'Product info'!A:A,'Product info'!C:C,,2)</f>
        <v>#N/A</v>
      </c>
      <c r="C403" s="69" t="s">
        <v>688</v>
      </c>
      <c r="D403" s="7" t="s">
        <v>689</v>
      </c>
      <c r="E403" s="7" t="s">
        <v>690</v>
      </c>
      <c r="F403" s="7" t="s">
        <v>691</v>
      </c>
      <c r="G403" s="7" t="s">
        <v>692</v>
      </c>
      <c r="H403" s="7" t="s">
        <v>693</v>
      </c>
      <c r="I403" s="7" t="s">
        <v>694</v>
      </c>
      <c r="J403" s="7" t="s">
        <v>695</v>
      </c>
      <c r="K403" s="7" t="s">
        <v>696</v>
      </c>
      <c r="L403" s="7" t="s">
        <v>697</v>
      </c>
      <c r="M403" s="7" t="s">
        <v>698</v>
      </c>
      <c r="N403" s="7" t="s">
        <v>699</v>
      </c>
      <c r="O403" s="7" t="s">
        <v>700</v>
      </c>
      <c r="P403" s="7" t="s">
        <v>701</v>
      </c>
      <c r="Q403" s="7" t="s">
        <v>702</v>
      </c>
      <c r="R403" s="7" t="s">
        <v>703</v>
      </c>
      <c r="S403" s="7" t="s">
        <v>704</v>
      </c>
      <c r="T403" s="7" t="s">
        <v>705</v>
      </c>
      <c r="U403" s="7" t="s">
        <v>706</v>
      </c>
      <c r="V403" s="7" t="s">
        <v>707</v>
      </c>
      <c r="W403" s="7" t="s">
        <v>708</v>
      </c>
      <c r="X403" s="7" t="s">
        <v>709</v>
      </c>
      <c r="Y403" s="7" t="s">
        <v>710</v>
      </c>
      <c r="Z403" s="7" t="s">
        <v>711</v>
      </c>
      <c r="AA403" s="7" t="s">
        <v>712</v>
      </c>
      <c r="AB403" s="7" t="s">
        <v>694</v>
      </c>
      <c r="AC403" s="7" t="s">
        <v>713</v>
      </c>
      <c r="AD403" s="7" t="s">
        <v>714</v>
      </c>
      <c r="AE403" s="7" t="s">
        <v>715</v>
      </c>
      <c r="AF403" s="7" t="s">
        <v>716</v>
      </c>
      <c r="AG403" s="7" t="s">
        <v>2050</v>
      </c>
      <c r="AH403" s="7" t="s">
        <v>2302</v>
      </c>
      <c r="AI403" s="7" t="s">
        <v>2303</v>
      </c>
      <c r="AJ403" s="7" t="s">
        <v>2304</v>
      </c>
      <c r="AK403" s="7" t="s">
        <v>2305</v>
      </c>
      <c r="AL403" s="7" t="s">
        <v>2306</v>
      </c>
      <c r="AM403" s="7" t="s">
        <v>2307</v>
      </c>
      <c r="AN403" s="7" t="s">
        <v>2308</v>
      </c>
      <c r="AO403" s="7" t="s">
        <v>2309</v>
      </c>
      <c r="AP403" s="7" t="s">
        <v>2310</v>
      </c>
      <c r="AQ403" s="7" t="s">
        <v>2311</v>
      </c>
      <c r="AR403" s="7" t="s">
        <v>2312</v>
      </c>
      <c r="AS403" s="7" t="s">
        <v>2313</v>
      </c>
      <c r="AT403" s="7" t="s">
        <v>2314</v>
      </c>
      <c r="AU403" s="7" t="s">
        <v>2315</v>
      </c>
    </row>
    <row r="404" spans="1:61" ht="78" customHeight="1" x14ac:dyDescent="0.4">
      <c r="A404" s="67" t="s">
        <v>508</v>
      </c>
      <c r="B404" t="e">
        <f>_xlfn.XLOOKUP(A404,'Product info'!A:A,'Product info'!C:C,,2)</f>
        <v>#N/A</v>
      </c>
      <c r="C404" s="69" t="s">
        <v>688</v>
      </c>
      <c r="D404" s="7" t="s">
        <v>689</v>
      </c>
      <c r="E404" s="7" t="s">
        <v>690</v>
      </c>
      <c r="F404" s="7" t="s">
        <v>691</v>
      </c>
      <c r="G404" s="7" t="s">
        <v>692</v>
      </c>
      <c r="H404" s="7" t="s">
        <v>693</v>
      </c>
      <c r="I404" s="7" t="s">
        <v>694</v>
      </c>
      <c r="J404" s="7" t="s">
        <v>695</v>
      </c>
      <c r="K404" s="7" t="s">
        <v>696</v>
      </c>
      <c r="L404" s="7" t="s">
        <v>697</v>
      </c>
      <c r="M404" s="7" t="s">
        <v>698</v>
      </c>
      <c r="N404" s="7" t="s">
        <v>699</v>
      </c>
      <c r="O404" s="7" t="s">
        <v>700</v>
      </c>
      <c r="P404" s="7" t="s">
        <v>701</v>
      </c>
      <c r="Q404" s="7" t="s">
        <v>702</v>
      </c>
      <c r="R404" s="7" t="s">
        <v>703</v>
      </c>
      <c r="S404" s="7" t="s">
        <v>704</v>
      </c>
      <c r="T404" s="7" t="s">
        <v>705</v>
      </c>
      <c r="U404" s="7" t="s">
        <v>706</v>
      </c>
      <c r="V404" s="7" t="s">
        <v>707</v>
      </c>
      <c r="W404" s="7" t="s">
        <v>708</v>
      </c>
      <c r="X404" s="7" t="s">
        <v>709</v>
      </c>
      <c r="Y404" s="7" t="s">
        <v>710</v>
      </c>
      <c r="Z404" s="7" t="s">
        <v>711</v>
      </c>
      <c r="AA404" s="7" t="s">
        <v>712</v>
      </c>
      <c r="AB404" s="7" t="s">
        <v>694</v>
      </c>
      <c r="AC404" s="7" t="s">
        <v>713</v>
      </c>
      <c r="AD404" s="7" t="s">
        <v>714</v>
      </c>
      <c r="AE404" s="7" t="s">
        <v>715</v>
      </c>
      <c r="AF404" s="7" t="s">
        <v>716</v>
      </c>
      <c r="AG404" s="7" t="s">
        <v>1007</v>
      </c>
      <c r="AH404" s="7" t="s">
        <v>1008</v>
      </c>
      <c r="AI404" s="7" t="s">
        <v>1009</v>
      </c>
      <c r="AJ404" s="7" t="s">
        <v>1010</v>
      </c>
      <c r="AK404" s="7" t="s">
        <v>1011</v>
      </c>
      <c r="AL404" s="7" t="s">
        <v>1012</v>
      </c>
      <c r="AM404" s="7" t="s">
        <v>1013</v>
      </c>
      <c r="AN404" s="7" t="s">
        <v>1014</v>
      </c>
      <c r="AO404" s="7" t="s">
        <v>1015</v>
      </c>
      <c r="AP404" s="7" t="s">
        <v>1016</v>
      </c>
      <c r="AQ404" s="7" t="s">
        <v>1017</v>
      </c>
      <c r="AR404" s="7" t="s">
        <v>1018</v>
      </c>
      <c r="AS404" s="7" t="s">
        <v>1019</v>
      </c>
      <c r="AT404" s="7" t="s">
        <v>1020</v>
      </c>
      <c r="AU404" s="7" t="s">
        <v>1021</v>
      </c>
      <c r="AV404" s="7" t="s">
        <v>1022</v>
      </c>
      <c r="AW404" s="7" t="s">
        <v>1023</v>
      </c>
      <c r="AX404" s="7" t="s">
        <v>1024</v>
      </c>
      <c r="AY404" s="7" t="s">
        <v>1025</v>
      </c>
      <c r="AZ404" s="7" t="s">
        <v>1026</v>
      </c>
      <c r="BA404" s="7" t="s">
        <v>1027</v>
      </c>
      <c r="BB404" s="7" t="s">
        <v>2316</v>
      </c>
      <c r="BC404" s="7" t="s">
        <v>2317</v>
      </c>
      <c r="BD404" s="7" t="s">
        <v>2318</v>
      </c>
      <c r="BE404" s="7" t="s">
        <v>2319</v>
      </c>
      <c r="BF404" s="7" t="s">
        <v>2320</v>
      </c>
      <c r="BG404" s="7" t="s">
        <v>2321</v>
      </c>
      <c r="BH404" s="7" t="s">
        <v>2322</v>
      </c>
      <c r="BI404" s="7" t="s">
        <v>2323</v>
      </c>
    </row>
    <row r="405" spans="1:61" ht="78" customHeight="1" x14ac:dyDescent="0.4">
      <c r="A405" s="67" t="s">
        <v>77</v>
      </c>
      <c r="B405" t="e">
        <f>_xlfn.XLOOKUP(A405,'Product info'!A:A,'Product info'!C:C,,2)</f>
        <v>#N/A</v>
      </c>
      <c r="C405" s="69" t="s">
        <v>688</v>
      </c>
      <c r="D405" s="7" t="s">
        <v>689</v>
      </c>
      <c r="E405" s="7" t="s">
        <v>690</v>
      </c>
      <c r="F405" s="7" t="s">
        <v>691</v>
      </c>
      <c r="G405" s="7" t="s">
        <v>692</v>
      </c>
      <c r="H405" s="7" t="s">
        <v>693</v>
      </c>
      <c r="I405" s="7" t="s">
        <v>694</v>
      </c>
      <c r="J405" s="7" t="s">
        <v>695</v>
      </c>
      <c r="K405" s="7" t="s">
        <v>696</v>
      </c>
      <c r="L405" s="7" t="s">
        <v>697</v>
      </c>
      <c r="M405" s="7" t="s">
        <v>698</v>
      </c>
      <c r="N405" s="7" t="s">
        <v>699</v>
      </c>
      <c r="O405" s="7" t="s">
        <v>700</v>
      </c>
      <c r="P405" s="7" t="s">
        <v>701</v>
      </c>
      <c r="Q405" s="7" t="s">
        <v>702</v>
      </c>
      <c r="R405" s="7" t="s">
        <v>703</v>
      </c>
      <c r="S405" s="7" t="s">
        <v>704</v>
      </c>
      <c r="T405" s="7" t="s">
        <v>705</v>
      </c>
      <c r="U405" s="7" t="s">
        <v>706</v>
      </c>
      <c r="V405" s="7" t="s">
        <v>707</v>
      </c>
      <c r="W405" s="7" t="s">
        <v>708</v>
      </c>
      <c r="X405" s="7" t="s">
        <v>709</v>
      </c>
      <c r="Y405" s="7" t="s">
        <v>710</v>
      </c>
      <c r="Z405" s="7" t="s">
        <v>711</v>
      </c>
      <c r="AA405" s="7" t="s">
        <v>712</v>
      </c>
      <c r="AB405" s="7" t="s">
        <v>694</v>
      </c>
      <c r="AC405" s="7" t="s">
        <v>713</v>
      </c>
      <c r="AD405" s="7" t="s">
        <v>714</v>
      </c>
      <c r="AE405" s="7" t="s">
        <v>715</v>
      </c>
      <c r="AF405" s="7" t="s">
        <v>716</v>
      </c>
      <c r="AG405" s="7" t="s">
        <v>994</v>
      </c>
      <c r="AH405" s="7" t="s">
        <v>974</v>
      </c>
      <c r="AI405" s="7" t="s">
        <v>975</v>
      </c>
      <c r="AJ405" s="7" t="s">
        <v>987</v>
      </c>
      <c r="AK405" s="7" t="s">
        <v>996</v>
      </c>
      <c r="AL405" s="7" t="s">
        <v>997</v>
      </c>
      <c r="AM405" s="7" t="s">
        <v>998</v>
      </c>
      <c r="AN405" s="7" t="s">
        <v>999</v>
      </c>
      <c r="AO405" s="7" t="s">
        <v>1000</v>
      </c>
      <c r="AP405" s="7" t="s">
        <v>1001</v>
      </c>
      <c r="AQ405" s="7" t="s">
        <v>1002</v>
      </c>
      <c r="AR405" s="7" t="s">
        <v>1003</v>
      </c>
      <c r="AS405" s="7" t="s">
        <v>1004</v>
      </c>
      <c r="AT405" s="7" t="s">
        <v>2324</v>
      </c>
      <c r="AU405" s="7" t="s">
        <v>2325</v>
      </c>
      <c r="AV405" s="7" t="s">
        <v>2326</v>
      </c>
      <c r="AW405" s="7" t="s">
        <v>2327</v>
      </c>
      <c r="AX405" s="7" t="s">
        <v>2328</v>
      </c>
      <c r="AY405" s="7" t="s">
        <v>2329</v>
      </c>
      <c r="AZ405" s="7" t="s">
        <v>2330</v>
      </c>
    </row>
    <row r="406" spans="1:61" ht="78" customHeight="1" x14ac:dyDescent="0.4">
      <c r="A406" s="67" t="s">
        <v>79</v>
      </c>
      <c r="B406" t="e">
        <f>_xlfn.XLOOKUP(A406,'Product info'!A:A,'Product info'!C:C,,2)</f>
        <v>#N/A</v>
      </c>
      <c r="C406" s="69" t="s">
        <v>688</v>
      </c>
      <c r="D406" s="7" t="s">
        <v>689</v>
      </c>
      <c r="E406" s="7" t="s">
        <v>690</v>
      </c>
      <c r="F406" s="7" t="s">
        <v>691</v>
      </c>
      <c r="G406" s="7" t="s">
        <v>692</v>
      </c>
      <c r="H406" s="7" t="s">
        <v>693</v>
      </c>
      <c r="I406" s="7" t="s">
        <v>694</v>
      </c>
      <c r="J406" s="7" t="s">
        <v>695</v>
      </c>
      <c r="K406" s="7" t="s">
        <v>696</v>
      </c>
      <c r="L406" s="7" t="s">
        <v>697</v>
      </c>
      <c r="M406" s="7" t="s">
        <v>698</v>
      </c>
      <c r="N406" s="7" t="s">
        <v>699</v>
      </c>
      <c r="O406" s="7" t="s">
        <v>700</v>
      </c>
      <c r="P406" s="7" t="s">
        <v>701</v>
      </c>
      <c r="Q406" s="7" t="s">
        <v>702</v>
      </c>
      <c r="R406" s="7" t="s">
        <v>703</v>
      </c>
      <c r="S406" s="7" t="s">
        <v>704</v>
      </c>
      <c r="T406" s="7" t="s">
        <v>705</v>
      </c>
      <c r="U406" s="7" t="s">
        <v>706</v>
      </c>
      <c r="V406" s="7" t="s">
        <v>707</v>
      </c>
      <c r="W406" s="7" t="s">
        <v>708</v>
      </c>
      <c r="X406" s="7" t="s">
        <v>709</v>
      </c>
      <c r="Y406" s="7" t="s">
        <v>710</v>
      </c>
      <c r="Z406" s="7" t="s">
        <v>711</v>
      </c>
      <c r="AA406" s="7" t="s">
        <v>712</v>
      </c>
      <c r="AB406" s="7" t="s">
        <v>694</v>
      </c>
      <c r="AC406" s="7" t="s">
        <v>713</v>
      </c>
      <c r="AD406" s="7" t="s">
        <v>714</v>
      </c>
      <c r="AE406" s="7" t="s">
        <v>715</v>
      </c>
      <c r="AF406" s="7" t="s">
        <v>716</v>
      </c>
      <c r="AG406" s="7" t="s">
        <v>994</v>
      </c>
      <c r="AH406" s="7" t="s">
        <v>974</v>
      </c>
      <c r="AI406" s="7" t="s">
        <v>975</v>
      </c>
      <c r="AJ406" s="7" t="s">
        <v>987</v>
      </c>
      <c r="AK406" s="7" t="s">
        <v>996</v>
      </c>
      <c r="AL406" s="7" t="s">
        <v>997</v>
      </c>
      <c r="AM406" s="7" t="s">
        <v>998</v>
      </c>
      <c r="AN406" s="7" t="s">
        <v>999</v>
      </c>
      <c r="AO406" s="7" t="s">
        <v>1000</v>
      </c>
      <c r="AP406" s="7" t="s">
        <v>1001</v>
      </c>
      <c r="AQ406" s="7" t="s">
        <v>1002</v>
      </c>
      <c r="AR406" s="7" t="s">
        <v>1003</v>
      </c>
      <c r="AS406" s="7" t="s">
        <v>1004</v>
      </c>
      <c r="AT406" s="7" t="s">
        <v>2324</v>
      </c>
      <c r="AU406" s="7" t="s">
        <v>2325</v>
      </c>
      <c r="AV406" s="7" t="s">
        <v>2326</v>
      </c>
      <c r="AW406" s="7" t="s">
        <v>2327</v>
      </c>
      <c r="AX406" s="7" t="s">
        <v>2328</v>
      </c>
      <c r="AY406" s="7" t="s">
        <v>2329</v>
      </c>
      <c r="AZ406" s="7" t="s">
        <v>2330</v>
      </c>
    </row>
    <row r="407" spans="1:61" ht="78" customHeight="1" x14ac:dyDescent="0.4">
      <c r="A407" s="67" t="s">
        <v>260</v>
      </c>
      <c r="B407" t="e">
        <f>_xlfn.XLOOKUP(A407,'Product info'!A:A,'Product info'!C:C,,2)</f>
        <v>#N/A</v>
      </c>
      <c r="C407" s="69" t="s">
        <v>688</v>
      </c>
      <c r="D407" s="7" t="s">
        <v>689</v>
      </c>
      <c r="E407" s="7" t="s">
        <v>690</v>
      </c>
      <c r="F407" s="7" t="s">
        <v>691</v>
      </c>
      <c r="G407" s="7" t="s">
        <v>692</v>
      </c>
      <c r="H407" s="7" t="s">
        <v>693</v>
      </c>
      <c r="I407" s="7" t="s">
        <v>694</v>
      </c>
      <c r="J407" s="7" t="s">
        <v>695</v>
      </c>
      <c r="K407" s="7" t="s">
        <v>696</v>
      </c>
      <c r="L407" s="7" t="s">
        <v>697</v>
      </c>
      <c r="M407" s="7" t="s">
        <v>698</v>
      </c>
      <c r="N407" s="7" t="s">
        <v>699</v>
      </c>
      <c r="O407" s="7" t="s">
        <v>700</v>
      </c>
      <c r="P407" s="7" t="s">
        <v>701</v>
      </c>
      <c r="Q407" s="7" t="s">
        <v>702</v>
      </c>
      <c r="R407" s="7" t="s">
        <v>703</v>
      </c>
      <c r="S407" s="7" t="s">
        <v>704</v>
      </c>
      <c r="T407" s="7" t="s">
        <v>705</v>
      </c>
      <c r="U407" s="7" t="s">
        <v>706</v>
      </c>
      <c r="V407" s="7" t="s">
        <v>707</v>
      </c>
      <c r="W407" s="7" t="s">
        <v>708</v>
      </c>
      <c r="X407" s="7" t="s">
        <v>709</v>
      </c>
      <c r="Y407" s="7" t="s">
        <v>710</v>
      </c>
      <c r="Z407" s="7" t="s">
        <v>711</v>
      </c>
      <c r="AA407" s="7" t="s">
        <v>712</v>
      </c>
      <c r="AB407" s="7" t="s">
        <v>694</v>
      </c>
      <c r="AC407" s="7" t="s">
        <v>713</v>
      </c>
      <c r="AD407" s="7" t="s">
        <v>714</v>
      </c>
      <c r="AE407" s="7" t="s">
        <v>715</v>
      </c>
      <c r="AF407" s="7" t="s">
        <v>716</v>
      </c>
      <c r="AG407" s="7" t="s">
        <v>2083</v>
      </c>
      <c r="AH407" s="7" t="s">
        <v>2331</v>
      </c>
      <c r="AI407" s="7" t="s">
        <v>2332</v>
      </c>
      <c r="AJ407" s="7" t="s">
        <v>2333</v>
      </c>
      <c r="AK407" s="7" t="s">
        <v>2334</v>
      </c>
      <c r="AL407" s="7" t="s">
        <v>2335</v>
      </c>
      <c r="AM407" s="7" t="s">
        <v>2336</v>
      </c>
      <c r="AN407" s="7" t="s">
        <v>2337</v>
      </c>
      <c r="AO407" s="7" t="s">
        <v>2338</v>
      </c>
      <c r="AP407" s="7" t="s">
        <v>2339</v>
      </c>
      <c r="AQ407" s="7" t="s">
        <v>2340</v>
      </c>
      <c r="AR407" s="7" t="s">
        <v>2341</v>
      </c>
      <c r="AS407" s="7" t="s">
        <v>2342</v>
      </c>
      <c r="AT407" s="7" t="s">
        <v>2343</v>
      </c>
      <c r="AU407" s="7" t="s">
        <v>2344</v>
      </c>
      <c r="AV407" s="7" t="s">
        <v>2345</v>
      </c>
      <c r="AW407" s="7" t="s">
        <v>2346</v>
      </c>
      <c r="AX407" s="7" t="s">
        <v>2347</v>
      </c>
      <c r="AY407" s="7" t="s">
        <v>714</v>
      </c>
      <c r="AZ407" s="7" t="s">
        <v>715</v>
      </c>
      <c r="BA407" s="7" t="s">
        <v>716</v>
      </c>
      <c r="BB407" s="7" t="s">
        <v>2348</v>
      </c>
      <c r="BC407" s="7" t="s">
        <v>2349</v>
      </c>
    </row>
    <row r="408" spans="1:61" ht="78" customHeight="1" x14ac:dyDescent="0.4">
      <c r="A408" s="67" t="s">
        <v>259</v>
      </c>
      <c r="B408" t="e">
        <f>_xlfn.XLOOKUP(A408,'Product info'!A:A,'Product info'!C:C,,2)</f>
        <v>#N/A</v>
      </c>
      <c r="C408" s="69" t="s">
        <v>688</v>
      </c>
      <c r="D408" s="7" t="s">
        <v>689</v>
      </c>
      <c r="E408" s="7" t="s">
        <v>690</v>
      </c>
      <c r="F408" s="7" t="s">
        <v>691</v>
      </c>
      <c r="G408" s="7" t="s">
        <v>692</v>
      </c>
      <c r="H408" s="7" t="s">
        <v>693</v>
      </c>
      <c r="I408" s="7" t="s">
        <v>694</v>
      </c>
      <c r="J408" s="7" t="s">
        <v>695</v>
      </c>
      <c r="K408" s="7" t="s">
        <v>696</v>
      </c>
      <c r="L408" s="7" t="s">
        <v>697</v>
      </c>
      <c r="M408" s="7" t="s">
        <v>698</v>
      </c>
      <c r="N408" s="7" t="s">
        <v>699</v>
      </c>
      <c r="O408" s="7" t="s">
        <v>700</v>
      </c>
      <c r="P408" s="7" t="s">
        <v>701</v>
      </c>
      <c r="Q408" s="7" t="s">
        <v>702</v>
      </c>
      <c r="R408" s="7" t="s">
        <v>703</v>
      </c>
      <c r="S408" s="7" t="s">
        <v>704</v>
      </c>
      <c r="T408" s="7" t="s">
        <v>705</v>
      </c>
      <c r="U408" s="7" t="s">
        <v>706</v>
      </c>
      <c r="V408" s="7" t="s">
        <v>707</v>
      </c>
      <c r="W408" s="7" t="s">
        <v>708</v>
      </c>
      <c r="X408" s="7" t="s">
        <v>709</v>
      </c>
      <c r="Y408" s="7" t="s">
        <v>710</v>
      </c>
      <c r="Z408" s="7" t="s">
        <v>711</v>
      </c>
      <c r="AA408" s="7" t="s">
        <v>712</v>
      </c>
      <c r="AB408" s="7" t="s">
        <v>694</v>
      </c>
      <c r="AC408" s="7" t="s">
        <v>713</v>
      </c>
      <c r="AD408" s="7" t="s">
        <v>714</v>
      </c>
      <c r="AE408" s="7" t="s">
        <v>715</v>
      </c>
      <c r="AF408" s="7" t="s">
        <v>716</v>
      </c>
      <c r="AG408" s="7" t="s">
        <v>2083</v>
      </c>
      <c r="AH408" s="7" t="s">
        <v>2331</v>
      </c>
      <c r="AI408" s="7" t="s">
        <v>2332</v>
      </c>
      <c r="AJ408" s="7" t="s">
        <v>2333</v>
      </c>
      <c r="AK408" s="7" t="s">
        <v>2334</v>
      </c>
      <c r="AL408" s="7" t="s">
        <v>2335</v>
      </c>
      <c r="AM408" s="7" t="s">
        <v>2336</v>
      </c>
      <c r="AN408" s="7" t="s">
        <v>2337</v>
      </c>
      <c r="AO408" s="7" t="s">
        <v>2338</v>
      </c>
      <c r="AP408" s="7" t="s">
        <v>2339</v>
      </c>
      <c r="AQ408" s="7" t="s">
        <v>2340</v>
      </c>
      <c r="AR408" s="7" t="s">
        <v>2341</v>
      </c>
      <c r="AS408" s="7" t="s">
        <v>2342</v>
      </c>
      <c r="AT408" s="7" t="s">
        <v>2343</v>
      </c>
      <c r="AU408" s="7" t="s">
        <v>2344</v>
      </c>
      <c r="AV408" s="7" t="s">
        <v>2345</v>
      </c>
      <c r="AW408" s="7" t="s">
        <v>2346</v>
      </c>
      <c r="AX408" s="7" t="s">
        <v>2347</v>
      </c>
      <c r="AY408" s="7" t="s">
        <v>714</v>
      </c>
      <c r="AZ408" s="7" t="s">
        <v>715</v>
      </c>
      <c r="BA408" s="7" t="s">
        <v>716</v>
      </c>
      <c r="BB408" s="7" t="s">
        <v>2348</v>
      </c>
      <c r="BC408" s="7" t="s">
        <v>2349</v>
      </c>
    </row>
    <row r="409" spans="1:61" ht="78" customHeight="1" x14ac:dyDescent="0.4">
      <c r="A409" s="67" t="s">
        <v>262</v>
      </c>
      <c r="B409" t="e">
        <f>_xlfn.XLOOKUP(A409,'Product info'!A:A,'Product info'!C:C,,2)</f>
        <v>#N/A</v>
      </c>
      <c r="C409" s="69" t="s">
        <v>688</v>
      </c>
      <c r="D409" s="7" t="s">
        <v>689</v>
      </c>
      <c r="E409" s="7" t="s">
        <v>690</v>
      </c>
      <c r="F409" s="7" t="s">
        <v>691</v>
      </c>
      <c r="G409" s="7" t="s">
        <v>692</v>
      </c>
      <c r="H409" s="7" t="s">
        <v>693</v>
      </c>
      <c r="I409" s="7" t="s">
        <v>694</v>
      </c>
      <c r="J409" s="7" t="s">
        <v>695</v>
      </c>
      <c r="K409" s="7" t="s">
        <v>696</v>
      </c>
      <c r="L409" s="7" t="s">
        <v>697</v>
      </c>
      <c r="M409" s="7" t="s">
        <v>698</v>
      </c>
      <c r="N409" s="7" t="s">
        <v>699</v>
      </c>
      <c r="O409" s="7" t="s">
        <v>700</v>
      </c>
      <c r="P409" s="7" t="s">
        <v>701</v>
      </c>
      <c r="Q409" s="7" t="s">
        <v>702</v>
      </c>
      <c r="R409" s="7" t="s">
        <v>703</v>
      </c>
      <c r="S409" s="7" t="s">
        <v>704</v>
      </c>
      <c r="T409" s="7" t="s">
        <v>705</v>
      </c>
      <c r="U409" s="7" t="s">
        <v>706</v>
      </c>
      <c r="V409" s="7" t="s">
        <v>707</v>
      </c>
      <c r="W409" s="7" t="s">
        <v>708</v>
      </c>
      <c r="X409" s="7" t="s">
        <v>709</v>
      </c>
      <c r="Y409" s="7" t="s">
        <v>710</v>
      </c>
      <c r="Z409" s="7" t="s">
        <v>711</v>
      </c>
      <c r="AA409" s="7" t="s">
        <v>712</v>
      </c>
      <c r="AB409" s="7" t="s">
        <v>694</v>
      </c>
      <c r="AC409" s="7" t="s">
        <v>713</v>
      </c>
      <c r="AD409" s="7" t="s">
        <v>714</v>
      </c>
      <c r="AE409" s="7" t="s">
        <v>715</v>
      </c>
      <c r="AF409" s="7" t="s">
        <v>716</v>
      </c>
      <c r="AG409" s="7" t="s">
        <v>2083</v>
      </c>
      <c r="AH409" s="7" t="s">
        <v>2331</v>
      </c>
      <c r="AI409" s="7" t="s">
        <v>2332</v>
      </c>
      <c r="AJ409" s="7" t="s">
        <v>2333</v>
      </c>
      <c r="AK409" s="7" t="s">
        <v>2334</v>
      </c>
      <c r="AL409" s="7" t="s">
        <v>2335</v>
      </c>
      <c r="AM409" s="7" t="s">
        <v>2336</v>
      </c>
      <c r="AN409" s="7" t="s">
        <v>2337</v>
      </c>
      <c r="AO409" s="7" t="s">
        <v>2338</v>
      </c>
      <c r="AP409" s="7" t="s">
        <v>2339</v>
      </c>
      <c r="AQ409" s="7" t="s">
        <v>2340</v>
      </c>
      <c r="AR409" s="7" t="s">
        <v>2341</v>
      </c>
      <c r="AS409" s="7" t="s">
        <v>2342</v>
      </c>
      <c r="AT409" s="7" t="s">
        <v>2343</v>
      </c>
      <c r="AU409" s="7" t="s">
        <v>2344</v>
      </c>
      <c r="AV409" s="7" t="s">
        <v>2345</v>
      </c>
      <c r="AW409" s="7" t="s">
        <v>2346</v>
      </c>
      <c r="AX409" s="7" t="s">
        <v>2347</v>
      </c>
      <c r="AY409" s="7" t="s">
        <v>714</v>
      </c>
      <c r="AZ409" s="7" t="s">
        <v>715</v>
      </c>
      <c r="BA409" s="7" t="s">
        <v>716</v>
      </c>
      <c r="BB409" s="7" t="s">
        <v>2348</v>
      </c>
      <c r="BC409" s="7" t="s">
        <v>2349</v>
      </c>
    </row>
    <row r="410" spans="1:61" ht="78" customHeight="1" x14ac:dyDescent="0.4">
      <c r="A410" s="67" t="s">
        <v>261</v>
      </c>
      <c r="B410" t="e">
        <f>_xlfn.XLOOKUP(A410,'Product info'!A:A,'Product info'!C:C,,2)</f>
        <v>#N/A</v>
      </c>
      <c r="C410" s="69" t="s">
        <v>688</v>
      </c>
      <c r="D410" s="7" t="s">
        <v>689</v>
      </c>
      <c r="E410" s="7" t="s">
        <v>690</v>
      </c>
      <c r="F410" s="7" t="s">
        <v>691</v>
      </c>
      <c r="G410" s="7" t="s">
        <v>692</v>
      </c>
      <c r="H410" s="7" t="s">
        <v>693</v>
      </c>
      <c r="I410" s="7" t="s">
        <v>694</v>
      </c>
      <c r="J410" s="7" t="s">
        <v>695</v>
      </c>
      <c r="K410" s="7" t="s">
        <v>696</v>
      </c>
      <c r="L410" s="7" t="s">
        <v>697</v>
      </c>
      <c r="M410" s="7" t="s">
        <v>698</v>
      </c>
      <c r="N410" s="7" t="s">
        <v>699</v>
      </c>
      <c r="O410" s="7" t="s">
        <v>700</v>
      </c>
      <c r="P410" s="7" t="s">
        <v>701</v>
      </c>
      <c r="Q410" s="7" t="s">
        <v>702</v>
      </c>
      <c r="R410" s="7" t="s">
        <v>703</v>
      </c>
      <c r="S410" s="7" t="s">
        <v>704</v>
      </c>
      <c r="T410" s="7" t="s">
        <v>705</v>
      </c>
      <c r="U410" s="7" t="s">
        <v>706</v>
      </c>
      <c r="V410" s="7" t="s">
        <v>707</v>
      </c>
      <c r="W410" s="7" t="s">
        <v>708</v>
      </c>
      <c r="X410" s="7" t="s">
        <v>709</v>
      </c>
      <c r="Y410" s="7" t="s">
        <v>710</v>
      </c>
      <c r="Z410" s="7" t="s">
        <v>711</v>
      </c>
      <c r="AA410" s="7" t="s">
        <v>712</v>
      </c>
      <c r="AB410" s="7" t="s">
        <v>694</v>
      </c>
      <c r="AC410" s="7" t="s">
        <v>713</v>
      </c>
      <c r="AD410" s="7" t="s">
        <v>714</v>
      </c>
      <c r="AE410" s="7" t="s">
        <v>715</v>
      </c>
      <c r="AF410" s="7" t="s">
        <v>716</v>
      </c>
      <c r="AG410" s="7" t="s">
        <v>2083</v>
      </c>
      <c r="AH410" s="7" t="s">
        <v>2331</v>
      </c>
      <c r="AI410" s="7" t="s">
        <v>2332</v>
      </c>
      <c r="AJ410" s="7" t="s">
        <v>2333</v>
      </c>
      <c r="AK410" s="7" t="s">
        <v>2334</v>
      </c>
      <c r="AL410" s="7" t="s">
        <v>2335</v>
      </c>
      <c r="AM410" s="7" t="s">
        <v>2336</v>
      </c>
      <c r="AN410" s="7" t="s">
        <v>2337</v>
      </c>
      <c r="AO410" s="7" t="s">
        <v>2338</v>
      </c>
      <c r="AP410" s="7" t="s">
        <v>2339</v>
      </c>
      <c r="AQ410" s="7" t="s">
        <v>2340</v>
      </c>
      <c r="AR410" s="7" t="s">
        <v>2341</v>
      </c>
      <c r="AS410" s="7" t="s">
        <v>2342</v>
      </c>
      <c r="AT410" s="7" t="s">
        <v>2343</v>
      </c>
      <c r="AU410" s="7" t="s">
        <v>2344</v>
      </c>
      <c r="AV410" s="7" t="s">
        <v>2345</v>
      </c>
      <c r="AW410" s="7" t="s">
        <v>2346</v>
      </c>
      <c r="AX410" s="7" t="s">
        <v>2347</v>
      </c>
      <c r="AY410" s="7" t="s">
        <v>714</v>
      </c>
      <c r="AZ410" s="7" t="s">
        <v>715</v>
      </c>
      <c r="BA410" s="7" t="s">
        <v>716</v>
      </c>
      <c r="BB410" s="7" t="s">
        <v>2348</v>
      </c>
      <c r="BC410" s="7" t="s">
        <v>2349</v>
      </c>
    </row>
    <row r="411" spans="1:61" ht="78" customHeight="1" x14ac:dyDescent="0.4">
      <c r="A411" s="67" t="s">
        <v>208</v>
      </c>
      <c r="B411" t="e">
        <f>_xlfn.XLOOKUP(A411,'Product info'!A:A,'Product info'!C:C,,2)</f>
        <v>#N/A</v>
      </c>
      <c r="C411" s="69" t="s">
        <v>688</v>
      </c>
      <c r="D411" s="7" t="s">
        <v>689</v>
      </c>
      <c r="E411" s="7" t="s">
        <v>690</v>
      </c>
      <c r="F411" s="7" t="s">
        <v>691</v>
      </c>
      <c r="G411" s="7" t="s">
        <v>692</v>
      </c>
      <c r="H411" s="7" t="s">
        <v>693</v>
      </c>
      <c r="I411" s="7" t="s">
        <v>694</v>
      </c>
      <c r="J411" s="7" t="s">
        <v>695</v>
      </c>
      <c r="K411" s="7" t="s">
        <v>696</v>
      </c>
      <c r="L411" s="7" t="s">
        <v>697</v>
      </c>
      <c r="M411" s="7" t="s">
        <v>698</v>
      </c>
      <c r="N411" s="7" t="s">
        <v>699</v>
      </c>
      <c r="O411" s="7" t="s">
        <v>700</v>
      </c>
      <c r="P411" s="7" t="s">
        <v>701</v>
      </c>
      <c r="Q411" s="7" t="s">
        <v>702</v>
      </c>
      <c r="R411" s="7" t="s">
        <v>703</v>
      </c>
      <c r="S411" s="7" t="s">
        <v>704</v>
      </c>
      <c r="T411" s="7" t="s">
        <v>705</v>
      </c>
      <c r="U411" s="7" t="s">
        <v>706</v>
      </c>
      <c r="V411" s="7" t="s">
        <v>707</v>
      </c>
      <c r="W411" s="7" t="s">
        <v>708</v>
      </c>
      <c r="X411" s="7" t="s">
        <v>709</v>
      </c>
      <c r="Y411" s="7" t="s">
        <v>710</v>
      </c>
      <c r="Z411" s="7" t="s">
        <v>711</v>
      </c>
      <c r="AA411" s="7" t="s">
        <v>712</v>
      </c>
      <c r="AB411" s="7" t="s">
        <v>694</v>
      </c>
      <c r="AC411" s="7" t="s">
        <v>713</v>
      </c>
      <c r="AD411" s="7" t="s">
        <v>714</v>
      </c>
      <c r="AE411" s="7" t="s">
        <v>715</v>
      </c>
      <c r="AF411" s="7" t="s">
        <v>716</v>
      </c>
      <c r="AG411" s="7" t="s">
        <v>2350</v>
      </c>
      <c r="AH411" s="7" t="s">
        <v>2351</v>
      </c>
      <c r="AI411" s="7" t="s">
        <v>2352</v>
      </c>
      <c r="AJ411" s="7" t="s">
        <v>2353</v>
      </c>
      <c r="AK411" s="7" t="s">
        <v>2354</v>
      </c>
      <c r="AL411" s="7" t="s">
        <v>2355</v>
      </c>
      <c r="AM411" s="7" t="s">
        <v>2356</v>
      </c>
      <c r="AN411" s="7" t="s">
        <v>2357</v>
      </c>
      <c r="AO411" s="7" t="s">
        <v>2358</v>
      </c>
      <c r="AP411" s="7" t="s">
        <v>2359</v>
      </c>
      <c r="AQ411" s="7" t="s">
        <v>2360</v>
      </c>
      <c r="AR411" s="7" t="s">
        <v>2361</v>
      </c>
      <c r="AS411" s="7" t="s">
        <v>2362</v>
      </c>
      <c r="AT411" s="7" t="s">
        <v>2363</v>
      </c>
      <c r="AU411" s="7" t="s">
        <v>2364</v>
      </c>
    </row>
    <row r="412" spans="1:61" ht="78" customHeight="1" x14ac:dyDescent="0.4">
      <c r="A412" s="67" t="s">
        <v>234</v>
      </c>
      <c r="B412" t="e">
        <f>_xlfn.XLOOKUP(A412,'Product info'!A:A,'Product info'!C:C,,2)</f>
        <v>#N/A</v>
      </c>
      <c r="C412" s="69" t="s">
        <v>688</v>
      </c>
      <c r="D412" s="7" t="s">
        <v>689</v>
      </c>
      <c r="E412" s="7" t="s">
        <v>690</v>
      </c>
      <c r="F412" s="7" t="s">
        <v>691</v>
      </c>
      <c r="G412" s="7" t="s">
        <v>692</v>
      </c>
      <c r="H412" s="7" t="s">
        <v>693</v>
      </c>
      <c r="I412" s="7" t="s">
        <v>694</v>
      </c>
      <c r="J412" s="7" t="s">
        <v>695</v>
      </c>
      <c r="K412" s="7" t="s">
        <v>696</v>
      </c>
      <c r="L412" s="7" t="s">
        <v>697</v>
      </c>
      <c r="M412" s="7" t="s">
        <v>698</v>
      </c>
      <c r="N412" s="7" t="s">
        <v>699</v>
      </c>
      <c r="O412" s="7" t="s">
        <v>700</v>
      </c>
      <c r="P412" s="7" t="s">
        <v>701</v>
      </c>
      <c r="Q412" s="7" t="s">
        <v>702</v>
      </c>
      <c r="R412" s="7" t="s">
        <v>703</v>
      </c>
      <c r="S412" s="7" t="s">
        <v>704</v>
      </c>
      <c r="T412" s="7" t="s">
        <v>705</v>
      </c>
      <c r="U412" s="7" t="s">
        <v>706</v>
      </c>
      <c r="V412" s="7" t="s">
        <v>707</v>
      </c>
      <c r="W412" s="7" t="s">
        <v>708</v>
      </c>
      <c r="X412" s="7" t="s">
        <v>709</v>
      </c>
      <c r="Y412" s="7" t="s">
        <v>710</v>
      </c>
      <c r="Z412" s="7" t="s">
        <v>711</v>
      </c>
      <c r="AA412" s="7" t="s">
        <v>712</v>
      </c>
      <c r="AB412" s="7" t="s">
        <v>694</v>
      </c>
      <c r="AC412" s="7" t="s">
        <v>713</v>
      </c>
      <c r="AD412" s="7" t="s">
        <v>714</v>
      </c>
      <c r="AE412" s="7" t="s">
        <v>715</v>
      </c>
      <c r="AF412" s="7" t="s">
        <v>716</v>
      </c>
      <c r="AG412" s="7" t="s">
        <v>2365</v>
      </c>
      <c r="AH412" s="7" t="s">
        <v>2366</v>
      </c>
      <c r="AI412" s="7" t="s">
        <v>2367</v>
      </c>
      <c r="AJ412" s="7" t="s">
        <v>2368</v>
      </c>
      <c r="AK412" s="7" t="s">
        <v>2369</v>
      </c>
      <c r="AL412" s="7" t="s">
        <v>2370</v>
      </c>
      <c r="AM412" s="7" t="s">
        <v>2371</v>
      </c>
      <c r="AN412" s="7" t="s">
        <v>2372</v>
      </c>
      <c r="AO412" s="7" t="s">
        <v>2373</v>
      </c>
      <c r="AP412" s="7" t="s">
        <v>2374</v>
      </c>
      <c r="AQ412" s="7" t="s">
        <v>2375</v>
      </c>
      <c r="AR412" s="7" t="s">
        <v>941</v>
      </c>
      <c r="AS412" s="7" t="s">
        <v>942</v>
      </c>
      <c r="AT412" s="7" t="s">
        <v>974</v>
      </c>
      <c r="AU412" s="7" t="s">
        <v>975</v>
      </c>
      <c r="AV412" s="7" t="s">
        <v>2376</v>
      </c>
      <c r="AW412" s="7" t="s">
        <v>2377</v>
      </c>
      <c r="AX412" s="7" t="s">
        <v>2378</v>
      </c>
      <c r="AY412" s="7" t="s">
        <v>2379</v>
      </c>
      <c r="AZ412" s="7" t="s">
        <v>2380</v>
      </c>
      <c r="BA412" s="7" t="s">
        <v>2381</v>
      </c>
      <c r="BB412" s="7" t="s">
        <v>2382</v>
      </c>
      <c r="BC412" s="7" t="s">
        <v>2383</v>
      </c>
    </row>
    <row r="413" spans="1:61" ht="78" customHeight="1" x14ac:dyDescent="0.4">
      <c r="A413" s="67" t="s">
        <v>233</v>
      </c>
      <c r="B413" t="e">
        <f>_xlfn.XLOOKUP(A413,'Product info'!A:A,'Product info'!C:C,,2)</f>
        <v>#N/A</v>
      </c>
      <c r="C413" s="69" t="s">
        <v>688</v>
      </c>
      <c r="D413" s="7" t="s">
        <v>689</v>
      </c>
      <c r="E413" s="7" t="s">
        <v>690</v>
      </c>
      <c r="F413" s="7" t="s">
        <v>691</v>
      </c>
      <c r="G413" s="7" t="s">
        <v>692</v>
      </c>
      <c r="H413" s="7" t="s">
        <v>693</v>
      </c>
      <c r="I413" s="7" t="s">
        <v>694</v>
      </c>
      <c r="J413" s="7" t="s">
        <v>695</v>
      </c>
      <c r="K413" s="7" t="s">
        <v>696</v>
      </c>
      <c r="L413" s="7" t="s">
        <v>697</v>
      </c>
      <c r="M413" s="7" t="s">
        <v>698</v>
      </c>
      <c r="N413" s="7" t="s">
        <v>699</v>
      </c>
      <c r="O413" s="7" t="s">
        <v>700</v>
      </c>
      <c r="P413" s="7" t="s">
        <v>701</v>
      </c>
      <c r="Q413" s="7" t="s">
        <v>702</v>
      </c>
      <c r="R413" s="7" t="s">
        <v>703</v>
      </c>
      <c r="S413" s="7" t="s">
        <v>704</v>
      </c>
      <c r="T413" s="7" t="s">
        <v>705</v>
      </c>
      <c r="U413" s="7" t="s">
        <v>706</v>
      </c>
      <c r="V413" s="7" t="s">
        <v>707</v>
      </c>
      <c r="W413" s="7" t="s">
        <v>708</v>
      </c>
      <c r="X413" s="7" t="s">
        <v>709</v>
      </c>
      <c r="Y413" s="7" t="s">
        <v>710</v>
      </c>
      <c r="Z413" s="7" t="s">
        <v>711</v>
      </c>
      <c r="AA413" s="7" t="s">
        <v>712</v>
      </c>
      <c r="AB413" s="7" t="s">
        <v>694</v>
      </c>
      <c r="AC413" s="7" t="s">
        <v>713</v>
      </c>
      <c r="AD413" s="7" t="s">
        <v>714</v>
      </c>
      <c r="AE413" s="7" t="s">
        <v>715</v>
      </c>
      <c r="AF413" s="7" t="s">
        <v>716</v>
      </c>
      <c r="AG413" s="7" t="s">
        <v>2384</v>
      </c>
      <c r="AH413" s="7" t="s">
        <v>2385</v>
      </c>
      <c r="AI413" s="7" t="s">
        <v>2386</v>
      </c>
      <c r="AJ413" s="7" t="s">
        <v>2387</v>
      </c>
      <c r="AK413" s="7" t="s">
        <v>2388</v>
      </c>
      <c r="AL413" s="7" t="s">
        <v>2389</v>
      </c>
      <c r="AM413" s="7" t="s">
        <v>2390</v>
      </c>
      <c r="AN413" s="7" t="s">
        <v>2391</v>
      </c>
      <c r="AO413" s="7" t="s">
        <v>2392</v>
      </c>
      <c r="AP413" s="7" t="s">
        <v>2393</v>
      </c>
      <c r="AQ413" s="7" t="s">
        <v>2394</v>
      </c>
      <c r="AR413" s="7" t="s">
        <v>2395</v>
      </c>
      <c r="AS413" s="7" t="s">
        <v>2396</v>
      </c>
      <c r="AT413" s="7" t="s">
        <v>2397</v>
      </c>
      <c r="AU413" s="7" t="s">
        <v>2398</v>
      </c>
      <c r="AV413" s="7" t="s">
        <v>2399</v>
      </c>
      <c r="AW413" s="7" t="s">
        <v>2400</v>
      </c>
    </row>
    <row r="414" spans="1:61" ht="78" customHeight="1" x14ac:dyDescent="0.4">
      <c r="A414" s="67" t="s">
        <v>72</v>
      </c>
      <c r="B414" t="e">
        <f>_xlfn.XLOOKUP(A414,'Product info'!A:A,'Product info'!C:C,,2)</f>
        <v>#N/A</v>
      </c>
      <c r="C414" s="69" t="s">
        <v>688</v>
      </c>
      <c r="D414" s="7" t="s">
        <v>689</v>
      </c>
      <c r="E414" s="7" t="s">
        <v>690</v>
      </c>
      <c r="F414" s="7" t="s">
        <v>691</v>
      </c>
      <c r="G414" s="7" t="s">
        <v>692</v>
      </c>
      <c r="H414" s="7" t="s">
        <v>693</v>
      </c>
      <c r="I414" s="7" t="s">
        <v>694</v>
      </c>
      <c r="J414" s="7" t="s">
        <v>695</v>
      </c>
      <c r="K414" s="7" t="s">
        <v>696</v>
      </c>
      <c r="L414" s="7" t="s">
        <v>697</v>
      </c>
      <c r="M414" s="7" t="s">
        <v>698</v>
      </c>
      <c r="N414" s="7" t="s">
        <v>699</v>
      </c>
      <c r="O414" s="7" t="s">
        <v>700</v>
      </c>
      <c r="P414" s="7" t="s">
        <v>701</v>
      </c>
      <c r="Q414" s="7" t="s">
        <v>702</v>
      </c>
      <c r="R414" s="7" t="s">
        <v>703</v>
      </c>
      <c r="S414" s="7" t="s">
        <v>704</v>
      </c>
      <c r="T414" s="7" t="s">
        <v>705</v>
      </c>
      <c r="U414" s="7" t="s">
        <v>706</v>
      </c>
      <c r="V414" s="7" t="s">
        <v>707</v>
      </c>
      <c r="W414" s="7" t="s">
        <v>708</v>
      </c>
      <c r="X414" s="7" t="s">
        <v>709</v>
      </c>
      <c r="Y414" s="7" t="s">
        <v>710</v>
      </c>
      <c r="Z414" s="7" t="s">
        <v>711</v>
      </c>
      <c r="AA414" s="7" t="s">
        <v>712</v>
      </c>
      <c r="AB414" s="7" t="s">
        <v>694</v>
      </c>
      <c r="AC414" s="7" t="s">
        <v>713</v>
      </c>
      <c r="AD414" s="7" t="s">
        <v>714</v>
      </c>
      <c r="AE414" s="7" t="s">
        <v>715</v>
      </c>
      <c r="AF414" s="7" t="s">
        <v>716</v>
      </c>
      <c r="AG414" s="7" t="s">
        <v>688</v>
      </c>
      <c r="AH414" s="7" t="s">
        <v>689</v>
      </c>
      <c r="AI414" s="7" t="s">
        <v>747</v>
      </c>
      <c r="AJ414" s="7" t="s">
        <v>696</v>
      </c>
      <c r="AK414" s="7" t="s">
        <v>773</v>
      </c>
      <c r="AL414" s="7" t="s">
        <v>774</v>
      </c>
      <c r="AM414" s="7" t="s">
        <v>2401</v>
      </c>
      <c r="AN414" s="7" t="s">
        <v>776</v>
      </c>
      <c r="AO414" s="7" t="s">
        <v>777</v>
      </c>
      <c r="AP414" s="7" t="s">
        <v>778</v>
      </c>
      <c r="AQ414" s="7" t="s">
        <v>779</v>
      </c>
      <c r="AR414" s="7" t="s">
        <v>780</v>
      </c>
      <c r="AS414" s="7" t="s">
        <v>781</v>
      </c>
      <c r="AT414" s="7" t="s">
        <v>782</v>
      </c>
      <c r="AU414" s="7" t="s">
        <v>783</v>
      </c>
      <c r="AV414" s="7" t="s">
        <v>784</v>
      </c>
      <c r="AW414" s="7" t="s">
        <v>785</v>
      </c>
      <c r="AX414" s="7" t="s">
        <v>786</v>
      </c>
      <c r="AY414" s="7" t="s">
        <v>787</v>
      </c>
      <c r="AZ414" s="7" t="s">
        <v>2402</v>
      </c>
      <c r="BA414" s="7" t="s">
        <v>2403</v>
      </c>
      <c r="BB414" s="7" t="s">
        <v>2404</v>
      </c>
      <c r="BC414" s="7" t="s">
        <v>2405</v>
      </c>
    </row>
    <row r="415" spans="1:61" ht="78" customHeight="1" x14ac:dyDescent="0.4">
      <c r="A415" s="67" t="s">
        <v>203</v>
      </c>
      <c r="B415" t="e">
        <f>_xlfn.XLOOKUP(A415,'Product info'!A:A,'Product info'!C:C,,2)</f>
        <v>#N/A</v>
      </c>
      <c r="C415" s="69" t="s">
        <v>688</v>
      </c>
      <c r="D415" s="7" t="s">
        <v>689</v>
      </c>
      <c r="E415" s="7" t="s">
        <v>690</v>
      </c>
      <c r="F415" s="7" t="s">
        <v>691</v>
      </c>
      <c r="G415" s="7" t="s">
        <v>692</v>
      </c>
      <c r="H415" s="7" t="s">
        <v>693</v>
      </c>
      <c r="I415" s="7" t="s">
        <v>694</v>
      </c>
      <c r="J415" s="7" t="s">
        <v>695</v>
      </c>
      <c r="K415" s="7" t="s">
        <v>696</v>
      </c>
      <c r="L415" s="7" t="s">
        <v>697</v>
      </c>
      <c r="M415" s="7" t="s">
        <v>698</v>
      </c>
      <c r="N415" s="7" t="s">
        <v>699</v>
      </c>
      <c r="O415" s="7" t="s">
        <v>700</v>
      </c>
      <c r="P415" s="7" t="s">
        <v>701</v>
      </c>
      <c r="Q415" s="7" t="s">
        <v>702</v>
      </c>
      <c r="R415" s="7" t="s">
        <v>703</v>
      </c>
      <c r="S415" s="7" t="s">
        <v>704</v>
      </c>
      <c r="T415" s="7" t="s">
        <v>705</v>
      </c>
      <c r="U415" s="7" t="s">
        <v>706</v>
      </c>
      <c r="V415" s="7" t="s">
        <v>707</v>
      </c>
      <c r="W415" s="7" t="s">
        <v>708</v>
      </c>
      <c r="X415" s="7" t="s">
        <v>709</v>
      </c>
      <c r="Y415" s="7" t="s">
        <v>710</v>
      </c>
      <c r="Z415" s="7" t="s">
        <v>711</v>
      </c>
      <c r="AA415" s="7" t="s">
        <v>712</v>
      </c>
      <c r="AB415" s="7" t="s">
        <v>694</v>
      </c>
      <c r="AC415" s="7" t="s">
        <v>713</v>
      </c>
      <c r="AD415" s="7" t="s">
        <v>714</v>
      </c>
      <c r="AE415" s="7" t="s">
        <v>715</v>
      </c>
      <c r="AF415" s="7" t="s">
        <v>716</v>
      </c>
      <c r="AG415" s="7" t="s">
        <v>1338</v>
      </c>
      <c r="AH415" s="7" t="s">
        <v>1339</v>
      </c>
      <c r="AI415" s="7" t="s">
        <v>1172</v>
      </c>
      <c r="AJ415" s="7" t="s">
        <v>1340</v>
      </c>
      <c r="AK415" s="7" t="s">
        <v>1341</v>
      </c>
      <c r="AL415" s="7" t="s">
        <v>1342</v>
      </c>
      <c r="AM415" s="7" t="s">
        <v>1343</v>
      </c>
      <c r="AN415" s="7" t="s">
        <v>1344</v>
      </c>
      <c r="AO415" s="7" t="s">
        <v>1345</v>
      </c>
      <c r="AP415" s="7" t="s">
        <v>1346</v>
      </c>
      <c r="AQ415" s="7" t="s">
        <v>1347</v>
      </c>
      <c r="AR415" s="7" t="s">
        <v>1348</v>
      </c>
      <c r="AS415" s="7" t="s">
        <v>1349</v>
      </c>
      <c r="AT415" s="7" t="s">
        <v>1179</v>
      </c>
      <c r="AU415" s="7" t="s">
        <v>1350</v>
      </c>
      <c r="AV415" s="7" t="s">
        <v>1351</v>
      </c>
      <c r="AW415" s="7" t="s">
        <v>1182</v>
      </c>
      <c r="AX415" s="7" t="s">
        <v>688</v>
      </c>
      <c r="AY415" s="7" t="s">
        <v>689</v>
      </c>
      <c r="AZ415" s="7" t="s">
        <v>747</v>
      </c>
      <c r="BA415" s="7" t="s">
        <v>696</v>
      </c>
      <c r="BB415" s="7" t="s">
        <v>773</v>
      </c>
    </row>
    <row r="416" spans="1:61" ht="78" customHeight="1" x14ac:dyDescent="0.4">
      <c r="A416" s="67" t="s">
        <v>202</v>
      </c>
      <c r="B416" t="e">
        <f>_xlfn.XLOOKUP(A416,'Product info'!A:A,'Product info'!C:C,,2)</f>
        <v>#N/A</v>
      </c>
      <c r="C416" s="69" t="s">
        <v>688</v>
      </c>
      <c r="D416" s="7" t="s">
        <v>689</v>
      </c>
      <c r="E416" s="7" t="s">
        <v>690</v>
      </c>
      <c r="F416" s="7" t="s">
        <v>691</v>
      </c>
      <c r="G416" s="7" t="s">
        <v>692</v>
      </c>
      <c r="H416" s="7" t="s">
        <v>693</v>
      </c>
      <c r="I416" s="7" t="s">
        <v>694</v>
      </c>
      <c r="J416" s="7" t="s">
        <v>695</v>
      </c>
      <c r="K416" s="7" t="s">
        <v>696</v>
      </c>
      <c r="L416" s="7" t="s">
        <v>697</v>
      </c>
      <c r="M416" s="7" t="s">
        <v>698</v>
      </c>
      <c r="N416" s="7" t="s">
        <v>699</v>
      </c>
      <c r="O416" s="7" t="s">
        <v>700</v>
      </c>
      <c r="P416" s="7" t="s">
        <v>701</v>
      </c>
      <c r="Q416" s="7" t="s">
        <v>702</v>
      </c>
      <c r="R416" s="7" t="s">
        <v>703</v>
      </c>
      <c r="S416" s="7" t="s">
        <v>704</v>
      </c>
      <c r="T416" s="7" t="s">
        <v>705</v>
      </c>
      <c r="U416" s="7" t="s">
        <v>706</v>
      </c>
      <c r="V416" s="7" t="s">
        <v>707</v>
      </c>
      <c r="W416" s="7" t="s">
        <v>708</v>
      </c>
      <c r="X416" s="7" t="s">
        <v>709</v>
      </c>
      <c r="Y416" s="7" t="s">
        <v>710</v>
      </c>
      <c r="Z416" s="7" t="s">
        <v>711</v>
      </c>
      <c r="AA416" s="7" t="s">
        <v>712</v>
      </c>
      <c r="AB416" s="7" t="s">
        <v>694</v>
      </c>
      <c r="AC416" s="7" t="s">
        <v>713</v>
      </c>
      <c r="AD416" s="7" t="s">
        <v>714</v>
      </c>
      <c r="AE416" s="7" t="s">
        <v>715</v>
      </c>
      <c r="AF416" s="7" t="s">
        <v>716</v>
      </c>
      <c r="AG416" s="7" t="s">
        <v>688</v>
      </c>
      <c r="AH416" s="7" t="s">
        <v>689</v>
      </c>
      <c r="AI416" s="7" t="s">
        <v>747</v>
      </c>
      <c r="AJ416" s="7" t="s">
        <v>696</v>
      </c>
      <c r="AK416" s="7" t="s">
        <v>1143</v>
      </c>
      <c r="AL416" s="7" t="s">
        <v>2406</v>
      </c>
      <c r="AM416" s="7" t="s">
        <v>813</v>
      </c>
      <c r="AN416" s="7" t="s">
        <v>1338</v>
      </c>
      <c r="AO416" s="7" t="s">
        <v>2407</v>
      </c>
      <c r="AP416" s="7" t="s">
        <v>2408</v>
      </c>
      <c r="AQ416" s="7" t="s">
        <v>2409</v>
      </c>
      <c r="AR416" s="7" t="s">
        <v>2410</v>
      </c>
    </row>
    <row r="417" spans="1:51" ht="78" customHeight="1" x14ac:dyDescent="0.4">
      <c r="A417" s="67" t="s">
        <v>338</v>
      </c>
      <c r="B417" t="e">
        <f>_xlfn.XLOOKUP(A417,'Product info'!A:A,'Product info'!C:C,,2)</f>
        <v>#N/A</v>
      </c>
      <c r="C417" s="69" t="s">
        <v>688</v>
      </c>
      <c r="D417" s="7" t="s">
        <v>689</v>
      </c>
      <c r="E417" s="7" t="s">
        <v>690</v>
      </c>
      <c r="F417" s="7" t="s">
        <v>691</v>
      </c>
      <c r="G417" s="7" t="s">
        <v>692</v>
      </c>
      <c r="H417" s="7" t="s">
        <v>693</v>
      </c>
      <c r="I417" s="7" t="s">
        <v>694</v>
      </c>
      <c r="J417" s="7" t="s">
        <v>695</v>
      </c>
      <c r="K417" s="7" t="s">
        <v>696</v>
      </c>
      <c r="L417" s="7" t="s">
        <v>697</v>
      </c>
      <c r="M417" s="7" t="s">
        <v>698</v>
      </c>
      <c r="N417" s="7" t="s">
        <v>699</v>
      </c>
      <c r="O417" s="7" t="s">
        <v>700</v>
      </c>
      <c r="P417" s="7" t="s">
        <v>701</v>
      </c>
      <c r="Q417" s="7" t="s">
        <v>702</v>
      </c>
      <c r="R417" s="7" t="s">
        <v>703</v>
      </c>
      <c r="S417" s="7" t="s">
        <v>704</v>
      </c>
      <c r="T417" s="7" t="s">
        <v>705</v>
      </c>
      <c r="U417" s="7" t="s">
        <v>706</v>
      </c>
      <c r="V417" s="7" t="s">
        <v>707</v>
      </c>
      <c r="W417" s="7" t="s">
        <v>708</v>
      </c>
      <c r="X417" s="7" t="s">
        <v>709</v>
      </c>
      <c r="Y417" s="7" t="s">
        <v>710</v>
      </c>
      <c r="Z417" s="7" t="s">
        <v>711</v>
      </c>
      <c r="AA417" s="7" t="s">
        <v>712</v>
      </c>
      <c r="AB417" s="7" t="s">
        <v>694</v>
      </c>
      <c r="AC417" s="7" t="s">
        <v>713</v>
      </c>
      <c r="AD417" s="7" t="s">
        <v>714</v>
      </c>
      <c r="AE417" s="7" t="s">
        <v>715</v>
      </c>
      <c r="AF417" s="7" t="s">
        <v>716</v>
      </c>
      <c r="AG417" s="7" t="s">
        <v>2411</v>
      </c>
      <c r="AH417" s="7" t="s">
        <v>2412</v>
      </c>
      <c r="AI417" s="7" t="s">
        <v>2413</v>
      </c>
      <c r="AJ417" s="7" t="s">
        <v>2414</v>
      </c>
      <c r="AK417" s="7" t="s">
        <v>2415</v>
      </c>
      <c r="AL417" s="7" t="s">
        <v>2416</v>
      </c>
    </row>
    <row r="418" spans="1:51" ht="78" customHeight="1" x14ac:dyDescent="0.4">
      <c r="A418" s="67" t="s">
        <v>300</v>
      </c>
      <c r="B418" t="e">
        <f>_xlfn.XLOOKUP(A418,'Product info'!A:A,'Product info'!C:C,,2)</f>
        <v>#N/A</v>
      </c>
      <c r="C418" s="69" t="s">
        <v>688</v>
      </c>
      <c r="D418" s="7" t="s">
        <v>689</v>
      </c>
      <c r="E418" s="7" t="s">
        <v>690</v>
      </c>
      <c r="F418" s="7" t="s">
        <v>691</v>
      </c>
      <c r="G418" s="7" t="s">
        <v>692</v>
      </c>
      <c r="H418" s="7" t="s">
        <v>693</v>
      </c>
      <c r="I418" s="7" t="s">
        <v>694</v>
      </c>
      <c r="J418" s="7" t="s">
        <v>695</v>
      </c>
      <c r="K418" s="7" t="s">
        <v>696</v>
      </c>
      <c r="L418" s="7" t="s">
        <v>697</v>
      </c>
      <c r="M418" s="7" t="s">
        <v>698</v>
      </c>
      <c r="N418" s="7" t="s">
        <v>699</v>
      </c>
      <c r="O418" s="7" t="s">
        <v>700</v>
      </c>
      <c r="P418" s="7" t="s">
        <v>701</v>
      </c>
      <c r="Q418" s="7" t="s">
        <v>702</v>
      </c>
      <c r="R418" s="7" t="s">
        <v>703</v>
      </c>
      <c r="S418" s="7" t="s">
        <v>704</v>
      </c>
      <c r="T418" s="7" t="s">
        <v>705</v>
      </c>
      <c r="U418" s="7" t="s">
        <v>706</v>
      </c>
      <c r="V418" s="7" t="s">
        <v>707</v>
      </c>
      <c r="W418" s="7" t="s">
        <v>708</v>
      </c>
      <c r="X418" s="7" t="s">
        <v>709</v>
      </c>
      <c r="Y418" s="7" t="s">
        <v>710</v>
      </c>
      <c r="Z418" s="7" t="s">
        <v>711</v>
      </c>
      <c r="AA418" s="7" t="s">
        <v>712</v>
      </c>
      <c r="AB418" s="7" t="s">
        <v>694</v>
      </c>
      <c r="AC418" s="7" t="s">
        <v>713</v>
      </c>
      <c r="AD418" s="7" t="s">
        <v>714</v>
      </c>
      <c r="AE418" s="7" t="s">
        <v>715</v>
      </c>
      <c r="AF418" s="7" t="s">
        <v>716</v>
      </c>
      <c r="AG418" s="7" t="s">
        <v>2417</v>
      </c>
      <c r="AH418" s="7" t="s">
        <v>2418</v>
      </c>
      <c r="AI418" s="7" t="s">
        <v>2419</v>
      </c>
      <c r="AJ418" s="7" t="s">
        <v>2420</v>
      </c>
      <c r="AK418" s="7" t="s">
        <v>2421</v>
      </c>
      <c r="AL418" s="7" t="s">
        <v>2422</v>
      </c>
      <c r="AM418" s="7" t="s">
        <v>2423</v>
      </c>
      <c r="AN418" s="7" t="s">
        <v>2424</v>
      </c>
      <c r="AO418" s="7" t="s">
        <v>2425</v>
      </c>
      <c r="AP418" s="7" t="s">
        <v>2426</v>
      </c>
      <c r="AQ418" s="7" t="s">
        <v>2427</v>
      </c>
      <c r="AR418" s="7" t="s">
        <v>2428</v>
      </c>
      <c r="AS418" s="7" t="s">
        <v>2429</v>
      </c>
      <c r="AT418" s="7" t="s">
        <v>2430</v>
      </c>
    </row>
    <row r="419" spans="1:51" ht="78" customHeight="1" x14ac:dyDescent="0.4">
      <c r="A419" s="67" t="s">
        <v>297</v>
      </c>
      <c r="B419" t="e">
        <f>_xlfn.XLOOKUP(A419,'Product info'!A:A,'Product info'!C:C,,2)</f>
        <v>#N/A</v>
      </c>
      <c r="C419" s="69" t="s">
        <v>688</v>
      </c>
      <c r="D419" s="7" t="s">
        <v>689</v>
      </c>
      <c r="E419" s="7" t="s">
        <v>690</v>
      </c>
      <c r="F419" s="7" t="s">
        <v>691</v>
      </c>
      <c r="G419" s="7" t="s">
        <v>692</v>
      </c>
      <c r="H419" s="7" t="s">
        <v>693</v>
      </c>
      <c r="I419" s="7" t="s">
        <v>694</v>
      </c>
      <c r="J419" s="7" t="s">
        <v>695</v>
      </c>
      <c r="K419" s="7" t="s">
        <v>696</v>
      </c>
      <c r="L419" s="7" t="s">
        <v>697</v>
      </c>
      <c r="M419" s="7" t="s">
        <v>698</v>
      </c>
      <c r="N419" s="7" t="s">
        <v>699</v>
      </c>
      <c r="O419" s="7" t="s">
        <v>700</v>
      </c>
      <c r="P419" s="7" t="s">
        <v>701</v>
      </c>
      <c r="Q419" s="7" t="s">
        <v>702</v>
      </c>
      <c r="R419" s="7" t="s">
        <v>703</v>
      </c>
      <c r="S419" s="7" t="s">
        <v>704</v>
      </c>
      <c r="T419" s="7" t="s">
        <v>705</v>
      </c>
      <c r="U419" s="7" t="s">
        <v>706</v>
      </c>
      <c r="V419" s="7" t="s">
        <v>707</v>
      </c>
      <c r="W419" s="7" t="s">
        <v>708</v>
      </c>
      <c r="X419" s="7" t="s">
        <v>709</v>
      </c>
      <c r="Y419" s="7" t="s">
        <v>710</v>
      </c>
      <c r="Z419" s="7" t="s">
        <v>711</v>
      </c>
      <c r="AA419" s="7" t="s">
        <v>712</v>
      </c>
      <c r="AB419" s="7" t="s">
        <v>694</v>
      </c>
      <c r="AC419" s="7" t="s">
        <v>713</v>
      </c>
      <c r="AD419" s="7" t="s">
        <v>714</v>
      </c>
      <c r="AE419" s="7" t="s">
        <v>715</v>
      </c>
      <c r="AF419" s="7" t="s">
        <v>716</v>
      </c>
      <c r="AG419" s="7" t="s">
        <v>2431</v>
      </c>
      <c r="AH419" s="7" t="s">
        <v>2432</v>
      </c>
      <c r="AI419" s="7" t="s">
        <v>2433</v>
      </c>
      <c r="AJ419" s="7" t="s">
        <v>978</v>
      </c>
      <c r="AK419" s="7" t="s">
        <v>2434</v>
      </c>
      <c r="AL419" s="7" t="s">
        <v>2435</v>
      </c>
      <c r="AM419" s="7" t="s">
        <v>2436</v>
      </c>
      <c r="AN419" s="7" t="s">
        <v>2437</v>
      </c>
      <c r="AO419" s="7" t="s">
        <v>2438</v>
      </c>
      <c r="AP419" s="7" t="s">
        <v>2439</v>
      </c>
      <c r="AQ419" s="7" t="s">
        <v>2440</v>
      </c>
      <c r="AR419" s="7" t="s">
        <v>2441</v>
      </c>
      <c r="AS419" s="7" t="s">
        <v>2442</v>
      </c>
      <c r="AT419" s="7" t="s">
        <v>2441</v>
      </c>
      <c r="AU419" s="7" t="s">
        <v>2443</v>
      </c>
      <c r="AV419" s="7" t="s">
        <v>2444</v>
      </c>
      <c r="AW419" s="7" t="s">
        <v>2445</v>
      </c>
      <c r="AX419" s="7" t="s">
        <v>2446</v>
      </c>
      <c r="AY419" s="7" t="s">
        <v>2447</v>
      </c>
    </row>
    <row r="420" spans="1:51" ht="78" customHeight="1" x14ac:dyDescent="0.4">
      <c r="A420" s="67" t="s">
        <v>263</v>
      </c>
      <c r="B420" t="e">
        <f>_xlfn.XLOOKUP(A420,'Product info'!A:A,'Product info'!C:C,,2)</f>
        <v>#N/A</v>
      </c>
      <c r="C420" s="69" t="s">
        <v>688</v>
      </c>
      <c r="D420" s="7" t="s">
        <v>689</v>
      </c>
      <c r="E420" s="7" t="s">
        <v>690</v>
      </c>
      <c r="F420" s="7" t="s">
        <v>691</v>
      </c>
      <c r="G420" s="7" t="s">
        <v>692</v>
      </c>
      <c r="H420" s="7" t="s">
        <v>693</v>
      </c>
      <c r="I420" s="7" t="s">
        <v>694</v>
      </c>
      <c r="J420" s="7" t="s">
        <v>695</v>
      </c>
      <c r="K420" s="7" t="s">
        <v>696</v>
      </c>
      <c r="L420" s="7" t="s">
        <v>697</v>
      </c>
      <c r="M420" s="7" t="s">
        <v>698</v>
      </c>
      <c r="N420" s="7" t="s">
        <v>699</v>
      </c>
      <c r="O420" s="7" t="s">
        <v>700</v>
      </c>
      <c r="P420" s="7" t="s">
        <v>701</v>
      </c>
      <c r="Q420" s="7" t="s">
        <v>702</v>
      </c>
      <c r="R420" s="7" t="s">
        <v>703</v>
      </c>
      <c r="S420" s="7" t="s">
        <v>704</v>
      </c>
      <c r="T420" s="7" t="s">
        <v>705</v>
      </c>
      <c r="U420" s="7" t="s">
        <v>706</v>
      </c>
      <c r="V420" s="7" t="s">
        <v>707</v>
      </c>
      <c r="W420" s="7" t="s">
        <v>708</v>
      </c>
      <c r="X420" s="7" t="s">
        <v>709</v>
      </c>
      <c r="Y420" s="7" t="s">
        <v>710</v>
      </c>
      <c r="Z420" s="7" t="s">
        <v>711</v>
      </c>
      <c r="AA420" s="7" t="s">
        <v>712</v>
      </c>
      <c r="AB420" s="7" t="s">
        <v>694</v>
      </c>
      <c r="AC420" s="7" t="s">
        <v>713</v>
      </c>
      <c r="AD420" s="7" t="s">
        <v>714</v>
      </c>
      <c r="AE420" s="7" t="s">
        <v>715</v>
      </c>
      <c r="AF420" s="7" t="s">
        <v>716</v>
      </c>
      <c r="AG420" s="7" t="s">
        <v>2448</v>
      </c>
      <c r="AH420" s="7" t="s">
        <v>2449</v>
      </c>
      <c r="AI420" s="7" t="s">
        <v>2450</v>
      </c>
      <c r="AJ420" s="7" t="s">
        <v>2451</v>
      </c>
      <c r="AK420" s="7" t="s">
        <v>2452</v>
      </c>
      <c r="AL420" s="7" t="s">
        <v>2453</v>
      </c>
      <c r="AM420" s="7" t="s">
        <v>2454</v>
      </c>
      <c r="AN420" s="7" t="s">
        <v>2455</v>
      </c>
    </row>
    <row r="421" spans="1:51" ht="78" customHeight="1" x14ac:dyDescent="0.4">
      <c r="A421" s="67" t="s">
        <v>399</v>
      </c>
      <c r="B421" t="e">
        <f>_xlfn.XLOOKUP(A421,'Product info'!A:A,'Product info'!C:C,,2)</f>
        <v>#N/A</v>
      </c>
      <c r="C421" s="69" t="s">
        <v>688</v>
      </c>
      <c r="D421" s="7" t="s">
        <v>689</v>
      </c>
      <c r="E421" s="7" t="s">
        <v>690</v>
      </c>
      <c r="F421" s="7" t="s">
        <v>691</v>
      </c>
      <c r="G421" s="7" t="s">
        <v>692</v>
      </c>
      <c r="H421" s="7" t="s">
        <v>693</v>
      </c>
      <c r="I421" s="7" t="s">
        <v>694</v>
      </c>
      <c r="J421" s="7" t="s">
        <v>695</v>
      </c>
      <c r="K421" s="7" t="s">
        <v>696</v>
      </c>
      <c r="L421" s="7" t="s">
        <v>697</v>
      </c>
      <c r="M421" s="7" t="s">
        <v>698</v>
      </c>
      <c r="N421" s="7" t="s">
        <v>699</v>
      </c>
      <c r="O421" s="7" t="s">
        <v>700</v>
      </c>
      <c r="P421" s="7" t="s">
        <v>701</v>
      </c>
      <c r="Q421" s="7" t="s">
        <v>702</v>
      </c>
      <c r="R421" s="7" t="s">
        <v>703</v>
      </c>
      <c r="S421" s="7" t="s">
        <v>704</v>
      </c>
      <c r="T421" s="7" t="s">
        <v>705</v>
      </c>
      <c r="U421" s="7" t="s">
        <v>706</v>
      </c>
      <c r="V421" s="7" t="s">
        <v>707</v>
      </c>
      <c r="W421" s="7" t="s">
        <v>708</v>
      </c>
      <c r="X421" s="7" t="s">
        <v>709</v>
      </c>
      <c r="Y421" s="7" t="s">
        <v>710</v>
      </c>
      <c r="Z421" s="7" t="s">
        <v>711</v>
      </c>
      <c r="AA421" s="7" t="s">
        <v>712</v>
      </c>
      <c r="AB421" s="7" t="s">
        <v>694</v>
      </c>
      <c r="AC421" s="7" t="s">
        <v>713</v>
      </c>
      <c r="AD421" s="7" t="s">
        <v>714</v>
      </c>
      <c r="AE421" s="7" t="s">
        <v>715</v>
      </c>
      <c r="AF421" s="7" t="s">
        <v>716</v>
      </c>
      <c r="AG421" s="7" t="s">
        <v>2456</v>
      </c>
      <c r="AH421" s="7" t="s">
        <v>2457</v>
      </c>
      <c r="AI421" s="7" t="s">
        <v>1270</v>
      </c>
      <c r="AJ421" s="7" t="s">
        <v>2458</v>
      </c>
      <c r="AK421" s="7" t="s">
        <v>2459</v>
      </c>
      <c r="AL421" s="7" t="s">
        <v>2460</v>
      </c>
      <c r="AM421" s="7" t="s">
        <v>2461</v>
      </c>
      <c r="AN421" s="7" t="s">
        <v>2462</v>
      </c>
      <c r="AO421" s="7" t="s">
        <v>2463</v>
      </c>
      <c r="AP421" s="7" t="s">
        <v>2464</v>
      </c>
      <c r="AQ421" s="7" t="s">
        <v>2465</v>
      </c>
      <c r="AR421" s="7" t="s">
        <v>2466</v>
      </c>
      <c r="AS421" s="7" t="s">
        <v>2467</v>
      </c>
      <c r="AT421" s="7" t="s">
        <v>2468</v>
      </c>
      <c r="AU421" s="7" t="s">
        <v>2469</v>
      </c>
    </row>
    <row r="422" spans="1:51" ht="78" customHeight="1" x14ac:dyDescent="0.4">
      <c r="A422" s="67" t="s">
        <v>401</v>
      </c>
      <c r="B422" t="e">
        <f>_xlfn.XLOOKUP(A422,'Product info'!A:A,'Product info'!C:C,,2)</f>
        <v>#N/A</v>
      </c>
      <c r="C422" s="69" t="s">
        <v>688</v>
      </c>
      <c r="D422" s="7" t="s">
        <v>689</v>
      </c>
      <c r="E422" s="7" t="s">
        <v>690</v>
      </c>
      <c r="F422" s="7" t="s">
        <v>691</v>
      </c>
      <c r="G422" s="7" t="s">
        <v>692</v>
      </c>
      <c r="H422" s="7" t="s">
        <v>693</v>
      </c>
      <c r="I422" s="7" t="s">
        <v>694</v>
      </c>
      <c r="J422" s="7" t="s">
        <v>695</v>
      </c>
      <c r="K422" s="7" t="s">
        <v>696</v>
      </c>
      <c r="L422" s="7" t="s">
        <v>697</v>
      </c>
      <c r="M422" s="7" t="s">
        <v>698</v>
      </c>
      <c r="N422" s="7" t="s">
        <v>699</v>
      </c>
      <c r="O422" s="7" t="s">
        <v>700</v>
      </c>
      <c r="P422" s="7" t="s">
        <v>701</v>
      </c>
      <c r="Q422" s="7" t="s">
        <v>702</v>
      </c>
      <c r="R422" s="7" t="s">
        <v>703</v>
      </c>
      <c r="S422" s="7" t="s">
        <v>704</v>
      </c>
      <c r="T422" s="7" t="s">
        <v>705</v>
      </c>
      <c r="U422" s="7" t="s">
        <v>706</v>
      </c>
      <c r="V422" s="7" t="s">
        <v>707</v>
      </c>
      <c r="W422" s="7" t="s">
        <v>708</v>
      </c>
      <c r="X422" s="7" t="s">
        <v>709</v>
      </c>
      <c r="Y422" s="7" t="s">
        <v>710</v>
      </c>
      <c r="Z422" s="7" t="s">
        <v>711</v>
      </c>
      <c r="AA422" s="7" t="s">
        <v>712</v>
      </c>
      <c r="AB422" s="7" t="s">
        <v>694</v>
      </c>
      <c r="AC422" s="7" t="s">
        <v>713</v>
      </c>
      <c r="AD422" s="7" t="s">
        <v>714</v>
      </c>
      <c r="AE422" s="7" t="s">
        <v>715</v>
      </c>
      <c r="AF422" s="7" t="s">
        <v>716</v>
      </c>
      <c r="AG422" s="7" t="s">
        <v>2456</v>
      </c>
      <c r="AH422" s="7" t="s">
        <v>2457</v>
      </c>
      <c r="AI422" s="7" t="s">
        <v>1270</v>
      </c>
      <c r="AJ422" s="7" t="s">
        <v>2458</v>
      </c>
      <c r="AK422" s="7" t="s">
        <v>2459</v>
      </c>
      <c r="AL422" s="7" t="s">
        <v>2460</v>
      </c>
      <c r="AM422" s="7" t="s">
        <v>2461</v>
      </c>
      <c r="AN422" s="7" t="s">
        <v>2462</v>
      </c>
      <c r="AO422" s="7" t="s">
        <v>2463</v>
      </c>
      <c r="AP422" s="7" t="s">
        <v>2464</v>
      </c>
      <c r="AQ422" s="7" t="s">
        <v>2465</v>
      </c>
      <c r="AR422" s="7" t="s">
        <v>2466</v>
      </c>
      <c r="AS422" s="7" t="s">
        <v>2467</v>
      </c>
      <c r="AT422" s="7" t="s">
        <v>2468</v>
      </c>
      <c r="AU422" s="7" t="s">
        <v>2469</v>
      </c>
    </row>
    <row r="423" spans="1:51" ht="78" customHeight="1" x14ac:dyDescent="0.4">
      <c r="A423" s="67" t="s">
        <v>270</v>
      </c>
      <c r="B423" t="e">
        <f>_xlfn.XLOOKUP(A423,'Product info'!A:A,'Product info'!C:C,,2)</f>
        <v>#N/A</v>
      </c>
      <c r="C423" s="69" t="s">
        <v>688</v>
      </c>
      <c r="D423" s="7" t="s">
        <v>689</v>
      </c>
      <c r="E423" s="7" t="s">
        <v>690</v>
      </c>
      <c r="F423" s="7" t="s">
        <v>691</v>
      </c>
      <c r="G423" s="7" t="s">
        <v>692</v>
      </c>
      <c r="H423" s="7" t="s">
        <v>693</v>
      </c>
      <c r="I423" s="7" t="s">
        <v>694</v>
      </c>
      <c r="J423" s="7" t="s">
        <v>695</v>
      </c>
      <c r="K423" s="7" t="s">
        <v>696</v>
      </c>
      <c r="L423" s="7" t="s">
        <v>697</v>
      </c>
      <c r="M423" s="7" t="s">
        <v>698</v>
      </c>
      <c r="N423" s="7" t="s">
        <v>699</v>
      </c>
      <c r="O423" s="7" t="s">
        <v>700</v>
      </c>
      <c r="P423" s="7" t="s">
        <v>701</v>
      </c>
      <c r="Q423" s="7" t="s">
        <v>702</v>
      </c>
      <c r="R423" s="7" t="s">
        <v>703</v>
      </c>
      <c r="S423" s="7" t="s">
        <v>704</v>
      </c>
      <c r="T423" s="7" t="s">
        <v>705</v>
      </c>
      <c r="U423" s="7" t="s">
        <v>706</v>
      </c>
      <c r="V423" s="7" t="s">
        <v>707</v>
      </c>
      <c r="W423" s="7" t="s">
        <v>708</v>
      </c>
      <c r="X423" s="7" t="s">
        <v>709</v>
      </c>
      <c r="Y423" s="7" t="s">
        <v>710</v>
      </c>
      <c r="Z423" s="7" t="s">
        <v>711</v>
      </c>
      <c r="AA423" s="7" t="s">
        <v>712</v>
      </c>
      <c r="AB423" s="7" t="s">
        <v>694</v>
      </c>
      <c r="AC423" s="7" t="s">
        <v>713</v>
      </c>
      <c r="AD423" s="7" t="s">
        <v>714</v>
      </c>
      <c r="AE423" s="7" t="s">
        <v>715</v>
      </c>
      <c r="AF423" s="7" t="s">
        <v>716</v>
      </c>
      <c r="AG423" s="7" t="s">
        <v>2059</v>
      </c>
      <c r="AH423" s="7" t="s">
        <v>2060</v>
      </c>
      <c r="AI423" s="7" t="s">
        <v>2061</v>
      </c>
      <c r="AJ423" s="7" t="s">
        <v>2062</v>
      </c>
      <c r="AK423" s="7" t="s">
        <v>2063</v>
      </c>
      <c r="AL423" s="7" t="s">
        <v>2064</v>
      </c>
      <c r="AM423" s="7" t="s">
        <v>2065</v>
      </c>
      <c r="AN423" s="7" t="s">
        <v>2066</v>
      </c>
      <c r="AO423" s="7" t="s">
        <v>714</v>
      </c>
      <c r="AP423" s="7" t="s">
        <v>715</v>
      </c>
      <c r="AQ423" s="7" t="s">
        <v>716</v>
      </c>
      <c r="AR423" s="7" t="s">
        <v>2067</v>
      </c>
      <c r="AS423" s="7" t="s">
        <v>2068</v>
      </c>
      <c r="AT423" s="7" t="s">
        <v>2069</v>
      </c>
    </row>
    <row r="424" spans="1:51" ht="78" customHeight="1" x14ac:dyDescent="0.4">
      <c r="A424" s="67" t="s">
        <v>271</v>
      </c>
      <c r="B424" t="e">
        <f>_xlfn.XLOOKUP(A424,'Product info'!A:A,'Product info'!C:C,,2)</f>
        <v>#N/A</v>
      </c>
      <c r="C424" s="69" t="s">
        <v>688</v>
      </c>
      <c r="D424" s="7" t="s">
        <v>689</v>
      </c>
      <c r="E424" s="7" t="s">
        <v>690</v>
      </c>
      <c r="F424" s="7" t="s">
        <v>691</v>
      </c>
      <c r="G424" s="7" t="s">
        <v>692</v>
      </c>
      <c r="H424" s="7" t="s">
        <v>693</v>
      </c>
      <c r="I424" s="7" t="s">
        <v>694</v>
      </c>
      <c r="J424" s="7" t="s">
        <v>695</v>
      </c>
      <c r="K424" s="7" t="s">
        <v>696</v>
      </c>
      <c r="L424" s="7" t="s">
        <v>697</v>
      </c>
      <c r="M424" s="7" t="s">
        <v>698</v>
      </c>
      <c r="N424" s="7" t="s">
        <v>699</v>
      </c>
      <c r="O424" s="7" t="s">
        <v>700</v>
      </c>
      <c r="P424" s="7" t="s">
        <v>701</v>
      </c>
      <c r="Q424" s="7" t="s">
        <v>702</v>
      </c>
      <c r="R424" s="7" t="s">
        <v>703</v>
      </c>
      <c r="S424" s="7" t="s">
        <v>704</v>
      </c>
      <c r="T424" s="7" t="s">
        <v>705</v>
      </c>
      <c r="U424" s="7" t="s">
        <v>706</v>
      </c>
      <c r="V424" s="7" t="s">
        <v>707</v>
      </c>
      <c r="W424" s="7" t="s">
        <v>708</v>
      </c>
      <c r="X424" s="7" t="s">
        <v>709</v>
      </c>
      <c r="Y424" s="7" t="s">
        <v>710</v>
      </c>
      <c r="Z424" s="7" t="s">
        <v>711</v>
      </c>
      <c r="AA424" s="7" t="s">
        <v>712</v>
      </c>
      <c r="AB424" s="7" t="s">
        <v>694</v>
      </c>
      <c r="AC424" s="7" t="s">
        <v>713</v>
      </c>
      <c r="AD424" s="7" t="s">
        <v>714</v>
      </c>
      <c r="AE424" s="7" t="s">
        <v>715</v>
      </c>
      <c r="AF424" s="7" t="s">
        <v>716</v>
      </c>
      <c r="AG424" s="7" t="s">
        <v>2059</v>
      </c>
      <c r="AH424" s="7" t="s">
        <v>2060</v>
      </c>
      <c r="AI424" s="7" t="s">
        <v>2061</v>
      </c>
      <c r="AJ424" s="7" t="s">
        <v>2062</v>
      </c>
      <c r="AK424" s="7" t="s">
        <v>2063</v>
      </c>
      <c r="AL424" s="7" t="s">
        <v>2064</v>
      </c>
      <c r="AM424" s="7" t="s">
        <v>2065</v>
      </c>
      <c r="AN424" s="7" t="s">
        <v>2066</v>
      </c>
      <c r="AO424" s="7" t="s">
        <v>714</v>
      </c>
      <c r="AP424" s="7" t="s">
        <v>715</v>
      </c>
      <c r="AQ424" s="7" t="s">
        <v>716</v>
      </c>
      <c r="AR424" s="7" t="s">
        <v>2067</v>
      </c>
      <c r="AS424" s="7" t="s">
        <v>2068</v>
      </c>
      <c r="AT424" s="7" t="s">
        <v>2069</v>
      </c>
    </row>
    <row r="425" spans="1:51" ht="78" customHeight="1" x14ac:dyDescent="0.4">
      <c r="A425" s="67" t="s">
        <v>266</v>
      </c>
      <c r="B425" t="e">
        <f>_xlfn.XLOOKUP(A425,'Product info'!A:A,'Product info'!C:C,,2)</f>
        <v>#N/A</v>
      </c>
      <c r="C425" s="69" t="s">
        <v>688</v>
      </c>
      <c r="D425" s="7" t="s">
        <v>689</v>
      </c>
      <c r="E425" s="7" t="s">
        <v>690</v>
      </c>
      <c r="F425" s="7" t="s">
        <v>691</v>
      </c>
      <c r="G425" s="7" t="s">
        <v>692</v>
      </c>
      <c r="H425" s="7" t="s">
        <v>693</v>
      </c>
      <c r="I425" s="7" t="s">
        <v>694</v>
      </c>
      <c r="J425" s="7" t="s">
        <v>695</v>
      </c>
      <c r="K425" s="7" t="s">
        <v>696</v>
      </c>
      <c r="L425" s="7" t="s">
        <v>697</v>
      </c>
      <c r="M425" s="7" t="s">
        <v>698</v>
      </c>
      <c r="N425" s="7" t="s">
        <v>699</v>
      </c>
      <c r="O425" s="7" t="s">
        <v>700</v>
      </c>
      <c r="P425" s="7" t="s">
        <v>701</v>
      </c>
      <c r="Q425" s="7" t="s">
        <v>702</v>
      </c>
      <c r="R425" s="7" t="s">
        <v>703</v>
      </c>
      <c r="S425" s="7" t="s">
        <v>704</v>
      </c>
      <c r="T425" s="7" t="s">
        <v>705</v>
      </c>
      <c r="U425" s="7" t="s">
        <v>706</v>
      </c>
      <c r="V425" s="7" t="s">
        <v>707</v>
      </c>
      <c r="W425" s="7" t="s">
        <v>708</v>
      </c>
      <c r="X425" s="7" t="s">
        <v>709</v>
      </c>
      <c r="Y425" s="7" t="s">
        <v>710</v>
      </c>
      <c r="Z425" s="7" t="s">
        <v>711</v>
      </c>
      <c r="AA425" s="7" t="s">
        <v>712</v>
      </c>
      <c r="AB425" s="7" t="s">
        <v>694</v>
      </c>
      <c r="AC425" s="7" t="s">
        <v>713</v>
      </c>
      <c r="AD425" s="7" t="s">
        <v>714</v>
      </c>
      <c r="AE425" s="7" t="s">
        <v>715</v>
      </c>
      <c r="AF425" s="7" t="s">
        <v>716</v>
      </c>
      <c r="AG425" s="7" t="s">
        <v>2059</v>
      </c>
      <c r="AH425" s="7" t="s">
        <v>2060</v>
      </c>
      <c r="AI425" s="7" t="s">
        <v>2061</v>
      </c>
      <c r="AJ425" s="7" t="s">
        <v>2062</v>
      </c>
      <c r="AK425" s="7" t="s">
        <v>2063</v>
      </c>
      <c r="AL425" s="7" t="s">
        <v>2064</v>
      </c>
      <c r="AM425" s="7" t="s">
        <v>2065</v>
      </c>
      <c r="AN425" s="7" t="s">
        <v>2066</v>
      </c>
      <c r="AO425" s="7" t="s">
        <v>714</v>
      </c>
      <c r="AP425" s="7" t="s">
        <v>715</v>
      </c>
      <c r="AQ425" s="7" t="s">
        <v>716</v>
      </c>
      <c r="AR425" s="7" t="s">
        <v>2067</v>
      </c>
      <c r="AS425" s="7" t="s">
        <v>2068</v>
      </c>
      <c r="AT425" s="7" t="s">
        <v>2069</v>
      </c>
    </row>
    <row r="426" spans="1:51" ht="78" customHeight="1" x14ac:dyDescent="0.4">
      <c r="A426" s="67" t="s">
        <v>269</v>
      </c>
      <c r="B426" t="e">
        <f>_xlfn.XLOOKUP(A426,'Product info'!A:A,'Product info'!C:C,,2)</f>
        <v>#N/A</v>
      </c>
      <c r="C426" s="69" t="s">
        <v>688</v>
      </c>
      <c r="D426" s="7" t="s">
        <v>689</v>
      </c>
      <c r="E426" s="7" t="s">
        <v>690</v>
      </c>
      <c r="F426" s="7" t="s">
        <v>691</v>
      </c>
      <c r="G426" s="7" t="s">
        <v>692</v>
      </c>
      <c r="H426" s="7" t="s">
        <v>693</v>
      </c>
      <c r="I426" s="7" t="s">
        <v>694</v>
      </c>
      <c r="J426" s="7" t="s">
        <v>695</v>
      </c>
      <c r="K426" s="7" t="s">
        <v>696</v>
      </c>
      <c r="L426" s="7" t="s">
        <v>697</v>
      </c>
      <c r="M426" s="7" t="s">
        <v>698</v>
      </c>
      <c r="N426" s="7" t="s">
        <v>699</v>
      </c>
      <c r="O426" s="7" t="s">
        <v>700</v>
      </c>
      <c r="P426" s="7" t="s">
        <v>701</v>
      </c>
      <c r="Q426" s="7" t="s">
        <v>702</v>
      </c>
      <c r="R426" s="7" t="s">
        <v>703</v>
      </c>
      <c r="S426" s="7" t="s">
        <v>704</v>
      </c>
      <c r="T426" s="7" t="s">
        <v>705</v>
      </c>
      <c r="U426" s="7" t="s">
        <v>706</v>
      </c>
      <c r="V426" s="7" t="s">
        <v>707</v>
      </c>
      <c r="W426" s="7" t="s">
        <v>708</v>
      </c>
      <c r="X426" s="7" t="s">
        <v>709</v>
      </c>
      <c r="Y426" s="7" t="s">
        <v>710</v>
      </c>
      <c r="Z426" s="7" t="s">
        <v>711</v>
      </c>
      <c r="AA426" s="7" t="s">
        <v>712</v>
      </c>
      <c r="AB426" s="7" t="s">
        <v>694</v>
      </c>
      <c r="AC426" s="7" t="s">
        <v>713</v>
      </c>
      <c r="AD426" s="7" t="s">
        <v>714</v>
      </c>
      <c r="AE426" s="7" t="s">
        <v>715</v>
      </c>
      <c r="AF426" s="7" t="s">
        <v>716</v>
      </c>
      <c r="AG426" s="7" t="s">
        <v>2059</v>
      </c>
      <c r="AH426" s="7" t="s">
        <v>2060</v>
      </c>
      <c r="AI426" s="7" t="s">
        <v>2061</v>
      </c>
      <c r="AJ426" s="7" t="s">
        <v>2062</v>
      </c>
      <c r="AK426" s="7" t="s">
        <v>2063</v>
      </c>
      <c r="AL426" s="7" t="s">
        <v>2064</v>
      </c>
      <c r="AM426" s="7" t="s">
        <v>2065</v>
      </c>
      <c r="AN426" s="7" t="s">
        <v>2066</v>
      </c>
      <c r="AO426" s="7" t="s">
        <v>714</v>
      </c>
      <c r="AP426" s="7" t="s">
        <v>715</v>
      </c>
      <c r="AQ426" s="7" t="s">
        <v>716</v>
      </c>
      <c r="AR426" s="7" t="s">
        <v>2067</v>
      </c>
      <c r="AS426" s="7" t="s">
        <v>2068</v>
      </c>
      <c r="AT426" s="7" t="s">
        <v>2069</v>
      </c>
    </row>
    <row r="427" spans="1:51" ht="78" customHeight="1" x14ac:dyDescent="0.4">
      <c r="A427" s="67" t="s">
        <v>268</v>
      </c>
      <c r="B427" t="e">
        <f>_xlfn.XLOOKUP(A427,'Product info'!A:A,'Product info'!C:C,,2)</f>
        <v>#N/A</v>
      </c>
      <c r="C427" s="69" t="s">
        <v>688</v>
      </c>
      <c r="D427" s="7" t="s">
        <v>689</v>
      </c>
      <c r="E427" s="7" t="s">
        <v>690</v>
      </c>
      <c r="F427" s="7" t="s">
        <v>691</v>
      </c>
      <c r="G427" s="7" t="s">
        <v>692</v>
      </c>
      <c r="H427" s="7" t="s">
        <v>693</v>
      </c>
      <c r="I427" s="7" t="s">
        <v>694</v>
      </c>
      <c r="J427" s="7" t="s">
        <v>695</v>
      </c>
      <c r="K427" s="7" t="s">
        <v>696</v>
      </c>
      <c r="L427" s="7" t="s">
        <v>697</v>
      </c>
      <c r="M427" s="7" t="s">
        <v>698</v>
      </c>
      <c r="N427" s="7" t="s">
        <v>699</v>
      </c>
      <c r="O427" s="7" t="s">
        <v>700</v>
      </c>
      <c r="P427" s="7" t="s">
        <v>701</v>
      </c>
      <c r="Q427" s="7" t="s">
        <v>702</v>
      </c>
      <c r="R427" s="7" t="s">
        <v>703</v>
      </c>
      <c r="S427" s="7" t="s">
        <v>704</v>
      </c>
      <c r="T427" s="7" t="s">
        <v>705</v>
      </c>
      <c r="U427" s="7" t="s">
        <v>706</v>
      </c>
      <c r="V427" s="7" t="s">
        <v>707</v>
      </c>
      <c r="W427" s="7" t="s">
        <v>708</v>
      </c>
      <c r="X427" s="7" t="s">
        <v>709</v>
      </c>
      <c r="Y427" s="7" t="s">
        <v>710</v>
      </c>
      <c r="Z427" s="7" t="s">
        <v>711</v>
      </c>
      <c r="AA427" s="7" t="s">
        <v>712</v>
      </c>
      <c r="AB427" s="7" t="s">
        <v>694</v>
      </c>
      <c r="AC427" s="7" t="s">
        <v>713</v>
      </c>
      <c r="AD427" s="7" t="s">
        <v>714</v>
      </c>
      <c r="AE427" s="7" t="s">
        <v>715</v>
      </c>
      <c r="AF427" s="7" t="s">
        <v>716</v>
      </c>
      <c r="AG427" s="7" t="s">
        <v>2059</v>
      </c>
      <c r="AH427" s="7" t="s">
        <v>2060</v>
      </c>
      <c r="AI427" s="7" t="s">
        <v>2061</v>
      </c>
      <c r="AJ427" s="7" t="s">
        <v>2062</v>
      </c>
      <c r="AK427" s="7" t="s">
        <v>2063</v>
      </c>
      <c r="AL427" s="7" t="s">
        <v>2064</v>
      </c>
      <c r="AM427" s="7" t="s">
        <v>2065</v>
      </c>
      <c r="AN427" s="7" t="s">
        <v>2066</v>
      </c>
      <c r="AO427" s="7" t="s">
        <v>714</v>
      </c>
      <c r="AP427" s="7" t="s">
        <v>715</v>
      </c>
      <c r="AQ427" s="7" t="s">
        <v>716</v>
      </c>
      <c r="AR427" s="7" t="s">
        <v>2067</v>
      </c>
      <c r="AS427" s="7" t="s">
        <v>2068</v>
      </c>
      <c r="AT427" s="7" t="s">
        <v>2069</v>
      </c>
    </row>
    <row r="428" spans="1:51" ht="78" customHeight="1" x14ac:dyDescent="0.4">
      <c r="A428" s="67" t="s">
        <v>267</v>
      </c>
      <c r="B428" t="e">
        <f>_xlfn.XLOOKUP(A428,'Product info'!A:A,'Product info'!C:C,,2)</f>
        <v>#N/A</v>
      </c>
      <c r="C428" s="69" t="s">
        <v>688</v>
      </c>
      <c r="D428" s="7" t="s">
        <v>689</v>
      </c>
      <c r="E428" s="7" t="s">
        <v>690</v>
      </c>
      <c r="F428" s="7" t="s">
        <v>691</v>
      </c>
      <c r="G428" s="7" t="s">
        <v>692</v>
      </c>
      <c r="H428" s="7" t="s">
        <v>693</v>
      </c>
      <c r="I428" s="7" t="s">
        <v>694</v>
      </c>
      <c r="J428" s="7" t="s">
        <v>695</v>
      </c>
      <c r="K428" s="7" t="s">
        <v>696</v>
      </c>
      <c r="L428" s="7" t="s">
        <v>697</v>
      </c>
      <c r="M428" s="7" t="s">
        <v>698</v>
      </c>
      <c r="N428" s="7" t="s">
        <v>699</v>
      </c>
      <c r="O428" s="7" t="s">
        <v>700</v>
      </c>
      <c r="P428" s="7" t="s">
        <v>701</v>
      </c>
      <c r="Q428" s="7" t="s">
        <v>702</v>
      </c>
      <c r="R428" s="7" t="s">
        <v>703</v>
      </c>
      <c r="S428" s="7" t="s">
        <v>704</v>
      </c>
      <c r="T428" s="7" t="s">
        <v>705</v>
      </c>
      <c r="U428" s="7" t="s">
        <v>706</v>
      </c>
      <c r="V428" s="7" t="s">
        <v>707</v>
      </c>
      <c r="W428" s="7" t="s">
        <v>708</v>
      </c>
      <c r="X428" s="7" t="s">
        <v>709</v>
      </c>
      <c r="Y428" s="7" t="s">
        <v>710</v>
      </c>
      <c r="Z428" s="7" t="s">
        <v>711</v>
      </c>
      <c r="AA428" s="7" t="s">
        <v>712</v>
      </c>
      <c r="AB428" s="7" t="s">
        <v>694</v>
      </c>
      <c r="AC428" s="7" t="s">
        <v>713</v>
      </c>
      <c r="AD428" s="7" t="s">
        <v>714</v>
      </c>
      <c r="AE428" s="7" t="s">
        <v>715</v>
      </c>
      <c r="AF428" s="7" t="s">
        <v>716</v>
      </c>
      <c r="AG428" s="7" t="s">
        <v>2059</v>
      </c>
      <c r="AH428" s="7" t="s">
        <v>2060</v>
      </c>
      <c r="AI428" s="7" t="s">
        <v>2061</v>
      </c>
      <c r="AJ428" s="7" t="s">
        <v>2062</v>
      </c>
      <c r="AK428" s="7" t="s">
        <v>2063</v>
      </c>
      <c r="AL428" s="7" t="s">
        <v>2064</v>
      </c>
      <c r="AM428" s="7" t="s">
        <v>2065</v>
      </c>
      <c r="AN428" s="7" t="s">
        <v>2066</v>
      </c>
      <c r="AO428" s="7" t="s">
        <v>714</v>
      </c>
      <c r="AP428" s="7" t="s">
        <v>715</v>
      </c>
      <c r="AQ428" s="7" t="s">
        <v>716</v>
      </c>
      <c r="AR428" s="7" t="s">
        <v>2067</v>
      </c>
      <c r="AS428" s="7" t="s">
        <v>2068</v>
      </c>
      <c r="AT428" s="7" t="s">
        <v>2069</v>
      </c>
    </row>
    <row r="429" spans="1:51" ht="78" customHeight="1" x14ac:dyDescent="0.4">
      <c r="A429" s="67" t="s">
        <v>332</v>
      </c>
      <c r="B429" t="e">
        <f>_xlfn.XLOOKUP(A429,'Product info'!A:A,'Product info'!C:C,,2)</f>
        <v>#N/A</v>
      </c>
      <c r="C429" s="69" t="s">
        <v>688</v>
      </c>
      <c r="D429" s="7" t="s">
        <v>689</v>
      </c>
      <c r="E429" s="7" t="s">
        <v>690</v>
      </c>
      <c r="F429" s="7" t="s">
        <v>691</v>
      </c>
      <c r="G429" s="7" t="s">
        <v>692</v>
      </c>
      <c r="H429" s="7" t="s">
        <v>693</v>
      </c>
      <c r="I429" s="7" t="s">
        <v>694</v>
      </c>
      <c r="J429" s="7" t="s">
        <v>695</v>
      </c>
      <c r="K429" s="7" t="s">
        <v>696</v>
      </c>
      <c r="L429" s="7" t="s">
        <v>697</v>
      </c>
      <c r="M429" s="7" t="s">
        <v>698</v>
      </c>
      <c r="N429" s="7" t="s">
        <v>699</v>
      </c>
      <c r="O429" s="7" t="s">
        <v>700</v>
      </c>
      <c r="P429" s="7" t="s">
        <v>701</v>
      </c>
      <c r="Q429" s="7" t="s">
        <v>702</v>
      </c>
      <c r="R429" s="7" t="s">
        <v>703</v>
      </c>
      <c r="S429" s="7" t="s">
        <v>704</v>
      </c>
      <c r="T429" s="7" t="s">
        <v>705</v>
      </c>
      <c r="U429" s="7" t="s">
        <v>706</v>
      </c>
      <c r="V429" s="7" t="s">
        <v>707</v>
      </c>
      <c r="W429" s="7" t="s">
        <v>708</v>
      </c>
      <c r="X429" s="7" t="s">
        <v>709</v>
      </c>
      <c r="Y429" s="7" t="s">
        <v>710</v>
      </c>
      <c r="Z429" s="7" t="s">
        <v>711</v>
      </c>
      <c r="AA429" s="7" t="s">
        <v>712</v>
      </c>
      <c r="AB429" s="7" t="s">
        <v>694</v>
      </c>
      <c r="AC429" s="7" t="s">
        <v>713</v>
      </c>
      <c r="AD429" s="7" t="s">
        <v>714</v>
      </c>
      <c r="AE429" s="7" t="s">
        <v>715</v>
      </c>
      <c r="AF429" s="7" t="s">
        <v>716</v>
      </c>
      <c r="AG429" s="7" t="s">
        <v>1600</v>
      </c>
      <c r="AH429" s="7" t="s">
        <v>1601</v>
      </c>
      <c r="AI429" s="7" t="s">
        <v>1602</v>
      </c>
      <c r="AJ429" s="7" t="s">
        <v>1603</v>
      </c>
      <c r="AK429" s="7" t="s">
        <v>1604</v>
      </c>
      <c r="AL429" s="7" t="s">
        <v>1605</v>
      </c>
      <c r="AM429" s="7" t="s">
        <v>1606</v>
      </c>
      <c r="AN429" s="7" t="s">
        <v>1607</v>
      </c>
      <c r="AO429" s="7" t="s">
        <v>1608</v>
      </c>
      <c r="AP429" s="7" t="s">
        <v>1609</v>
      </c>
      <c r="AQ429" s="7" t="s">
        <v>2470</v>
      </c>
    </row>
    <row r="430" spans="1:51" ht="78" customHeight="1" x14ac:dyDescent="0.4">
      <c r="A430" s="67" t="s">
        <v>540</v>
      </c>
      <c r="B430" t="e">
        <f>_xlfn.XLOOKUP(A430,'Product info'!A:A,'Product info'!C:C,,2)</f>
        <v>#N/A</v>
      </c>
      <c r="C430" s="69" t="s">
        <v>688</v>
      </c>
      <c r="D430" s="7" t="s">
        <v>689</v>
      </c>
      <c r="E430" s="7" t="s">
        <v>690</v>
      </c>
      <c r="F430" s="7" t="s">
        <v>691</v>
      </c>
      <c r="G430" s="7" t="s">
        <v>692</v>
      </c>
      <c r="H430" s="7" t="s">
        <v>693</v>
      </c>
      <c r="I430" s="7" t="s">
        <v>694</v>
      </c>
      <c r="J430" s="7" t="s">
        <v>695</v>
      </c>
      <c r="K430" s="7" t="s">
        <v>696</v>
      </c>
      <c r="L430" s="7" t="s">
        <v>697</v>
      </c>
      <c r="M430" s="7" t="s">
        <v>698</v>
      </c>
      <c r="N430" s="7" t="s">
        <v>699</v>
      </c>
      <c r="O430" s="7" t="s">
        <v>700</v>
      </c>
      <c r="P430" s="7" t="s">
        <v>701</v>
      </c>
      <c r="Q430" s="7" t="s">
        <v>702</v>
      </c>
      <c r="R430" s="7" t="s">
        <v>703</v>
      </c>
      <c r="S430" s="7" t="s">
        <v>704</v>
      </c>
      <c r="T430" s="7" t="s">
        <v>705</v>
      </c>
      <c r="U430" s="7" t="s">
        <v>706</v>
      </c>
      <c r="V430" s="7" t="s">
        <v>707</v>
      </c>
      <c r="W430" s="7" t="s">
        <v>708</v>
      </c>
      <c r="X430" s="7" t="s">
        <v>709</v>
      </c>
      <c r="Y430" s="7" t="s">
        <v>710</v>
      </c>
      <c r="Z430" s="7" t="s">
        <v>711</v>
      </c>
      <c r="AA430" s="7" t="s">
        <v>712</v>
      </c>
      <c r="AB430" s="7" t="s">
        <v>694</v>
      </c>
      <c r="AC430" s="7" t="s">
        <v>713</v>
      </c>
      <c r="AD430" s="7" t="s">
        <v>714</v>
      </c>
      <c r="AE430" s="7" t="s">
        <v>715</v>
      </c>
      <c r="AF430" s="7" t="s">
        <v>716</v>
      </c>
      <c r="AG430" s="7" t="s">
        <v>2471</v>
      </c>
      <c r="AH430" s="7" t="s">
        <v>2472</v>
      </c>
      <c r="AI430" s="7" t="s">
        <v>2473</v>
      </c>
      <c r="AJ430" s="7" t="s">
        <v>2474</v>
      </c>
      <c r="AK430" s="7" t="s">
        <v>2475</v>
      </c>
      <c r="AL430" s="7" t="s">
        <v>2476</v>
      </c>
      <c r="AM430" s="7" t="s">
        <v>2477</v>
      </c>
      <c r="AN430" s="7" t="s">
        <v>2478</v>
      </c>
      <c r="AO430" s="7" t="s">
        <v>2479</v>
      </c>
      <c r="AP430" s="7" t="s">
        <v>2480</v>
      </c>
      <c r="AQ430" s="7" t="s">
        <v>2481</v>
      </c>
      <c r="AR430" s="7" t="s">
        <v>2482</v>
      </c>
    </row>
    <row r="431" spans="1:51" ht="78" customHeight="1" x14ac:dyDescent="0.4">
      <c r="A431" s="67" t="s">
        <v>539</v>
      </c>
      <c r="B431" t="e">
        <f>_xlfn.XLOOKUP(A431,'Product info'!A:A,'Product info'!C:C,,2)</f>
        <v>#N/A</v>
      </c>
      <c r="C431" s="69" t="s">
        <v>688</v>
      </c>
      <c r="D431" s="7" t="s">
        <v>689</v>
      </c>
      <c r="E431" s="7" t="s">
        <v>690</v>
      </c>
      <c r="F431" s="7" t="s">
        <v>691</v>
      </c>
      <c r="G431" s="7" t="s">
        <v>692</v>
      </c>
      <c r="H431" s="7" t="s">
        <v>693</v>
      </c>
      <c r="I431" s="7" t="s">
        <v>694</v>
      </c>
      <c r="J431" s="7" t="s">
        <v>695</v>
      </c>
      <c r="K431" s="7" t="s">
        <v>696</v>
      </c>
      <c r="L431" s="7" t="s">
        <v>697</v>
      </c>
      <c r="M431" s="7" t="s">
        <v>698</v>
      </c>
      <c r="N431" s="7" t="s">
        <v>699</v>
      </c>
      <c r="O431" s="7" t="s">
        <v>700</v>
      </c>
      <c r="P431" s="7" t="s">
        <v>701</v>
      </c>
      <c r="Q431" s="7" t="s">
        <v>702</v>
      </c>
      <c r="R431" s="7" t="s">
        <v>703</v>
      </c>
      <c r="S431" s="7" t="s">
        <v>704</v>
      </c>
      <c r="T431" s="7" t="s">
        <v>705</v>
      </c>
      <c r="U431" s="7" t="s">
        <v>706</v>
      </c>
      <c r="V431" s="7" t="s">
        <v>707</v>
      </c>
      <c r="W431" s="7" t="s">
        <v>708</v>
      </c>
      <c r="X431" s="7" t="s">
        <v>709</v>
      </c>
      <c r="Y431" s="7" t="s">
        <v>710</v>
      </c>
      <c r="Z431" s="7" t="s">
        <v>711</v>
      </c>
      <c r="AA431" s="7" t="s">
        <v>712</v>
      </c>
      <c r="AB431" s="7" t="s">
        <v>694</v>
      </c>
      <c r="AC431" s="7" t="s">
        <v>713</v>
      </c>
      <c r="AD431" s="7" t="s">
        <v>714</v>
      </c>
      <c r="AE431" s="7" t="s">
        <v>715</v>
      </c>
      <c r="AF431" s="7" t="s">
        <v>716</v>
      </c>
      <c r="AG431" s="7" t="s">
        <v>2471</v>
      </c>
      <c r="AH431" s="7" t="s">
        <v>2472</v>
      </c>
      <c r="AI431" s="7" t="s">
        <v>2473</v>
      </c>
      <c r="AJ431" s="7" t="s">
        <v>2474</v>
      </c>
      <c r="AK431" s="7" t="s">
        <v>2475</v>
      </c>
      <c r="AL431" s="7" t="s">
        <v>2476</v>
      </c>
      <c r="AM431" s="7" t="s">
        <v>2477</v>
      </c>
      <c r="AN431" s="7" t="s">
        <v>2478</v>
      </c>
      <c r="AO431" s="7" t="s">
        <v>2479</v>
      </c>
      <c r="AP431" s="7" t="s">
        <v>2480</v>
      </c>
      <c r="AQ431" s="7" t="s">
        <v>2481</v>
      </c>
      <c r="AR431" s="7" t="s">
        <v>2482</v>
      </c>
    </row>
    <row r="432" spans="1:51" ht="78" customHeight="1" x14ac:dyDescent="0.4">
      <c r="A432" s="67" t="s">
        <v>538</v>
      </c>
      <c r="B432" t="e">
        <f>_xlfn.XLOOKUP(A432,'Product info'!A:A,'Product info'!C:C,,2)</f>
        <v>#N/A</v>
      </c>
      <c r="C432" s="69" t="s">
        <v>688</v>
      </c>
      <c r="D432" s="7" t="s">
        <v>689</v>
      </c>
      <c r="E432" s="7" t="s">
        <v>690</v>
      </c>
      <c r="F432" s="7" t="s">
        <v>691</v>
      </c>
      <c r="G432" s="7" t="s">
        <v>692</v>
      </c>
      <c r="H432" s="7" t="s">
        <v>693</v>
      </c>
      <c r="I432" s="7" t="s">
        <v>694</v>
      </c>
      <c r="J432" s="7" t="s">
        <v>695</v>
      </c>
      <c r="K432" s="7" t="s">
        <v>696</v>
      </c>
      <c r="L432" s="7" t="s">
        <v>697</v>
      </c>
      <c r="M432" s="7" t="s">
        <v>698</v>
      </c>
      <c r="N432" s="7" t="s">
        <v>699</v>
      </c>
      <c r="O432" s="7" t="s">
        <v>700</v>
      </c>
      <c r="P432" s="7" t="s">
        <v>701</v>
      </c>
      <c r="Q432" s="7" t="s">
        <v>702</v>
      </c>
      <c r="R432" s="7" t="s">
        <v>703</v>
      </c>
      <c r="S432" s="7" t="s">
        <v>704</v>
      </c>
      <c r="T432" s="7" t="s">
        <v>705</v>
      </c>
      <c r="U432" s="7" t="s">
        <v>706</v>
      </c>
      <c r="V432" s="7" t="s">
        <v>707</v>
      </c>
      <c r="W432" s="7" t="s">
        <v>708</v>
      </c>
      <c r="X432" s="7" t="s">
        <v>709</v>
      </c>
      <c r="Y432" s="7" t="s">
        <v>710</v>
      </c>
      <c r="Z432" s="7" t="s">
        <v>711</v>
      </c>
      <c r="AA432" s="7" t="s">
        <v>712</v>
      </c>
      <c r="AB432" s="7" t="s">
        <v>694</v>
      </c>
      <c r="AC432" s="7" t="s">
        <v>713</v>
      </c>
      <c r="AD432" s="7" t="s">
        <v>714</v>
      </c>
      <c r="AE432" s="7" t="s">
        <v>715</v>
      </c>
      <c r="AF432" s="7" t="s">
        <v>716</v>
      </c>
      <c r="AG432" s="7" t="s">
        <v>2471</v>
      </c>
      <c r="AH432" s="7" t="s">
        <v>2472</v>
      </c>
      <c r="AI432" s="7" t="s">
        <v>2473</v>
      </c>
      <c r="AJ432" s="7" t="s">
        <v>2474</v>
      </c>
      <c r="AK432" s="7" t="s">
        <v>2475</v>
      </c>
      <c r="AL432" s="7" t="s">
        <v>2476</v>
      </c>
      <c r="AM432" s="7" t="s">
        <v>2477</v>
      </c>
      <c r="AN432" s="7" t="s">
        <v>2478</v>
      </c>
      <c r="AO432" s="7" t="s">
        <v>2479</v>
      </c>
      <c r="AP432" s="7" t="s">
        <v>2480</v>
      </c>
      <c r="AQ432" s="7" t="s">
        <v>2481</v>
      </c>
      <c r="AR432" s="7" t="s">
        <v>2482</v>
      </c>
    </row>
    <row r="433" spans="1:44" ht="78" customHeight="1" x14ac:dyDescent="0.4">
      <c r="A433" s="67" t="s">
        <v>541</v>
      </c>
      <c r="B433" t="e">
        <f>_xlfn.XLOOKUP(A433,'Product info'!A:A,'Product info'!C:C,,2)</f>
        <v>#N/A</v>
      </c>
      <c r="C433" s="69" t="s">
        <v>688</v>
      </c>
      <c r="D433" s="7" t="s">
        <v>689</v>
      </c>
      <c r="E433" s="7" t="s">
        <v>690</v>
      </c>
      <c r="F433" s="7" t="s">
        <v>691</v>
      </c>
      <c r="G433" s="7" t="s">
        <v>692</v>
      </c>
      <c r="H433" s="7" t="s">
        <v>693</v>
      </c>
      <c r="I433" s="7" t="s">
        <v>694</v>
      </c>
      <c r="J433" s="7" t="s">
        <v>695</v>
      </c>
      <c r="K433" s="7" t="s">
        <v>696</v>
      </c>
      <c r="L433" s="7" t="s">
        <v>697</v>
      </c>
      <c r="M433" s="7" t="s">
        <v>698</v>
      </c>
      <c r="N433" s="7" t="s">
        <v>699</v>
      </c>
      <c r="O433" s="7" t="s">
        <v>700</v>
      </c>
      <c r="P433" s="7" t="s">
        <v>701</v>
      </c>
      <c r="Q433" s="7" t="s">
        <v>702</v>
      </c>
      <c r="R433" s="7" t="s">
        <v>703</v>
      </c>
      <c r="S433" s="7" t="s">
        <v>704</v>
      </c>
      <c r="T433" s="7" t="s">
        <v>705</v>
      </c>
      <c r="U433" s="7" t="s">
        <v>706</v>
      </c>
      <c r="V433" s="7" t="s">
        <v>707</v>
      </c>
      <c r="W433" s="7" t="s">
        <v>708</v>
      </c>
      <c r="X433" s="7" t="s">
        <v>709</v>
      </c>
      <c r="Y433" s="7" t="s">
        <v>710</v>
      </c>
      <c r="Z433" s="7" t="s">
        <v>711</v>
      </c>
      <c r="AA433" s="7" t="s">
        <v>712</v>
      </c>
      <c r="AB433" s="7" t="s">
        <v>694</v>
      </c>
      <c r="AC433" s="7" t="s">
        <v>713</v>
      </c>
      <c r="AD433" s="7" t="s">
        <v>714</v>
      </c>
      <c r="AE433" s="7" t="s">
        <v>715</v>
      </c>
      <c r="AF433" s="7" t="s">
        <v>716</v>
      </c>
      <c r="AG433" s="7" t="s">
        <v>2471</v>
      </c>
      <c r="AH433" s="7" t="s">
        <v>2472</v>
      </c>
      <c r="AI433" s="7" t="s">
        <v>2473</v>
      </c>
      <c r="AJ433" s="7" t="s">
        <v>2474</v>
      </c>
      <c r="AK433" s="7" t="s">
        <v>2475</v>
      </c>
      <c r="AL433" s="7" t="s">
        <v>2476</v>
      </c>
      <c r="AM433" s="7" t="s">
        <v>2477</v>
      </c>
      <c r="AN433" s="7" t="s">
        <v>2478</v>
      </c>
      <c r="AO433" s="7" t="s">
        <v>2479</v>
      </c>
      <c r="AP433" s="7" t="s">
        <v>2480</v>
      </c>
      <c r="AQ433" s="7" t="s">
        <v>2481</v>
      </c>
      <c r="AR433" s="7" t="s">
        <v>2482</v>
      </c>
    </row>
    <row r="434" spans="1:44" ht="78" customHeight="1" x14ac:dyDescent="0.4">
      <c r="A434" s="67">
        <v>8720618229731</v>
      </c>
      <c r="B434" t="e">
        <f>_xlfn.XLOOKUP(A434,'Product info'!A:A,'Product info'!C:C,,2)</f>
        <v>#N/A</v>
      </c>
      <c r="C434" s="69" t="s">
        <v>2483</v>
      </c>
      <c r="D434" s="7" t="s">
        <v>2484</v>
      </c>
      <c r="E434" s="7" t="s">
        <v>2485</v>
      </c>
      <c r="F434" s="7" t="s">
        <v>2486</v>
      </c>
      <c r="G434" s="7" t="s">
        <v>2487</v>
      </c>
    </row>
    <row r="435" spans="1:44" ht="78" customHeight="1" x14ac:dyDescent="0.4">
      <c r="A435" s="67">
        <v>8720618229212</v>
      </c>
      <c r="B435" t="e">
        <f>_xlfn.XLOOKUP(A435,'Product info'!A:A,'Product info'!C:C,,2)</f>
        <v>#N/A</v>
      </c>
      <c r="C435" s="69" t="s">
        <v>688</v>
      </c>
      <c r="D435" s="7" t="s">
        <v>689</v>
      </c>
      <c r="E435" s="7" t="s">
        <v>747</v>
      </c>
      <c r="F435" s="7" t="s">
        <v>696</v>
      </c>
      <c r="G435" s="7" t="s">
        <v>773</v>
      </c>
      <c r="H435" s="7" t="s">
        <v>940</v>
      </c>
      <c r="I435" s="7" t="s">
        <v>941</v>
      </c>
      <c r="J435" s="7" t="s">
        <v>942</v>
      </c>
      <c r="K435" s="7" t="s">
        <v>695</v>
      </c>
      <c r="L435" s="7" t="s">
        <v>694</v>
      </c>
      <c r="M435" s="7" t="s">
        <v>1427</v>
      </c>
    </row>
    <row r="436" spans="1:44" ht="78" customHeight="1" x14ac:dyDescent="0.4">
      <c r="A436" s="67">
        <v>8720618229601</v>
      </c>
      <c r="B436" t="e">
        <f>_xlfn.XLOOKUP(A436,'Product info'!A:A,'Product info'!C:C,,2)</f>
        <v>#N/A</v>
      </c>
      <c r="C436" s="69" t="s">
        <v>2488</v>
      </c>
      <c r="D436" s="7" t="s">
        <v>2489</v>
      </c>
      <c r="E436" s="7" t="s">
        <v>2490</v>
      </c>
      <c r="F436" s="7" t="s">
        <v>688</v>
      </c>
      <c r="G436" s="7" t="s">
        <v>689</v>
      </c>
      <c r="H436" s="7" t="s">
        <v>690</v>
      </c>
      <c r="I436" s="7" t="s">
        <v>691</v>
      </c>
      <c r="J436" s="7" t="s">
        <v>692</v>
      </c>
      <c r="K436" s="7" t="s">
        <v>693</v>
      </c>
      <c r="L436" s="7" t="s">
        <v>694</v>
      </c>
      <c r="M436" s="7" t="s">
        <v>695</v>
      </c>
      <c r="N436" s="7" t="s">
        <v>696</v>
      </c>
      <c r="O436" s="7" t="s">
        <v>697</v>
      </c>
      <c r="P436" s="7" t="s">
        <v>698</v>
      </c>
      <c r="Q436" s="7" t="s">
        <v>699</v>
      </c>
      <c r="R436" s="7" t="s">
        <v>700</v>
      </c>
      <c r="S436" s="7" t="s">
        <v>701</v>
      </c>
      <c r="T436" s="7" t="s">
        <v>702</v>
      </c>
      <c r="U436" s="7" t="s">
        <v>703</v>
      </c>
      <c r="V436" s="7" t="s">
        <v>704</v>
      </c>
      <c r="W436" s="7" t="s">
        <v>705</v>
      </c>
      <c r="X436" s="7" t="s">
        <v>706</v>
      </c>
      <c r="Y436" s="7" t="s">
        <v>707</v>
      </c>
      <c r="Z436" s="7" t="s">
        <v>708</v>
      </c>
      <c r="AA436" s="7" t="s">
        <v>709</v>
      </c>
      <c r="AB436" s="7" t="s">
        <v>710</v>
      </c>
      <c r="AC436" s="7" t="s">
        <v>711</v>
      </c>
      <c r="AD436" s="7" t="s">
        <v>712</v>
      </c>
      <c r="AE436" s="7" t="s">
        <v>694</v>
      </c>
      <c r="AF436" s="7" t="s">
        <v>713</v>
      </c>
      <c r="AG436" s="7" t="s">
        <v>714</v>
      </c>
      <c r="AH436" s="7" t="s">
        <v>715</v>
      </c>
      <c r="AI436" s="7" t="s">
        <v>716</v>
      </c>
    </row>
    <row r="437" spans="1:44" ht="78" customHeight="1" x14ac:dyDescent="0.4">
      <c r="A437" s="67">
        <v>8719992661695</v>
      </c>
      <c r="B437" t="e">
        <f>_xlfn.XLOOKUP(A437,'Product info'!A:A,'Product info'!C:C,,2)</f>
        <v>#N/A</v>
      </c>
      <c r="C437" s="69" t="s">
        <v>688</v>
      </c>
      <c r="D437" s="7" t="s">
        <v>689</v>
      </c>
      <c r="E437" s="7" t="s">
        <v>690</v>
      </c>
      <c r="F437" s="7" t="s">
        <v>691</v>
      </c>
      <c r="G437" s="7" t="s">
        <v>692</v>
      </c>
      <c r="H437" s="7" t="s">
        <v>693</v>
      </c>
      <c r="I437" s="7" t="s">
        <v>694</v>
      </c>
      <c r="J437" s="7" t="s">
        <v>695</v>
      </c>
      <c r="K437" s="7" t="s">
        <v>696</v>
      </c>
      <c r="L437" s="7" t="s">
        <v>697</v>
      </c>
      <c r="M437" s="7" t="s">
        <v>698</v>
      </c>
      <c r="N437" s="7" t="s">
        <v>699</v>
      </c>
      <c r="O437" s="7" t="s">
        <v>700</v>
      </c>
      <c r="P437" s="7" t="s">
        <v>701</v>
      </c>
      <c r="Q437" s="7" t="s">
        <v>702</v>
      </c>
      <c r="R437" s="7" t="s">
        <v>703</v>
      </c>
      <c r="S437" s="7" t="s">
        <v>704</v>
      </c>
      <c r="T437" s="7" t="s">
        <v>705</v>
      </c>
      <c r="U437" s="7" t="s">
        <v>706</v>
      </c>
      <c r="V437" s="7" t="s">
        <v>707</v>
      </c>
      <c r="W437" s="7" t="s">
        <v>708</v>
      </c>
      <c r="X437" s="7" t="s">
        <v>709</v>
      </c>
      <c r="Y437" s="7" t="s">
        <v>710</v>
      </c>
      <c r="Z437" s="7" t="s">
        <v>711</v>
      </c>
      <c r="AA437" s="7" t="s">
        <v>712</v>
      </c>
      <c r="AB437" s="7" t="s">
        <v>694</v>
      </c>
      <c r="AC437" s="7" t="s">
        <v>713</v>
      </c>
      <c r="AD437" s="7" t="s">
        <v>714</v>
      </c>
      <c r="AE437" s="7" t="s">
        <v>715</v>
      </c>
      <c r="AF437" s="7" t="s">
        <v>716</v>
      </c>
    </row>
    <row r="438" spans="1:44" ht="78" customHeight="1" x14ac:dyDescent="0.4">
      <c r="A438" s="67">
        <v>8719992661671</v>
      </c>
      <c r="B438" t="e">
        <f>_xlfn.XLOOKUP(A438,'Product info'!A:A,'Product info'!C:C,,2)</f>
        <v>#N/A</v>
      </c>
      <c r="C438" s="69" t="s">
        <v>688</v>
      </c>
      <c r="D438" s="7" t="s">
        <v>689</v>
      </c>
      <c r="E438" s="7" t="s">
        <v>690</v>
      </c>
      <c r="F438" s="7" t="s">
        <v>691</v>
      </c>
      <c r="G438" s="7" t="s">
        <v>692</v>
      </c>
      <c r="H438" s="7" t="s">
        <v>693</v>
      </c>
      <c r="I438" s="7" t="s">
        <v>694</v>
      </c>
      <c r="J438" s="7" t="s">
        <v>695</v>
      </c>
      <c r="K438" s="7" t="s">
        <v>696</v>
      </c>
      <c r="L438" s="7" t="s">
        <v>697</v>
      </c>
      <c r="M438" s="7" t="s">
        <v>698</v>
      </c>
      <c r="N438" s="7" t="s">
        <v>699</v>
      </c>
      <c r="O438" s="7" t="s">
        <v>700</v>
      </c>
      <c r="P438" s="7" t="s">
        <v>701</v>
      </c>
      <c r="Q438" s="7" t="s">
        <v>702</v>
      </c>
      <c r="R438" s="7" t="s">
        <v>703</v>
      </c>
      <c r="S438" s="7" t="s">
        <v>704</v>
      </c>
      <c r="T438" s="7" t="s">
        <v>705</v>
      </c>
      <c r="U438" s="7" t="s">
        <v>706</v>
      </c>
      <c r="V438" s="7" t="s">
        <v>707</v>
      </c>
      <c r="W438" s="7" t="s">
        <v>708</v>
      </c>
      <c r="X438" s="7" t="s">
        <v>709</v>
      </c>
      <c r="Y438" s="7" t="s">
        <v>710</v>
      </c>
      <c r="Z438" s="7" t="s">
        <v>711</v>
      </c>
      <c r="AA438" s="7" t="s">
        <v>712</v>
      </c>
      <c r="AB438" s="7" t="s">
        <v>694</v>
      </c>
      <c r="AC438" s="7" t="s">
        <v>713</v>
      </c>
      <c r="AD438" s="7" t="s">
        <v>714</v>
      </c>
      <c r="AE438" s="7" t="s">
        <v>715</v>
      </c>
      <c r="AF438" s="7" t="s">
        <v>716</v>
      </c>
    </row>
    <row r="439" spans="1:44" ht="78" customHeight="1" x14ac:dyDescent="0.4">
      <c r="A439" s="67">
        <v>8720618229366</v>
      </c>
      <c r="B439" t="e">
        <f>_xlfn.XLOOKUP(A439,'Product info'!A:A,'Product info'!C:C,,2)</f>
        <v>#N/A</v>
      </c>
      <c r="C439" s="69" t="s">
        <v>2491</v>
      </c>
      <c r="D439" s="7" t="s">
        <v>2492</v>
      </c>
      <c r="E439" s="7" t="s">
        <v>2493</v>
      </c>
      <c r="F439" s="7" t="s">
        <v>2494</v>
      </c>
      <c r="G439" s="7" t="s">
        <v>2495</v>
      </c>
      <c r="H439" s="7" t="s">
        <v>2496</v>
      </c>
      <c r="I439" s="7" t="s">
        <v>2497</v>
      </c>
    </row>
    <row r="440" spans="1:44" ht="78" customHeight="1" x14ac:dyDescent="0.4">
      <c r="A440" s="67">
        <v>8720618229205</v>
      </c>
      <c r="B440" t="e">
        <f>_xlfn.XLOOKUP(A440,'Product info'!A:A,'Product info'!C:C,,2)</f>
        <v>#N/A</v>
      </c>
      <c r="C440" s="69" t="s">
        <v>2483</v>
      </c>
      <c r="D440" s="7" t="s">
        <v>2484</v>
      </c>
      <c r="E440" s="7" t="s">
        <v>2485</v>
      </c>
      <c r="F440" s="7" t="s">
        <v>2486</v>
      </c>
      <c r="G440" s="7" t="s">
        <v>2487</v>
      </c>
    </row>
    <row r="441" spans="1:44" ht="78" customHeight="1" x14ac:dyDescent="0.4">
      <c r="A441" s="67">
        <v>8720618229250</v>
      </c>
      <c r="B441" t="e">
        <f>_xlfn.XLOOKUP(A441,'Product info'!A:A,'Product info'!C:C,,2)</f>
        <v>#N/A</v>
      </c>
      <c r="C441" s="69" t="s">
        <v>688</v>
      </c>
      <c r="D441" s="7" t="s">
        <v>689</v>
      </c>
      <c r="E441" s="7" t="s">
        <v>690</v>
      </c>
      <c r="F441" s="7" t="s">
        <v>691</v>
      </c>
      <c r="G441" s="7" t="s">
        <v>692</v>
      </c>
      <c r="H441" s="7" t="s">
        <v>693</v>
      </c>
      <c r="I441" s="7" t="s">
        <v>694</v>
      </c>
      <c r="J441" s="7" t="s">
        <v>695</v>
      </c>
      <c r="K441" s="7" t="s">
        <v>696</v>
      </c>
      <c r="L441" s="7" t="s">
        <v>697</v>
      </c>
      <c r="M441" s="7" t="s">
        <v>698</v>
      </c>
      <c r="N441" s="7" t="s">
        <v>699</v>
      </c>
      <c r="O441" s="7" t="s">
        <v>700</v>
      </c>
      <c r="P441" s="7" t="s">
        <v>701</v>
      </c>
      <c r="Q441" s="7" t="s">
        <v>702</v>
      </c>
      <c r="R441" s="7" t="s">
        <v>703</v>
      </c>
      <c r="S441" s="7" t="s">
        <v>704</v>
      </c>
      <c r="T441" s="7" t="s">
        <v>705</v>
      </c>
      <c r="U441" s="7" t="s">
        <v>706</v>
      </c>
      <c r="V441" s="7" t="s">
        <v>707</v>
      </c>
      <c r="W441" s="7" t="s">
        <v>708</v>
      </c>
      <c r="X441" s="7" t="s">
        <v>709</v>
      </c>
      <c r="Y441" s="7" t="s">
        <v>710</v>
      </c>
      <c r="Z441" s="7" t="s">
        <v>711</v>
      </c>
      <c r="AA441" s="7" t="s">
        <v>712</v>
      </c>
      <c r="AB441" s="7" t="s">
        <v>694</v>
      </c>
      <c r="AC441" s="7" t="s">
        <v>713</v>
      </c>
      <c r="AD441" s="7" t="s">
        <v>714</v>
      </c>
      <c r="AE441" s="7" t="s">
        <v>715</v>
      </c>
      <c r="AF441" s="7" t="s">
        <v>716</v>
      </c>
    </row>
    <row r="442" spans="1:44" ht="78" customHeight="1" x14ac:dyDescent="0.4">
      <c r="A442" s="67">
        <v>8720618229267</v>
      </c>
      <c r="B442" t="e">
        <f>_xlfn.XLOOKUP(A442,'Product info'!A:A,'Product info'!C:C,,2)</f>
        <v>#N/A</v>
      </c>
      <c r="C442" s="69" t="s">
        <v>688</v>
      </c>
      <c r="D442" s="7" t="s">
        <v>689</v>
      </c>
      <c r="E442" s="7" t="s">
        <v>690</v>
      </c>
      <c r="F442" s="7" t="s">
        <v>691</v>
      </c>
      <c r="G442" s="7" t="s">
        <v>692</v>
      </c>
      <c r="H442" s="7" t="s">
        <v>693</v>
      </c>
      <c r="I442" s="7" t="s">
        <v>694</v>
      </c>
      <c r="J442" s="7" t="s">
        <v>695</v>
      </c>
      <c r="K442" s="7" t="s">
        <v>696</v>
      </c>
      <c r="L442" s="7" t="s">
        <v>697</v>
      </c>
      <c r="M442" s="7" t="s">
        <v>698</v>
      </c>
      <c r="N442" s="7" t="s">
        <v>699</v>
      </c>
      <c r="O442" s="7" t="s">
        <v>700</v>
      </c>
      <c r="P442" s="7" t="s">
        <v>701</v>
      </c>
      <c r="Q442" s="7" t="s">
        <v>702</v>
      </c>
      <c r="R442" s="7" t="s">
        <v>703</v>
      </c>
      <c r="S442" s="7" t="s">
        <v>704</v>
      </c>
      <c r="T442" s="7" t="s">
        <v>705</v>
      </c>
      <c r="U442" s="7" t="s">
        <v>706</v>
      </c>
      <c r="V442" s="7" t="s">
        <v>707</v>
      </c>
      <c r="W442" s="7" t="s">
        <v>708</v>
      </c>
      <c r="X442" s="7" t="s">
        <v>709</v>
      </c>
      <c r="Y442" s="7" t="s">
        <v>710</v>
      </c>
      <c r="Z442" s="7" t="s">
        <v>711</v>
      </c>
      <c r="AA442" s="7" t="s">
        <v>712</v>
      </c>
      <c r="AB442" s="7" t="s">
        <v>694</v>
      </c>
      <c r="AC442" s="7" t="s">
        <v>713</v>
      </c>
      <c r="AD442" s="7" t="s">
        <v>714</v>
      </c>
      <c r="AE442" s="7" t="s">
        <v>715</v>
      </c>
      <c r="AF442" s="7" t="s">
        <v>716</v>
      </c>
    </row>
    <row r="443" spans="1:44" ht="78" customHeight="1" x14ac:dyDescent="0.4">
      <c r="A443" s="67">
        <v>8720618229687</v>
      </c>
      <c r="B443" t="e">
        <f>_xlfn.XLOOKUP(A443,'Product info'!A:A,'Product info'!C:C,,2)</f>
        <v>#N/A</v>
      </c>
      <c r="C443" s="69" t="s">
        <v>688</v>
      </c>
      <c r="D443" s="7" t="s">
        <v>689</v>
      </c>
      <c r="E443" s="7" t="s">
        <v>747</v>
      </c>
      <c r="F443" s="7" t="s">
        <v>696</v>
      </c>
      <c r="G443" s="7" t="s">
        <v>773</v>
      </c>
      <c r="H443" s="7" t="s">
        <v>940</v>
      </c>
      <c r="I443" s="7" t="s">
        <v>941</v>
      </c>
      <c r="J443" s="7" t="s">
        <v>942</v>
      </c>
      <c r="K443" s="7" t="s">
        <v>695</v>
      </c>
      <c r="L443" s="7" t="s">
        <v>694</v>
      </c>
      <c r="M443" s="7" t="s">
        <v>1427</v>
      </c>
      <c r="N443" s="7" t="s">
        <v>717</v>
      </c>
      <c r="O443" s="7" t="s">
        <v>718</v>
      </c>
      <c r="P443" s="7" t="s">
        <v>719</v>
      </c>
      <c r="Q443" s="7" t="s">
        <v>720</v>
      </c>
      <c r="R443" s="7" t="s">
        <v>721</v>
      </c>
      <c r="S443" s="7" t="s">
        <v>722</v>
      </c>
    </row>
    <row r="444" spans="1:44" ht="78" customHeight="1" x14ac:dyDescent="0.4">
      <c r="A444" s="67">
        <v>8719992661923</v>
      </c>
      <c r="B444" t="e">
        <f>_xlfn.XLOOKUP(A444,'Product info'!A:A,'Product info'!C:C,,2)</f>
        <v>#N/A</v>
      </c>
      <c r="C444" s="69" t="s">
        <v>688</v>
      </c>
      <c r="D444" s="7" t="s">
        <v>689</v>
      </c>
      <c r="E444" s="7" t="s">
        <v>747</v>
      </c>
      <c r="F444" s="7" t="s">
        <v>696</v>
      </c>
      <c r="G444" s="7" t="s">
        <v>773</v>
      </c>
      <c r="H444" s="7" t="s">
        <v>940</v>
      </c>
      <c r="I444" s="7" t="s">
        <v>941</v>
      </c>
      <c r="J444" s="7" t="s">
        <v>942</v>
      </c>
      <c r="K444" s="7" t="s">
        <v>695</v>
      </c>
      <c r="L444" s="7" t="s">
        <v>694</v>
      </c>
      <c r="M444" s="7" t="s">
        <v>1427</v>
      </c>
    </row>
    <row r="445" spans="1:44" ht="78" customHeight="1" x14ac:dyDescent="0.4">
      <c r="A445" s="67">
        <v>8719992661213</v>
      </c>
      <c r="B445" t="e">
        <f>_xlfn.XLOOKUP(A445,'Product info'!A:A,'Product info'!C:C,,2)</f>
        <v>#N/A</v>
      </c>
    </row>
    <row r="446" spans="1:44" ht="78" customHeight="1" x14ac:dyDescent="0.4">
      <c r="A446" s="3">
        <v>8719992661183</v>
      </c>
      <c r="B446" t="e">
        <f>_xlfn.XLOOKUP(A446,'Product info'!A:A,'Product info'!C:C,,2)</f>
        <v>#N/A</v>
      </c>
      <c r="C446" s="69" t="s">
        <v>688</v>
      </c>
      <c r="D446" s="7" t="s">
        <v>689</v>
      </c>
      <c r="E446" s="7" t="s">
        <v>690</v>
      </c>
      <c r="F446" s="7" t="s">
        <v>691</v>
      </c>
      <c r="G446" s="7" t="s">
        <v>692</v>
      </c>
      <c r="H446" s="7" t="s">
        <v>693</v>
      </c>
      <c r="I446" s="7" t="s">
        <v>694</v>
      </c>
      <c r="J446" s="7" t="s">
        <v>695</v>
      </c>
      <c r="K446" s="7" t="s">
        <v>696</v>
      </c>
      <c r="L446" s="7" t="s">
        <v>697</v>
      </c>
      <c r="M446" s="7" t="s">
        <v>698</v>
      </c>
      <c r="N446" s="7" t="s">
        <v>699</v>
      </c>
      <c r="O446" s="7" t="s">
        <v>700</v>
      </c>
      <c r="P446" s="7" t="s">
        <v>701</v>
      </c>
      <c r="Q446" s="7" t="s">
        <v>702</v>
      </c>
      <c r="R446" s="7" t="s">
        <v>703</v>
      </c>
      <c r="S446" s="7" t="s">
        <v>704</v>
      </c>
      <c r="T446" s="7" t="s">
        <v>705</v>
      </c>
      <c r="U446" s="7" t="s">
        <v>706</v>
      </c>
      <c r="V446" s="7" t="s">
        <v>707</v>
      </c>
      <c r="W446" s="7" t="s">
        <v>708</v>
      </c>
      <c r="X446" s="7" t="s">
        <v>709</v>
      </c>
      <c r="Y446" s="7" t="s">
        <v>710</v>
      </c>
      <c r="Z446" s="7" t="s">
        <v>711</v>
      </c>
      <c r="AA446" s="7" t="s">
        <v>712</v>
      </c>
      <c r="AB446" s="7" t="s">
        <v>694</v>
      </c>
      <c r="AC446" s="7" t="s">
        <v>713</v>
      </c>
      <c r="AD446" s="7" t="s">
        <v>714</v>
      </c>
      <c r="AE446" s="7" t="s">
        <v>715</v>
      </c>
      <c r="AF446" s="7" t="s">
        <v>716</v>
      </c>
    </row>
    <row r="447" spans="1:44" ht="78" customHeight="1" x14ac:dyDescent="0.4">
      <c r="A447" s="67">
        <v>8720618229236</v>
      </c>
      <c r="B447" t="e">
        <f>_xlfn.XLOOKUP(A447,'Product info'!A:A,'Product info'!C:C,,2)</f>
        <v>#N/A</v>
      </c>
      <c r="C447" s="69" t="s">
        <v>2483</v>
      </c>
      <c r="D447" s="7" t="s">
        <v>2484</v>
      </c>
      <c r="E447" s="7" t="s">
        <v>2485</v>
      </c>
      <c r="F447" s="7" t="s">
        <v>2486</v>
      </c>
      <c r="G447" s="7" t="s">
        <v>2487</v>
      </c>
    </row>
    <row r="448" spans="1:44" ht="78" customHeight="1" x14ac:dyDescent="0.4">
      <c r="A448" s="67">
        <v>8720618229243</v>
      </c>
      <c r="B448" t="e">
        <f>_xlfn.XLOOKUP(A448,'Product info'!A:A,'Product info'!C:C,,2)</f>
        <v>#N/A</v>
      </c>
      <c r="C448" s="69" t="s">
        <v>688</v>
      </c>
      <c r="D448" s="7" t="s">
        <v>689</v>
      </c>
      <c r="E448" s="7" t="s">
        <v>690</v>
      </c>
      <c r="F448" s="7" t="s">
        <v>691</v>
      </c>
      <c r="G448" s="7" t="s">
        <v>692</v>
      </c>
      <c r="H448" s="7" t="s">
        <v>693</v>
      </c>
      <c r="I448" s="7" t="s">
        <v>694</v>
      </c>
      <c r="J448" s="7" t="s">
        <v>695</v>
      </c>
      <c r="K448" s="7" t="s">
        <v>696</v>
      </c>
      <c r="L448" s="7" t="s">
        <v>697</v>
      </c>
      <c r="M448" s="7" t="s">
        <v>698</v>
      </c>
      <c r="N448" s="7" t="s">
        <v>699</v>
      </c>
      <c r="O448" s="7" t="s">
        <v>700</v>
      </c>
      <c r="P448" s="7" t="s">
        <v>701</v>
      </c>
      <c r="Q448" s="7" t="s">
        <v>702</v>
      </c>
      <c r="R448" s="7" t="s">
        <v>703</v>
      </c>
      <c r="S448" s="7" t="s">
        <v>704</v>
      </c>
      <c r="T448" s="7" t="s">
        <v>705</v>
      </c>
      <c r="U448" s="7" t="s">
        <v>706</v>
      </c>
      <c r="V448" s="7" t="s">
        <v>707</v>
      </c>
      <c r="W448" s="7" t="s">
        <v>708</v>
      </c>
      <c r="X448" s="7" t="s">
        <v>709</v>
      </c>
      <c r="Y448" s="7" t="s">
        <v>710</v>
      </c>
      <c r="Z448" s="7" t="s">
        <v>711</v>
      </c>
      <c r="AA448" s="7" t="s">
        <v>712</v>
      </c>
      <c r="AB448" s="7" t="s">
        <v>694</v>
      </c>
      <c r="AC448" s="7" t="s">
        <v>713</v>
      </c>
      <c r="AD448" s="7" t="s">
        <v>714</v>
      </c>
      <c r="AE448" s="7" t="s">
        <v>715</v>
      </c>
      <c r="AF448" s="7" t="s">
        <v>716</v>
      </c>
    </row>
    <row r="449" spans="1:54" ht="78" customHeight="1" x14ac:dyDescent="0.4">
      <c r="A449" s="67">
        <v>8720618229694</v>
      </c>
      <c r="B449" t="e">
        <f>_xlfn.XLOOKUP(A449,'Product info'!A:A,'Product info'!C:C,,2)</f>
        <v>#N/A</v>
      </c>
      <c r="C449" s="69" t="s">
        <v>688</v>
      </c>
      <c r="D449" s="7" t="s">
        <v>689</v>
      </c>
      <c r="E449" s="7" t="s">
        <v>747</v>
      </c>
      <c r="F449" s="7" t="s">
        <v>696</v>
      </c>
      <c r="G449" s="7" t="s">
        <v>773</v>
      </c>
      <c r="H449" s="7" t="s">
        <v>940</v>
      </c>
      <c r="I449" s="7" t="s">
        <v>941</v>
      </c>
      <c r="J449" s="7" t="s">
        <v>942</v>
      </c>
      <c r="K449" s="7" t="s">
        <v>695</v>
      </c>
      <c r="L449" s="7" t="s">
        <v>694</v>
      </c>
      <c r="M449" s="7" t="s">
        <v>1427</v>
      </c>
      <c r="N449" s="7" t="s">
        <v>717</v>
      </c>
      <c r="O449" s="7" t="s">
        <v>718</v>
      </c>
      <c r="P449" s="7" t="s">
        <v>719</v>
      </c>
      <c r="Q449" s="7" t="s">
        <v>720</v>
      </c>
      <c r="R449" s="7" t="s">
        <v>721</v>
      </c>
      <c r="S449" s="7" t="s">
        <v>722</v>
      </c>
    </row>
    <row r="450" spans="1:54" ht="78" customHeight="1" x14ac:dyDescent="0.4">
      <c r="A450" s="67">
        <v>8719992661206</v>
      </c>
      <c r="B450" t="e">
        <f>_xlfn.XLOOKUP(A450,'Product info'!A:A,'Product info'!C:C,,2)</f>
        <v>#N/A</v>
      </c>
      <c r="C450" s="69" t="s">
        <v>688</v>
      </c>
      <c r="D450" s="7" t="s">
        <v>689</v>
      </c>
      <c r="E450" s="7" t="s">
        <v>747</v>
      </c>
      <c r="F450" s="7" t="s">
        <v>696</v>
      </c>
      <c r="G450" s="7" t="s">
        <v>773</v>
      </c>
      <c r="H450" s="7" t="s">
        <v>940</v>
      </c>
      <c r="I450" s="7" t="s">
        <v>941</v>
      </c>
      <c r="J450" s="7" t="s">
        <v>942</v>
      </c>
      <c r="K450" s="7" t="s">
        <v>695</v>
      </c>
      <c r="L450" s="7" t="s">
        <v>694</v>
      </c>
      <c r="M450" s="7" t="s">
        <v>1427</v>
      </c>
    </row>
    <row r="451" spans="1:54" ht="78" customHeight="1" x14ac:dyDescent="0.4">
      <c r="A451" s="67">
        <v>8719992661107</v>
      </c>
      <c r="B451" t="e">
        <f>_xlfn.XLOOKUP(A451,'Product info'!A:A,'Product info'!C:C,,2)</f>
        <v>#N/A</v>
      </c>
      <c r="C451" s="69" t="s">
        <v>2483</v>
      </c>
      <c r="D451" s="7" t="s">
        <v>2484</v>
      </c>
      <c r="E451" s="7" t="s">
        <v>2485</v>
      </c>
      <c r="F451" s="7" t="s">
        <v>2486</v>
      </c>
      <c r="G451" s="7" t="s">
        <v>2487</v>
      </c>
    </row>
    <row r="452" spans="1:54" ht="78" customHeight="1" x14ac:dyDescent="0.4">
      <c r="A452" s="67">
        <v>8720618229892</v>
      </c>
      <c r="B452" t="e">
        <f>_xlfn.XLOOKUP(A452,'Product info'!A:A,'Product info'!C:C,,2)</f>
        <v>#N/A</v>
      </c>
      <c r="C452" s="69" t="s">
        <v>688</v>
      </c>
      <c r="D452" s="7" t="s">
        <v>689</v>
      </c>
      <c r="E452" s="7" t="s">
        <v>747</v>
      </c>
      <c r="F452" s="7" t="s">
        <v>696</v>
      </c>
      <c r="G452" s="7" t="s">
        <v>773</v>
      </c>
      <c r="H452" s="7" t="s">
        <v>940</v>
      </c>
      <c r="I452" s="7" t="s">
        <v>941</v>
      </c>
      <c r="J452" s="7" t="s">
        <v>942</v>
      </c>
      <c r="K452" s="7" t="s">
        <v>695</v>
      </c>
      <c r="L452" s="7" t="s">
        <v>694</v>
      </c>
      <c r="M452" s="7" t="s">
        <v>1427</v>
      </c>
      <c r="N452" s="7" t="s">
        <v>2498</v>
      </c>
      <c r="O452" s="7" t="s">
        <v>2499</v>
      </c>
      <c r="P452" s="7" t="s">
        <v>2500</v>
      </c>
      <c r="Q452" s="7" t="s">
        <v>2501</v>
      </c>
      <c r="R452" s="7" t="s">
        <v>2502</v>
      </c>
      <c r="S452" s="7" t="s">
        <v>2503</v>
      </c>
      <c r="T452" s="7" t="s">
        <v>2504</v>
      </c>
      <c r="U452" s="7" t="s">
        <v>2505</v>
      </c>
      <c r="V452" s="7" t="s">
        <v>2506</v>
      </c>
      <c r="W452" s="7" t="s">
        <v>2507</v>
      </c>
    </row>
    <row r="453" spans="1:54" ht="78" customHeight="1" x14ac:dyDescent="0.4">
      <c r="A453" s="67">
        <v>8720618229908</v>
      </c>
      <c r="B453" t="e">
        <f>_xlfn.XLOOKUP(A453,'Product info'!A:A,'Product info'!C:C,,2)</f>
        <v>#N/A</v>
      </c>
      <c r="C453" s="69" t="s">
        <v>688</v>
      </c>
      <c r="D453" s="7" t="s">
        <v>689</v>
      </c>
      <c r="E453" s="7" t="s">
        <v>747</v>
      </c>
      <c r="F453" s="7" t="s">
        <v>696</v>
      </c>
      <c r="G453" s="7" t="s">
        <v>773</v>
      </c>
      <c r="H453" s="7" t="s">
        <v>940</v>
      </c>
      <c r="I453" s="7" t="s">
        <v>941</v>
      </c>
      <c r="J453" s="7" t="s">
        <v>942</v>
      </c>
      <c r="K453" s="7" t="s">
        <v>695</v>
      </c>
      <c r="L453" s="7" t="s">
        <v>694</v>
      </c>
      <c r="M453" s="7" t="s">
        <v>1427</v>
      </c>
      <c r="N453" s="7" t="s">
        <v>2498</v>
      </c>
      <c r="O453" s="7" t="s">
        <v>2499</v>
      </c>
      <c r="P453" s="7" t="s">
        <v>2500</v>
      </c>
      <c r="Q453" s="7" t="s">
        <v>2501</v>
      </c>
      <c r="R453" s="7" t="s">
        <v>2502</v>
      </c>
      <c r="S453" s="7" t="s">
        <v>2503</v>
      </c>
      <c r="T453" s="7" t="s">
        <v>2504</v>
      </c>
      <c r="U453" s="7" t="s">
        <v>2505</v>
      </c>
      <c r="V453" s="7" t="s">
        <v>2506</v>
      </c>
      <c r="W453" s="7" t="s">
        <v>2507</v>
      </c>
    </row>
    <row r="454" spans="1:54" ht="78" customHeight="1" x14ac:dyDescent="0.4">
      <c r="A454" s="67">
        <v>8720618229946</v>
      </c>
      <c r="B454" t="str">
        <f>_xlfn.XLOOKUP(A454,'Product info'!A:A,'Product info'!C:C,,2)</f>
        <v>Record holder black</v>
      </c>
      <c r="C454" s="69" t="s">
        <v>688</v>
      </c>
      <c r="D454" s="7" t="s">
        <v>689</v>
      </c>
      <c r="E454" s="7" t="s">
        <v>690</v>
      </c>
      <c r="F454" s="7" t="s">
        <v>691</v>
      </c>
      <c r="G454" s="7" t="s">
        <v>692</v>
      </c>
      <c r="H454" s="7" t="s">
        <v>693</v>
      </c>
      <c r="I454" s="7" t="s">
        <v>694</v>
      </c>
      <c r="J454" s="7" t="s">
        <v>695</v>
      </c>
      <c r="K454" s="7" t="s">
        <v>696</v>
      </c>
      <c r="L454" s="7" t="s">
        <v>697</v>
      </c>
      <c r="M454" s="7" t="s">
        <v>698</v>
      </c>
      <c r="N454" s="7" t="s">
        <v>699</v>
      </c>
      <c r="O454" s="7" t="s">
        <v>700</v>
      </c>
      <c r="P454" s="7" t="s">
        <v>701</v>
      </c>
      <c r="Q454" s="7" t="s">
        <v>702</v>
      </c>
      <c r="R454" s="7" t="s">
        <v>703</v>
      </c>
      <c r="S454" s="7" t="s">
        <v>704</v>
      </c>
      <c r="T454" s="7" t="s">
        <v>705</v>
      </c>
      <c r="U454" s="7" t="s">
        <v>706</v>
      </c>
      <c r="V454" s="7" t="s">
        <v>707</v>
      </c>
      <c r="W454" s="7" t="s">
        <v>708</v>
      </c>
      <c r="X454" s="7" t="s">
        <v>709</v>
      </c>
      <c r="Y454" s="7" t="s">
        <v>710</v>
      </c>
      <c r="Z454" s="7" t="s">
        <v>711</v>
      </c>
      <c r="AA454" s="7" t="s">
        <v>712</v>
      </c>
      <c r="AB454" s="7" t="s">
        <v>694</v>
      </c>
      <c r="AC454" s="7" t="s">
        <v>713</v>
      </c>
      <c r="AD454" s="7" t="s">
        <v>714</v>
      </c>
      <c r="AE454" s="7" t="s">
        <v>715</v>
      </c>
      <c r="AF454" s="7" t="s">
        <v>716</v>
      </c>
    </row>
    <row r="455" spans="1:54" ht="78" customHeight="1" x14ac:dyDescent="0.4">
      <c r="A455" s="67">
        <v>8720618229953</v>
      </c>
      <c r="B455" t="str">
        <f>_xlfn.XLOOKUP(A455,'Product info'!A:A,'Product info'!C:C,,2)</f>
        <v>Record holder light</v>
      </c>
      <c r="C455" s="69" t="s">
        <v>688</v>
      </c>
      <c r="D455" s="7" t="s">
        <v>689</v>
      </c>
      <c r="E455" s="7" t="s">
        <v>690</v>
      </c>
      <c r="F455" s="7" t="s">
        <v>691</v>
      </c>
      <c r="G455" s="7" t="s">
        <v>692</v>
      </c>
      <c r="H455" s="7" t="s">
        <v>693</v>
      </c>
      <c r="I455" s="7" t="s">
        <v>694</v>
      </c>
      <c r="J455" s="7" t="s">
        <v>695</v>
      </c>
      <c r="K455" s="7" t="s">
        <v>696</v>
      </c>
      <c r="L455" s="7" t="s">
        <v>697</v>
      </c>
      <c r="M455" s="7" t="s">
        <v>698</v>
      </c>
      <c r="N455" s="7" t="s">
        <v>699</v>
      </c>
      <c r="O455" s="7" t="s">
        <v>700</v>
      </c>
      <c r="P455" s="7" t="s">
        <v>701</v>
      </c>
      <c r="Q455" s="7" t="s">
        <v>702</v>
      </c>
      <c r="R455" s="7" t="s">
        <v>703</v>
      </c>
      <c r="S455" s="7" t="s">
        <v>704</v>
      </c>
      <c r="T455" s="7" t="s">
        <v>705</v>
      </c>
      <c r="U455" s="7" t="s">
        <v>706</v>
      </c>
      <c r="V455" s="7" t="s">
        <v>707</v>
      </c>
      <c r="W455" s="7" t="s">
        <v>708</v>
      </c>
      <c r="X455" s="7" t="s">
        <v>709</v>
      </c>
      <c r="Y455" s="7" t="s">
        <v>710</v>
      </c>
      <c r="Z455" s="7" t="s">
        <v>711</v>
      </c>
      <c r="AA455" s="7" t="s">
        <v>712</v>
      </c>
      <c r="AB455" s="7" t="s">
        <v>694</v>
      </c>
      <c r="AC455" s="7" t="s">
        <v>713</v>
      </c>
      <c r="AD455" s="7" t="s">
        <v>714</v>
      </c>
      <c r="AE455" s="7" t="s">
        <v>715</v>
      </c>
      <c r="AF455" s="7" t="s">
        <v>716</v>
      </c>
    </row>
    <row r="456" spans="1:54" ht="78" customHeight="1" x14ac:dyDescent="0.4">
      <c r="A456" s="67">
        <v>8719992661466</v>
      </c>
      <c r="B456" t="e">
        <f>_xlfn.XLOOKUP(A456,'Product info'!A:A,'Product info'!C:C,,2)</f>
        <v>#N/A</v>
      </c>
      <c r="C456" s="69" t="s">
        <v>2491</v>
      </c>
      <c r="D456" s="7" t="s">
        <v>2492</v>
      </c>
      <c r="E456" s="7" t="s">
        <v>2493</v>
      </c>
      <c r="F456" s="7" t="s">
        <v>2494</v>
      </c>
      <c r="G456" s="7" t="s">
        <v>2495</v>
      </c>
      <c r="H456" s="7" t="s">
        <v>2496</v>
      </c>
      <c r="I456" s="7" t="s">
        <v>2497</v>
      </c>
      <c r="J456" s="7" t="s">
        <v>688</v>
      </c>
      <c r="K456" s="7" t="s">
        <v>689</v>
      </c>
      <c r="L456" s="7" t="s">
        <v>2508</v>
      </c>
      <c r="M456" s="7" t="s">
        <v>2491</v>
      </c>
      <c r="N456" s="7" t="s">
        <v>2492</v>
      </c>
      <c r="O456" s="7" t="s">
        <v>2493</v>
      </c>
      <c r="P456" s="7" t="s">
        <v>2494</v>
      </c>
      <c r="Q456" s="7" t="s">
        <v>2495</v>
      </c>
      <c r="R456" s="7" t="s">
        <v>2496</v>
      </c>
      <c r="S456" s="7" t="s">
        <v>2497</v>
      </c>
      <c r="T456" s="7" t="s">
        <v>2509</v>
      </c>
    </row>
    <row r="457" spans="1:54" ht="78" customHeight="1" x14ac:dyDescent="0.4">
      <c r="A457" s="67">
        <v>8719992661459</v>
      </c>
      <c r="B457" t="e">
        <f>_xlfn.XLOOKUP(A457,'Product info'!A:A,'Product info'!C:C,,2)</f>
        <v>#N/A</v>
      </c>
      <c r="C457" s="69" t="s">
        <v>688</v>
      </c>
      <c r="D457" s="7" t="s">
        <v>689</v>
      </c>
      <c r="E457" s="7" t="s">
        <v>690</v>
      </c>
      <c r="F457" s="7" t="s">
        <v>691</v>
      </c>
      <c r="G457" s="7" t="s">
        <v>692</v>
      </c>
      <c r="H457" s="7" t="s">
        <v>693</v>
      </c>
      <c r="I457" s="7" t="s">
        <v>694</v>
      </c>
      <c r="J457" s="7" t="s">
        <v>695</v>
      </c>
      <c r="K457" s="7" t="s">
        <v>696</v>
      </c>
      <c r="L457" s="7" t="s">
        <v>697</v>
      </c>
      <c r="M457" s="7" t="s">
        <v>698</v>
      </c>
      <c r="N457" s="7" t="s">
        <v>699</v>
      </c>
      <c r="O457" s="7" t="s">
        <v>700</v>
      </c>
      <c r="P457" s="7" t="s">
        <v>701</v>
      </c>
      <c r="Q457" s="7" t="s">
        <v>702</v>
      </c>
      <c r="R457" s="7" t="s">
        <v>703</v>
      </c>
      <c r="S457" s="7" t="s">
        <v>704</v>
      </c>
      <c r="T457" s="7" t="s">
        <v>705</v>
      </c>
      <c r="U457" s="7" t="s">
        <v>706</v>
      </c>
      <c r="V457" s="7" t="s">
        <v>707</v>
      </c>
      <c r="W457" s="7" t="s">
        <v>708</v>
      </c>
      <c r="X457" s="7" t="s">
        <v>709</v>
      </c>
      <c r="Y457" s="7" t="s">
        <v>710</v>
      </c>
      <c r="Z457" s="7" t="s">
        <v>711</v>
      </c>
      <c r="AA457" s="7" t="s">
        <v>712</v>
      </c>
      <c r="AB457" s="7" t="s">
        <v>694</v>
      </c>
      <c r="AC457" s="7" t="s">
        <v>713</v>
      </c>
      <c r="AD457" s="7" t="s">
        <v>714</v>
      </c>
      <c r="AE457" s="7" t="s">
        <v>715</v>
      </c>
      <c r="AF457" s="7" t="s">
        <v>716</v>
      </c>
      <c r="AG457" s="7" t="s">
        <v>2491</v>
      </c>
      <c r="AH457" s="7" t="s">
        <v>2492</v>
      </c>
      <c r="AI457" s="7" t="s">
        <v>2493</v>
      </c>
      <c r="AJ457" s="7" t="s">
        <v>2494</v>
      </c>
      <c r="AK457" s="7" t="s">
        <v>2495</v>
      </c>
      <c r="AL457" s="7" t="s">
        <v>2496</v>
      </c>
      <c r="AM457" s="7" t="s">
        <v>2497</v>
      </c>
      <c r="AN457" s="7" t="s">
        <v>688</v>
      </c>
      <c r="AO457" s="7" t="s">
        <v>689</v>
      </c>
      <c r="AP457" s="7" t="s">
        <v>2509</v>
      </c>
    </row>
    <row r="458" spans="1:54" ht="78" customHeight="1" x14ac:dyDescent="0.4">
      <c r="A458" s="67">
        <v>8719992661473</v>
      </c>
      <c r="B458" t="e">
        <f>_xlfn.XLOOKUP(A458,'Product info'!A:A,'Product info'!C:C,,2)</f>
        <v>#N/A</v>
      </c>
      <c r="C458" s="69" t="s">
        <v>2491</v>
      </c>
      <c r="D458" s="7" t="s">
        <v>2492</v>
      </c>
      <c r="E458" s="7" t="s">
        <v>2493</v>
      </c>
      <c r="F458" s="7" t="s">
        <v>2494</v>
      </c>
      <c r="G458" s="7" t="s">
        <v>2495</v>
      </c>
      <c r="H458" s="7" t="s">
        <v>2496</v>
      </c>
      <c r="I458" s="7" t="s">
        <v>2497</v>
      </c>
      <c r="J458" s="7" t="s">
        <v>2509</v>
      </c>
    </row>
    <row r="459" spans="1:54" ht="78" customHeight="1" x14ac:dyDescent="0.4">
      <c r="A459" s="67">
        <v>8721001270231</v>
      </c>
      <c r="B459" t="e">
        <f>_xlfn.XLOOKUP(A459,'Product info'!A:A,'Product info'!C:C,,2)</f>
        <v>#N/A</v>
      </c>
      <c r="C459" s="69" t="s">
        <v>688</v>
      </c>
      <c r="D459" s="7" t="s">
        <v>689</v>
      </c>
      <c r="E459" s="7" t="s">
        <v>747</v>
      </c>
      <c r="F459" s="7" t="s">
        <v>696</v>
      </c>
      <c r="G459" s="7" t="s">
        <v>773</v>
      </c>
      <c r="H459" s="7" t="s">
        <v>2510</v>
      </c>
      <c r="I459" s="7" t="s">
        <v>2511</v>
      </c>
      <c r="J459" s="7" t="s">
        <v>2512</v>
      </c>
      <c r="K459" s="7" t="s">
        <v>2513</v>
      </c>
      <c r="L459" s="7" t="s">
        <v>2514</v>
      </c>
      <c r="M459" s="7" t="s">
        <v>2515</v>
      </c>
      <c r="N459" s="7" t="s">
        <v>688</v>
      </c>
      <c r="O459" s="7" t="s">
        <v>689</v>
      </c>
      <c r="P459" s="7" t="s">
        <v>690</v>
      </c>
      <c r="Q459" s="7" t="s">
        <v>691</v>
      </c>
      <c r="R459" s="7" t="s">
        <v>692</v>
      </c>
      <c r="S459" s="7" t="s">
        <v>693</v>
      </c>
      <c r="T459" s="7" t="s">
        <v>694</v>
      </c>
      <c r="U459" s="7" t="s">
        <v>695</v>
      </c>
      <c r="V459" s="7" t="s">
        <v>696</v>
      </c>
      <c r="W459" s="7" t="s">
        <v>697</v>
      </c>
      <c r="X459" s="7" t="s">
        <v>698</v>
      </c>
      <c r="Y459" s="7" t="s">
        <v>699</v>
      </c>
      <c r="Z459" s="7" t="s">
        <v>700</v>
      </c>
      <c r="AA459" s="7" t="s">
        <v>701</v>
      </c>
      <c r="AB459" s="7" t="s">
        <v>702</v>
      </c>
      <c r="AC459" s="7" t="s">
        <v>703</v>
      </c>
      <c r="AD459" s="7" t="s">
        <v>704</v>
      </c>
      <c r="AE459" s="7" t="s">
        <v>705</v>
      </c>
      <c r="AF459" s="7" t="s">
        <v>706</v>
      </c>
      <c r="AG459" s="7" t="s">
        <v>707</v>
      </c>
      <c r="AH459" s="7" t="s">
        <v>708</v>
      </c>
      <c r="AI459" s="7" t="s">
        <v>709</v>
      </c>
      <c r="AJ459" s="7" t="s">
        <v>710</v>
      </c>
      <c r="AK459" s="7" t="s">
        <v>711</v>
      </c>
      <c r="AL459" s="7" t="s">
        <v>712</v>
      </c>
      <c r="AM459" s="7" t="s">
        <v>694</v>
      </c>
      <c r="AN459" s="7" t="s">
        <v>713</v>
      </c>
      <c r="AO459" s="7" t="s">
        <v>714</v>
      </c>
      <c r="AP459" s="7" t="s">
        <v>715</v>
      </c>
      <c r="AQ459" s="7" t="s">
        <v>716</v>
      </c>
      <c r="AR459" s="7" t="s">
        <v>688</v>
      </c>
      <c r="AS459" s="7" t="s">
        <v>689</v>
      </c>
      <c r="AT459" s="7" t="s">
        <v>747</v>
      </c>
      <c r="AU459" s="7" t="s">
        <v>696</v>
      </c>
      <c r="AV459" s="7" t="s">
        <v>773</v>
      </c>
      <c r="AW459" s="7" t="s">
        <v>2510</v>
      </c>
      <c r="AX459" s="7" t="s">
        <v>2511</v>
      </c>
      <c r="AY459" s="7" t="s">
        <v>2512</v>
      </c>
      <c r="AZ459" s="7" t="s">
        <v>2513</v>
      </c>
      <c r="BA459" s="7" t="s">
        <v>2514</v>
      </c>
      <c r="BB459" s="7" t="s">
        <v>2515</v>
      </c>
    </row>
    <row r="460" spans="1:54" ht="78" customHeight="1" x14ac:dyDescent="0.4">
      <c r="A460" s="67">
        <v>8721001270248</v>
      </c>
      <c r="B460" t="e">
        <f>_xlfn.XLOOKUP(A460,'Product info'!A:A,'Product info'!C:C,,2)</f>
        <v>#N/A</v>
      </c>
      <c r="C460" s="69" t="s">
        <v>688</v>
      </c>
      <c r="D460" s="7" t="s">
        <v>689</v>
      </c>
      <c r="E460" s="7" t="s">
        <v>747</v>
      </c>
      <c r="F460" s="7" t="s">
        <v>696</v>
      </c>
      <c r="G460" s="7" t="s">
        <v>773</v>
      </c>
      <c r="H460" s="7" t="s">
        <v>2510</v>
      </c>
      <c r="I460" s="7" t="s">
        <v>2511</v>
      </c>
      <c r="J460" s="7" t="s">
        <v>2512</v>
      </c>
      <c r="K460" s="7" t="s">
        <v>2513</v>
      </c>
      <c r="L460" s="7" t="s">
        <v>2514</v>
      </c>
      <c r="M460" s="7" t="s">
        <v>2515</v>
      </c>
      <c r="N460" s="7" t="s">
        <v>688</v>
      </c>
      <c r="O460" s="7" t="s">
        <v>689</v>
      </c>
      <c r="P460" s="7" t="s">
        <v>690</v>
      </c>
      <c r="Q460" s="7" t="s">
        <v>691</v>
      </c>
      <c r="R460" s="7" t="s">
        <v>692</v>
      </c>
      <c r="S460" s="7" t="s">
        <v>693</v>
      </c>
      <c r="T460" s="7" t="s">
        <v>694</v>
      </c>
      <c r="U460" s="7" t="s">
        <v>695</v>
      </c>
      <c r="V460" s="7" t="s">
        <v>696</v>
      </c>
      <c r="W460" s="7" t="s">
        <v>697</v>
      </c>
      <c r="X460" s="7" t="s">
        <v>698</v>
      </c>
      <c r="Y460" s="7" t="s">
        <v>699</v>
      </c>
      <c r="Z460" s="7" t="s">
        <v>700</v>
      </c>
      <c r="AA460" s="7" t="s">
        <v>701</v>
      </c>
      <c r="AB460" s="7" t="s">
        <v>702</v>
      </c>
      <c r="AC460" s="7" t="s">
        <v>703</v>
      </c>
      <c r="AD460" s="7" t="s">
        <v>704</v>
      </c>
      <c r="AE460" s="7" t="s">
        <v>705</v>
      </c>
      <c r="AF460" s="7" t="s">
        <v>706</v>
      </c>
      <c r="AG460" s="7" t="s">
        <v>707</v>
      </c>
      <c r="AH460" s="7" t="s">
        <v>708</v>
      </c>
      <c r="AI460" s="7" t="s">
        <v>709</v>
      </c>
      <c r="AJ460" s="7" t="s">
        <v>710</v>
      </c>
      <c r="AK460" s="7" t="s">
        <v>711</v>
      </c>
      <c r="AL460" s="7" t="s">
        <v>712</v>
      </c>
      <c r="AM460" s="7" t="s">
        <v>694</v>
      </c>
      <c r="AN460" s="7" t="s">
        <v>713</v>
      </c>
      <c r="AO460" s="7" t="s">
        <v>714</v>
      </c>
      <c r="AP460" s="7" t="s">
        <v>715</v>
      </c>
      <c r="AQ460" s="7" t="s">
        <v>716</v>
      </c>
    </row>
    <row r="461" spans="1:54" ht="78" customHeight="1" x14ac:dyDescent="0.4">
      <c r="A461" s="67">
        <v>8721001270224</v>
      </c>
      <c r="B461" t="e">
        <f>_xlfn.XLOOKUP(A461,'Product info'!A:A,'Product info'!C:C,,2)</f>
        <v>#N/A</v>
      </c>
      <c r="C461" s="69" t="s">
        <v>688</v>
      </c>
      <c r="D461" s="7" t="s">
        <v>689</v>
      </c>
      <c r="E461" s="7" t="s">
        <v>690</v>
      </c>
      <c r="F461" s="7" t="s">
        <v>691</v>
      </c>
      <c r="G461" s="7" t="s">
        <v>692</v>
      </c>
      <c r="H461" s="7" t="s">
        <v>693</v>
      </c>
      <c r="I461" s="7" t="s">
        <v>694</v>
      </c>
      <c r="J461" s="7" t="s">
        <v>695</v>
      </c>
      <c r="K461" s="7" t="s">
        <v>696</v>
      </c>
      <c r="L461" s="7" t="s">
        <v>697</v>
      </c>
      <c r="M461" s="7" t="s">
        <v>698</v>
      </c>
      <c r="N461" s="7" t="s">
        <v>699</v>
      </c>
      <c r="O461" s="7" t="s">
        <v>700</v>
      </c>
      <c r="P461" s="7" t="s">
        <v>701</v>
      </c>
      <c r="Q461" s="7" t="s">
        <v>702</v>
      </c>
      <c r="R461" s="7" t="s">
        <v>703</v>
      </c>
      <c r="S461" s="7" t="s">
        <v>704</v>
      </c>
      <c r="T461" s="7" t="s">
        <v>705</v>
      </c>
      <c r="U461" s="7" t="s">
        <v>706</v>
      </c>
      <c r="V461" s="7" t="s">
        <v>707</v>
      </c>
      <c r="W461" s="7" t="s">
        <v>708</v>
      </c>
      <c r="X461" s="7" t="s">
        <v>709</v>
      </c>
      <c r="Y461" s="7" t="s">
        <v>710</v>
      </c>
      <c r="Z461" s="7" t="s">
        <v>711</v>
      </c>
      <c r="AA461" s="7" t="s">
        <v>712</v>
      </c>
      <c r="AB461" s="7" t="s">
        <v>694</v>
      </c>
      <c r="AC461" s="7" t="s">
        <v>713</v>
      </c>
      <c r="AD461" s="7" t="s">
        <v>714</v>
      </c>
      <c r="AE461" s="7" t="s">
        <v>715</v>
      </c>
      <c r="AF461" s="7" t="s">
        <v>716</v>
      </c>
      <c r="AG461" s="7" t="s">
        <v>688</v>
      </c>
      <c r="AH461" s="7" t="s">
        <v>689</v>
      </c>
      <c r="AI461" s="7" t="s">
        <v>747</v>
      </c>
      <c r="AJ461" s="7" t="s">
        <v>696</v>
      </c>
      <c r="AK461" s="7" t="s">
        <v>773</v>
      </c>
      <c r="AL461" s="7" t="s">
        <v>2510</v>
      </c>
      <c r="AM461" s="7" t="s">
        <v>2511</v>
      </c>
      <c r="AN461" s="7" t="s">
        <v>2512</v>
      </c>
      <c r="AO461" s="7" t="s">
        <v>2513</v>
      </c>
      <c r="AP461" s="7" t="s">
        <v>2514</v>
      </c>
      <c r="AQ461" s="7" t="s">
        <v>2515</v>
      </c>
    </row>
    <row r="462" spans="1:54" ht="78" customHeight="1" x14ac:dyDescent="0.4">
      <c r="A462" s="67">
        <v>8719992661824</v>
      </c>
      <c r="B462" t="e">
        <f>_xlfn.XLOOKUP(A462,'Product info'!A:A,'Product info'!C:C,,2)</f>
        <v>#N/A</v>
      </c>
      <c r="C462" s="69" t="s">
        <v>688</v>
      </c>
      <c r="D462" s="7" t="s">
        <v>689</v>
      </c>
      <c r="E462" s="7" t="s">
        <v>690</v>
      </c>
      <c r="F462" s="7" t="s">
        <v>691</v>
      </c>
      <c r="G462" s="7" t="s">
        <v>692</v>
      </c>
      <c r="H462" s="7" t="s">
        <v>693</v>
      </c>
      <c r="I462" s="7" t="s">
        <v>694</v>
      </c>
      <c r="J462" s="7" t="s">
        <v>695</v>
      </c>
      <c r="K462" s="7" t="s">
        <v>696</v>
      </c>
      <c r="L462" s="7" t="s">
        <v>697</v>
      </c>
      <c r="M462" s="7" t="s">
        <v>698</v>
      </c>
      <c r="N462" s="7" t="s">
        <v>699</v>
      </c>
      <c r="O462" s="7" t="s">
        <v>700</v>
      </c>
      <c r="P462" s="7" t="s">
        <v>701</v>
      </c>
      <c r="Q462" s="7" t="s">
        <v>702</v>
      </c>
      <c r="R462" s="7" t="s">
        <v>703</v>
      </c>
      <c r="S462" s="7" t="s">
        <v>704</v>
      </c>
      <c r="T462" s="7" t="s">
        <v>705</v>
      </c>
      <c r="U462" s="7" t="s">
        <v>706</v>
      </c>
      <c r="V462" s="7" t="s">
        <v>707</v>
      </c>
      <c r="W462" s="7" t="s">
        <v>708</v>
      </c>
      <c r="X462" s="7" t="s">
        <v>709</v>
      </c>
      <c r="Y462" s="7" t="s">
        <v>710</v>
      </c>
      <c r="Z462" s="7" t="s">
        <v>711</v>
      </c>
      <c r="AA462" s="7" t="s">
        <v>712</v>
      </c>
      <c r="AB462" s="7" t="s">
        <v>694</v>
      </c>
      <c r="AC462" s="7" t="s">
        <v>713</v>
      </c>
      <c r="AD462" s="7" t="s">
        <v>714</v>
      </c>
      <c r="AE462" s="7" t="s">
        <v>715</v>
      </c>
      <c r="AF462" s="7" t="s">
        <v>716</v>
      </c>
      <c r="AG462" s="7" t="s">
        <v>1218</v>
      </c>
      <c r="AH462" s="7" t="s">
        <v>1219</v>
      </c>
      <c r="AI462" s="7" t="s">
        <v>1220</v>
      </c>
      <c r="AJ462" s="7" t="s">
        <v>1221</v>
      </c>
      <c r="AK462" s="7" t="s">
        <v>1222</v>
      </c>
      <c r="AL462" s="7" t="s">
        <v>1223</v>
      </c>
    </row>
    <row r="463" spans="1:54" ht="78" customHeight="1" x14ac:dyDescent="0.4">
      <c r="A463" s="67">
        <v>8720618229939</v>
      </c>
      <c r="B463" t="e">
        <f>_xlfn.XLOOKUP(A463,'Product info'!A:A,'Product info'!C:C,,2)</f>
        <v>#N/A</v>
      </c>
      <c r="C463" s="69" t="s">
        <v>688</v>
      </c>
      <c r="D463" s="7" t="s">
        <v>689</v>
      </c>
      <c r="E463" s="7" t="s">
        <v>690</v>
      </c>
      <c r="F463" s="7" t="s">
        <v>691</v>
      </c>
      <c r="G463" s="7" t="s">
        <v>692</v>
      </c>
      <c r="H463" s="7" t="s">
        <v>693</v>
      </c>
      <c r="I463" s="7" t="s">
        <v>694</v>
      </c>
      <c r="J463" s="7" t="s">
        <v>695</v>
      </c>
      <c r="K463" s="7" t="s">
        <v>696</v>
      </c>
      <c r="L463" s="7" t="s">
        <v>697</v>
      </c>
      <c r="M463" s="7" t="s">
        <v>698</v>
      </c>
      <c r="N463" s="7" t="s">
        <v>699</v>
      </c>
      <c r="O463" s="7" t="s">
        <v>700</v>
      </c>
      <c r="P463" s="7" t="s">
        <v>701</v>
      </c>
      <c r="Q463" s="7" t="s">
        <v>702</v>
      </c>
      <c r="R463" s="7" t="s">
        <v>703</v>
      </c>
      <c r="S463" s="7" t="s">
        <v>704</v>
      </c>
      <c r="T463" s="7" t="s">
        <v>705</v>
      </c>
      <c r="U463" s="7" t="s">
        <v>706</v>
      </c>
      <c r="V463" s="7" t="s">
        <v>707</v>
      </c>
      <c r="W463" s="7" t="s">
        <v>708</v>
      </c>
      <c r="X463" s="7" t="s">
        <v>709</v>
      </c>
      <c r="Y463" s="7" t="s">
        <v>710</v>
      </c>
      <c r="Z463" s="7" t="s">
        <v>711</v>
      </c>
      <c r="AA463" s="7" t="s">
        <v>712</v>
      </c>
      <c r="AB463" s="7" t="s">
        <v>694</v>
      </c>
      <c r="AC463" s="7" t="s">
        <v>713</v>
      </c>
      <c r="AD463" s="7" t="s">
        <v>714</v>
      </c>
      <c r="AE463" s="7" t="s">
        <v>715</v>
      </c>
      <c r="AF463" s="7" t="s">
        <v>716</v>
      </c>
      <c r="AG463" s="7" t="s">
        <v>1218</v>
      </c>
      <c r="AH463" s="7" t="s">
        <v>1219</v>
      </c>
      <c r="AI463" s="7" t="s">
        <v>1220</v>
      </c>
      <c r="AJ463" s="7" t="s">
        <v>1221</v>
      </c>
      <c r="AK463" s="7" t="s">
        <v>1222</v>
      </c>
      <c r="AL463" s="7" t="s">
        <v>1223</v>
      </c>
    </row>
    <row r="464" spans="1:54" ht="78" customHeight="1" x14ac:dyDescent="0.4">
      <c r="A464" s="67">
        <v>8721001270217</v>
      </c>
      <c r="B464" t="e">
        <f>_xlfn.XLOOKUP(A464,'Product info'!A:A,'Product info'!C:C,,2)</f>
        <v>#N/A</v>
      </c>
      <c r="C464" s="69" t="s">
        <v>688</v>
      </c>
      <c r="D464" s="7" t="s">
        <v>689</v>
      </c>
      <c r="E464" s="7" t="s">
        <v>690</v>
      </c>
      <c r="F464" s="7" t="s">
        <v>691</v>
      </c>
      <c r="G464" s="7" t="s">
        <v>692</v>
      </c>
      <c r="H464" s="7" t="s">
        <v>693</v>
      </c>
      <c r="I464" s="7" t="s">
        <v>694</v>
      </c>
      <c r="J464" s="7" t="s">
        <v>695</v>
      </c>
      <c r="K464" s="7" t="s">
        <v>696</v>
      </c>
      <c r="L464" s="7" t="s">
        <v>697</v>
      </c>
      <c r="M464" s="7" t="s">
        <v>698</v>
      </c>
      <c r="N464" s="7" t="s">
        <v>699</v>
      </c>
      <c r="O464" s="7" t="s">
        <v>700</v>
      </c>
      <c r="P464" s="7" t="s">
        <v>701</v>
      </c>
      <c r="Q464" s="7" t="s">
        <v>702</v>
      </c>
      <c r="R464" s="7" t="s">
        <v>703</v>
      </c>
      <c r="S464" s="7" t="s">
        <v>704</v>
      </c>
      <c r="T464" s="7" t="s">
        <v>705</v>
      </c>
      <c r="U464" s="7" t="s">
        <v>706</v>
      </c>
      <c r="V464" s="7" t="s">
        <v>707</v>
      </c>
      <c r="W464" s="7" t="s">
        <v>708</v>
      </c>
      <c r="X464" s="7" t="s">
        <v>709</v>
      </c>
      <c r="Y464" s="7" t="s">
        <v>710</v>
      </c>
      <c r="Z464" s="7" t="s">
        <v>711</v>
      </c>
      <c r="AA464" s="7" t="s">
        <v>712</v>
      </c>
      <c r="AB464" s="7" t="s">
        <v>694</v>
      </c>
      <c r="AC464" s="7" t="s">
        <v>713</v>
      </c>
      <c r="AD464" s="7" t="s">
        <v>714</v>
      </c>
      <c r="AE464" s="7" t="s">
        <v>715</v>
      </c>
      <c r="AF464" s="7" t="s">
        <v>716</v>
      </c>
      <c r="AG464" s="7" t="s">
        <v>1218</v>
      </c>
      <c r="AH464" s="7" t="s">
        <v>1219</v>
      </c>
      <c r="AI464" s="7" t="s">
        <v>1220</v>
      </c>
      <c r="AJ464" s="7" t="s">
        <v>1221</v>
      </c>
      <c r="AK464" s="7" t="s">
        <v>1222</v>
      </c>
      <c r="AL464" s="7" t="s">
        <v>1223</v>
      </c>
    </row>
    <row r="465" spans="1:55" ht="78" customHeight="1" x14ac:dyDescent="0.4">
      <c r="A465" s="67">
        <v>8721001271733</v>
      </c>
      <c r="B465" t="e">
        <f>_xlfn.XLOOKUP(A465,'Product info'!A:A,'Product info'!C:C,,2)</f>
        <v>#N/A</v>
      </c>
      <c r="C465" s="69" t="s">
        <v>688</v>
      </c>
      <c r="D465" s="7" t="s">
        <v>689</v>
      </c>
      <c r="E465" s="7" t="s">
        <v>747</v>
      </c>
      <c r="F465" s="7" t="s">
        <v>696</v>
      </c>
      <c r="G465" s="7" t="s">
        <v>773</v>
      </c>
      <c r="H465" s="7" t="s">
        <v>940</v>
      </c>
      <c r="I465" s="7" t="s">
        <v>941</v>
      </c>
      <c r="J465" s="7" t="s">
        <v>942</v>
      </c>
      <c r="K465" s="7" t="s">
        <v>1110</v>
      </c>
      <c r="L465" s="7" t="s">
        <v>1191</v>
      </c>
      <c r="M465" s="7" t="s">
        <v>1112</v>
      </c>
      <c r="N465" s="7" t="s">
        <v>1113</v>
      </c>
      <c r="O465" s="7" t="s">
        <v>1192</v>
      </c>
      <c r="P465" s="7" t="s">
        <v>1115</v>
      </c>
      <c r="Q465" s="7" t="s">
        <v>1193</v>
      </c>
      <c r="R465" s="7" t="s">
        <v>1117</v>
      </c>
    </row>
    <row r="466" spans="1:55" ht="78" customHeight="1" x14ac:dyDescent="0.4">
      <c r="A466" s="67">
        <v>8721001271610</v>
      </c>
      <c r="B466" t="e">
        <f>_xlfn.XLOOKUP(A466,'Product info'!A:A,'Product info'!C:C,,2)</f>
        <v>#N/A</v>
      </c>
      <c r="C466" s="69" t="s">
        <v>688</v>
      </c>
      <c r="D466" s="7" t="s">
        <v>689</v>
      </c>
      <c r="E466" s="7" t="s">
        <v>747</v>
      </c>
      <c r="F466" s="7" t="s">
        <v>696</v>
      </c>
      <c r="G466" s="7" t="s">
        <v>773</v>
      </c>
      <c r="H466" s="7" t="s">
        <v>940</v>
      </c>
      <c r="I466" s="7" t="s">
        <v>941</v>
      </c>
      <c r="J466" s="7" t="s">
        <v>942</v>
      </c>
      <c r="K466" s="7" t="s">
        <v>695</v>
      </c>
      <c r="L466" s="7" t="s">
        <v>694</v>
      </c>
      <c r="M466" s="7" t="s">
        <v>1427</v>
      </c>
      <c r="N466" s="7" t="s">
        <v>688</v>
      </c>
      <c r="O466" s="7" t="s">
        <v>689</v>
      </c>
      <c r="P466" s="7" t="s">
        <v>747</v>
      </c>
      <c r="Q466" s="7" t="s">
        <v>696</v>
      </c>
      <c r="R466" s="7" t="s">
        <v>773</v>
      </c>
      <c r="S466" s="7" t="s">
        <v>2083</v>
      </c>
      <c r="T466" s="7" t="s">
        <v>2331</v>
      </c>
      <c r="U466" s="7" t="s">
        <v>2332</v>
      </c>
      <c r="V466" s="7" t="s">
        <v>2333</v>
      </c>
      <c r="W466" s="7" t="s">
        <v>2334</v>
      </c>
      <c r="X466" s="7" t="s">
        <v>2335</v>
      </c>
      <c r="Y466" s="7" t="s">
        <v>2336</v>
      </c>
      <c r="Z466" s="7" t="s">
        <v>2337</v>
      </c>
      <c r="AA466" s="7" t="s">
        <v>2516</v>
      </c>
      <c r="AB466" s="7" t="s">
        <v>2517</v>
      </c>
      <c r="AC466" s="7" t="s">
        <v>2340</v>
      </c>
      <c r="AD466" s="7" t="s">
        <v>2341</v>
      </c>
      <c r="AE466" s="7" t="s">
        <v>2342</v>
      </c>
      <c r="AF466" s="7" t="s">
        <v>2343</v>
      </c>
      <c r="AG466" s="7" t="s">
        <v>2344</v>
      </c>
      <c r="AH466" s="7" t="s">
        <v>2345</v>
      </c>
      <c r="AI466" s="7" t="s">
        <v>2346</v>
      </c>
    </row>
    <row r="467" spans="1:55" ht="78" customHeight="1" x14ac:dyDescent="0.4">
      <c r="A467" s="67">
        <v>8721001271634</v>
      </c>
      <c r="B467" t="e">
        <f>_xlfn.XLOOKUP(A467,'Product info'!A:A,'Product info'!C:C,,2)</f>
        <v>#N/A</v>
      </c>
      <c r="C467" s="69" t="s">
        <v>688</v>
      </c>
      <c r="D467" s="7" t="s">
        <v>689</v>
      </c>
      <c r="E467" s="7" t="s">
        <v>747</v>
      </c>
      <c r="F467" s="7" t="s">
        <v>696</v>
      </c>
      <c r="G467" s="7" t="s">
        <v>773</v>
      </c>
      <c r="H467" s="7" t="s">
        <v>940</v>
      </c>
      <c r="I467" s="7" t="s">
        <v>941</v>
      </c>
      <c r="J467" s="7" t="s">
        <v>942</v>
      </c>
      <c r="K467" s="7" t="s">
        <v>695</v>
      </c>
      <c r="L467" s="7" t="s">
        <v>694</v>
      </c>
      <c r="M467" s="7" t="s">
        <v>1427</v>
      </c>
      <c r="N467" s="7" t="s">
        <v>688</v>
      </c>
      <c r="O467" s="7" t="s">
        <v>689</v>
      </c>
      <c r="P467" s="7" t="s">
        <v>747</v>
      </c>
      <c r="Q467" s="7" t="s">
        <v>696</v>
      </c>
      <c r="R467" s="7" t="s">
        <v>773</v>
      </c>
      <c r="S467" s="7" t="s">
        <v>2083</v>
      </c>
      <c r="T467" s="7" t="s">
        <v>2331</v>
      </c>
      <c r="U467" s="7" t="s">
        <v>2332</v>
      </c>
      <c r="V467" s="7" t="s">
        <v>2333</v>
      </c>
      <c r="W467" s="7" t="s">
        <v>2334</v>
      </c>
      <c r="X467" s="7" t="s">
        <v>2335</v>
      </c>
      <c r="Y467" s="7" t="s">
        <v>2336</v>
      </c>
      <c r="Z467" s="7" t="s">
        <v>2337</v>
      </c>
      <c r="AA467" s="7" t="s">
        <v>2516</v>
      </c>
      <c r="AB467" s="7" t="s">
        <v>2517</v>
      </c>
      <c r="AC467" s="7" t="s">
        <v>2340</v>
      </c>
      <c r="AD467" s="7" t="s">
        <v>2341</v>
      </c>
      <c r="AE467" s="7" t="s">
        <v>2342</v>
      </c>
      <c r="AF467" s="7" t="s">
        <v>2343</v>
      </c>
      <c r="AG467" s="7" t="s">
        <v>2344</v>
      </c>
      <c r="AH467" s="7" t="s">
        <v>2345</v>
      </c>
      <c r="AI467" s="7" t="s">
        <v>2346</v>
      </c>
    </row>
    <row r="468" spans="1:55" ht="78" customHeight="1" x14ac:dyDescent="0.4">
      <c r="A468" s="67">
        <v>8721001271771</v>
      </c>
      <c r="B468" t="e">
        <f>_xlfn.XLOOKUP(A468,'Product info'!A:A,'Product info'!C:C,,2)</f>
        <v>#N/A</v>
      </c>
      <c r="C468" s="69" t="s">
        <v>688</v>
      </c>
      <c r="D468" s="7" t="s">
        <v>689</v>
      </c>
      <c r="E468" s="7" t="s">
        <v>747</v>
      </c>
      <c r="F468" s="7" t="s">
        <v>696</v>
      </c>
      <c r="G468" s="7" t="s">
        <v>773</v>
      </c>
      <c r="H468" s="7" t="s">
        <v>940</v>
      </c>
      <c r="I468" s="7" t="s">
        <v>941</v>
      </c>
      <c r="J468" s="7" t="s">
        <v>942</v>
      </c>
      <c r="K468" s="7" t="s">
        <v>695</v>
      </c>
      <c r="L468" s="7" t="s">
        <v>694</v>
      </c>
      <c r="M468" s="7" t="s">
        <v>1427</v>
      </c>
      <c r="N468" s="7" t="s">
        <v>688</v>
      </c>
      <c r="O468" s="7" t="s">
        <v>689</v>
      </c>
      <c r="P468" s="7" t="s">
        <v>747</v>
      </c>
      <c r="Q468" s="7" t="s">
        <v>696</v>
      </c>
      <c r="R468" s="7" t="s">
        <v>773</v>
      </c>
      <c r="S468" s="7" t="s">
        <v>2083</v>
      </c>
      <c r="T468" s="7" t="s">
        <v>2331</v>
      </c>
      <c r="U468" s="7" t="s">
        <v>2332</v>
      </c>
      <c r="V468" s="7" t="s">
        <v>2333</v>
      </c>
      <c r="W468" s="7" t="s">
        <v>2334</v>
      </c>
      <c r="X468" s="7" t="s">
        <v>2335</v>
      </c>
      <c r="Y468" s="7" t="s">
        <v>2336</v>
      </c>
      <c r="Z468" s="7" t="s">
        <v>2337</v>
      </c>
      <c r="AA468" s="7" t="s">
        <v>2516</v>
      </c>
      <c r="AB468" s="7" t="s">
        <v>2517</v>
      </c>
      <c r="AC468" s="7" t="s">
        <v>2340</v>
      </c>
      <c r="AD468" s="7" t="s">
        <v>2341</v>
      </c>
      <c r="AE468" s="7" t="s">
        <v>2342</v>
      </c>
      <c r="AF468" s="7" t="s">
        <v>2343</v>
      </c>
      <c r="AG468" s="7" t="s">
        <v>2344</v>
      </c>
      <c r="AH468" s="7" t="s">
        <v>2345</v>
      </c>
      <c r="AI468" s="7" t="s">
        <v>2346</v>
      </c>
    </row>
    <row r="469" spans="1:55" ht="78" customHeight="1" x14ac:dyDescent="0.4">
      <c r="A469" s="67">
        <v>8721001271597</v>
      </c>
      <c r="B469" t="e">
        <f>_xlfn.XLOOKUP(A469,'Product info'!A:A,'Product info'!C:C,,2)</f>
        <v>#N/A</v>
      </c>
      <c r="C469" s="69" t="s">
        <v>688</v>
      </c>
      <c r="D469" s="7" t="s">
        <v>689</v>
      </c>
      <c r="E469" s="7" t="s">
        <v>747</v>
      </c>
      <c r="F469" s="7" t="s">
        <v>696</v>
      </c>
      <c r="G469" s="7" t="s">
        <v>773</v>
      </c>
      <c r="H469" s="7" t="s">
        <v>940</v>
      </c>
      <c r="I469" s="7" t="s">
        <v>941</v>
      </c>
      <c r="J469" s="7" t="s">
        <v>942</v>
      </c>
      <c r="K469" s="7" t="s">
        <v>1110</v>
      </c>
      <c r="L469" s="7" t="s">
        <v>1111</v>
      </c>
      <c r="M469" s="7" t="s">
        <v>1112</v>
      </c>
      <c r="N469" s="7" t="s">
        <v>1113</v>
      </c>
      <c r="O469" s="7" t="s">
        <v>1119</v>
      </c>
      <c r="P469" s="7" t="s">
        <v>1115</v>
      </c>
      <c r="Q469" s="7" t="s">
        <v>1120</v>
      </c>
      <c r="R469" s="7" t="s">
        <v>1117</v>
      </c>
      <c r="S469" s="7" t="s">
        <v>1121</v>
      </c>
      <c r="T469" s="7" t="s">
        <v>1122</v>
      </c>
      <c r="U469" s="7" t="s">
        <v>1123</v>
      </c>
    </row>
    <row r="470" spans="1:55" ht="78" customHeight="1" x14ac:dyDescent="0.4">
      <c r="A470" s="67">
        <v>8721001271719</v>
      </c>
      <c r="B470" t="e">
        <f>_xlfn.XLOOKUP(A470,'Product info'!A:A,'Product info'!C:C,,2)</f>
        <v>#N/A</v>
      </c>
      <c r="C470" s="69" t="s">
        <v>688</v>
      </c>
      <c r="D470" s="7" t="s">
        <v>689</v>
      </c>
      <c r="E470" s="7" t="s">
        <v>747</v>
      </c>
      <c r="F470" s="7" t="s">
        <v>696</v>
      </c>
      <c r="G470" s="7" t="s">
        <v>773</v>
      </c>
      <c r="H470" s="7" t="s">
        <v>940</v>
      </c>
      <c r="I470" s="7" t="s">
        <v>941</v>
      </c>
      <c r="J470" s="7" t="s">
        <v>942</v>
      </c>
      <c r="K470" s="7" t="s">
        <v>1110</v>
      </c>
      <c r="L470" s="7" t="s">
        <v>1111</v>
      </c>
      <c r="M470" s="7" t="s">
        <v>1112</v>
      </c>
      <c r="N470" s="7" t="s">
        <v>1113</v>
      </c>
      <c r="O470" s="7" t="s">
        <v>1114</v>
      </c>
      <c r="P470" s="7" t="s">
        <v>1115</v>
      </c>
      <c r="Q470" s="7" t="s">
        <v>1116</v>
      </c>
      <c r="R470" s="7" t="s">
        <v>1117</v>
      </c>
      <c r="S470" s="7" t="s">
        <v>1118</v>
      </c>
    </row>
    <row r="471" spans="1:55" ht="78" customHeight="1" x14ac:dyDescent="0.4">
      <c r="A471" s="67">
        <v>8721001271603</v>
      </c>
      <c r="B471" t="e">
        <f>_xlfn.XLOOKUP(A471,'Product info'!A:A,'Product info'!C:C,,2)</f>
        <v>#N/A</v>
      </c>
      <c r="C471" s="69" t="s">
        <v>688</v>
      </c>
      <c r="D471" s="7" t="s">
        <v>689</v>
      </c>
      <c r="E471" s="7" t="s">
        <v>747</v>
      </c>
      <c r="F471" s="7" t="s">
        <v>696</v>
      </c>
      <c r="G471" s="7" t="s">
        <v>773</v>
      </c>
      <c r="H471" s="7" t="s">
        <v>940</v>
      </c>
      <c r="I471" s="7" t="s">
        <v>941</v>
      </c>
      <c r="J471" s="7" t="s">
        <v>942</v>
      </c>
      <c r="K471" s="7" t="s">
        <v>1110</v>
      </c>
      <c r="L471" s="7" t="s">
        <v>1191</v>
      </c>
      <c r="M471" s="7" t="s">
        <v>1112</v>
      </c>
      <c r="N471" s="7" t="s">
        <v>1113</v>
      </c>
      <c r="O471" s="7" t="s">
        <v>1192</v>
      </c>
      <c r="P471" s="7" t="s">
        <v>1115</v>
      </c>
      <c r="Q471" s="7" t="s">
        <v>1193</v>
      </c>
      <c r="R471" s="7" t="s">
        <v>1117</v>
      </c>
    </row>
    <row r="472" spans="1:55" ht="78" customHeight="1" x14ac:dyDescent="0.4">
      <c r="A472" s="67">
        <v>8721001271726</v>
      </c>
      <c r="B472" t="e">
        <f>_xlfn.XLOOKUP(A472,'Product info'!A:A,'Product info'!C:C,,2)</f>
        <v>#N/A</v>
      </c>
      <c r="C472" s="69" t="s">
        <v>688</v>
      </c>
      <c r="D472" s="7" t="s">
        <v>689</v>
      </c>
      <c r="E472" s="7" t="s">
        <v>747</v>
      </c>
      <c r="F472" s="7" t="s">
        <v>696</v>
      </c>
      <c r="G472" s="7" t="s">
        <v>773</v>
      </c>
      <c r="H472" s="7" t="s">
        <v>940</v>
      </c>
      <c r="I472" s="7" t="s">
        <v>941</v>
      </c>
      <c r="J472" s="7" t="s">
        <v>942</v>
      </c>
      <c r="K472" s="7" t="s">
        <v>1110</v>
      </c>
      <c r="L472" s="7" t="s">
        <v>1111</v>
      </c>
      <c r="M472" s="7" t="s">
        <v>1112</v>
      </c>
      <c r="N472" s="7" t="s">
        <v>1113</v>
      </c>
      <c r="O472" s="7" t="s">
        <v>1114</v>
      </c>
      <c r="P472" s="7" t="s">
        <v>1115</v>
      </c>
      <c r="Q472" s="7" t="s">
        <v>1116</v>
      </c>
      <c r="R472" s="7" t="s">
        <v>1117</v>
      </c>
      <c r="S472" s="7" t="s">
        <v>1118</v>
      </c>
    </row>
    <row r="473" spans="1:55" ht="78" customHeight="1" x14ac:dyDescent="0.4">
      <c r="A473" s="67">
        <v>8721001271702</v>
      </c>
      <c r="B473" t="e">
        <f>_xlfn.XLOOKUP(A473,'Product info'!A:A,'Product info'!C:C,,2)</f>
        <v>#N/A</v>
      </c>
      <c r="C473" s="69" t="s">
        <v>688</v>
      </c>
      <c r="D473" s="7" t="s">
        <v>689</v>
      </c>
      <c r="E473" s="7" t="s">
        <v>747</v>
      </c>
      <c r="F473" s="7" t="s">
        <v>696</v>
      </c>
      <c r="G473" s="7" t="s">
        <v>773</v>
      </c>
      <c r="H473" s="7" t="s">
        <v>940</v>
      </c>
      <c r="I473" s="7" t="s">
        <v>941</v>
      </c>
      <c r="J473" s="7" t="s">
        <v>942</v>
      </c>
      <c r="K473" s="7" t="s">
        <v>1110</v>
      </c>
      <c r="L473" s="7" t="s">
        <v>1111</v>
      </c>
      <c r="M473" s="7" t="s">
        <v>1112</v>
      </c>
      <c r="N473" s="7" t="s">
        <v>1113</v>
      </c>
      <c r="O473" s="7" t="s">
        <v>1119</v>
      </c>
      <c r="P473" s="7" t="s">
        <v>1115</v>
      </c>
      <c r="Q473" s="7" t="s">
        <v>1120</v>
      </c>
      <c r="R473" s="7" t="s">
        <v>1117</v>
      </c>
      <c r="S473" s="7" t="s">
        <v>1121</v>
      </c>
      <c r="T473" s="7" t="s">
        <v>1122</v>
      </c>
      <c r="U473" s="7" t="s">
        <v>1123</v>
      </c>
    </row>
    <row r="474" spans="1:55" ht="78" customHeight="1" x14ac:dyDescent="0.4">
      <c r="A474" s="67">
        <v>8721001271788</v>
      </c>
      <c r="B474" t="e">
        <f>_xlfn.XLOOKUP(A474,'Product info'!A:A,'Product info'!C:C,,2)</f>
        <v>#N/A</v>
      </c>
      <c r="C474" s="69" t="s">
        <v>688</v>
      </c>
      <c r="D474" s="7" t="s">
        <v>689</v>
      </c>
      <c r="E474" s="7" t="s">
        <v>690</v>
      </c>
      <c r="F474" s="7" t="s">
        <v>691</v>
      </c>
      <c r="G474" s="7" t="s">
        <v>692</v>
      </c>
      <c r="H474" s="7" t="s">
        <v>693</v>
      </c>
      <c r="I474" s="7" t="s">
        <v>694</v>
      </c>
      <c r="J474" s="7" t="s">
        <v>695</v>
      </c>
      <c r="K474" s="7" t="s">
        <v>696</v>
      </c>
      <c r="L474" s="7" t="s">
        <v>697</v>
      </c>
      <c r="M474" s="7" t="s">
        <v>698</v>
      </c>
      <c r="N474" s="7" t="s">
        <v>699</v>
      </c>
      <c r="O474" s="7" t="s">
        <v>700</v>
      </c>
      <c r="P474" s="7" t="s">
        <v>701</v>
      </c>
      <c r="Q474" s="7" t="s">
        <v>702</v>
      </c>
      <c r="R474" s="7" t="s">
        <v>703</v>
      </c>
      <c r="S474" s="7" t="s">
        <v>704</v>
      </c>
      <c r="T474" s="7" t="s">
        <v>705</v>
      </c>
      <c r="U474" s="7" t="s">
        <v>706</v>
      </c>
      <c r="V474" s="7" t="s">
        <v>707</v>
      </c>
      <c r="W474" s="7" t="s">
        <v>708</v>
      </c>
      <c r="X474" s="7" t="s">
        <v>709</v>
      </c>
      <c r="Y474" s="7" t="s">
        <v>710</v>
      </c>
      <c r="Z474" s="7" t="s">
        <v>711</v>
      </c>
      <c r="AA474" s="7" t="s">
        <v>712</v>
      </c>
      <c r="AB474" s="7" t="s">
        <v>694</v>
      </c>
      <c r="AC474" s="7" t="s">
        <v>713</v>
      </c>
      <c r="AD474" s="7" t="s">
        <v>714</v>
      </c>
      <c r="AE474" s="7" t="s">
        <v>715</v>
      </c>
      <c r="AF474" s="7" t="s">
        <v>716</v>
      </c>
      <c r="AG474" s="7" t="s">
        <v>688</v>
      </c>
      <c r="AH474" s="7" t="s">
        <v>689</v>
      </c>
      <c r="AI474" s="7" t="s">
        <v>747</v>
      </c>
      <c r="AJ474" s="7" t="s">
        <v>696</v>
      </c>
      <c r="AK474" s="7" t="s">
        <v>773</v>
      </c>
      <c r="AL474" s="7" t="s">
        <v>774</v>
      </c>
      <c r="AM474" s="7" t="s">
        <v>803</v>
      </c>
      <c r="AN474" s="7" t="s">
        <v>804</v>
      </c>
      <c r="AO474" s="7" t="s">
        <v>805</v>
      </c>
      <c r="AP474" s="7" t="s">
        <v>806</v>
      </c>
      <c r="AQ474" s="7" t="s">
        <v>807</v>
      </c>
      <c r="AR474" s="7" t="s">
        <v>808</v>
      </c>
      <c r="AS474" s="7" t="s">
        <v>809</v>
      </c>
      <c r="AT474" s="7" t="s">
        <v>2518</v>
      </c>
      <c r="AU474" s="7" t="s">
        <v>2519</v>
      </c>
      <c r="AV474" s="7" t="s">
        <v>2520</v>
      </c>
      <c r="AW474" s="7" t="s">
        <v>2521</v>
      </c>
      <c r="AX474" s="7" t="s">
        <v>2522</v>
      </c>
      <c r="AY474" s="7" t="s">
        <v>2523</v>
      </c>
      <c r="AZ474" s="7" t="s">
        <v>2524</v>
      </c>
      <c r="BA474" s="7" t="s">
        <v>2525</v>
      </c>
      <c r="BB474" s="7" t="s">
        <v>2526</v>
      </c>
      <c r="BC474" s="7" t="s">
        <v>2527</v>
      </c>
    </row>
    <row r="475" spans="1:55" ht="78" customHeight="1" x14ac:dyDescent="0.4">
      <c r="A475" s="67">
        <v>8721001271696</v>
      </c>
      <c r="B475" t="e">
        <f>_xlfn.XLOOKUP(A475,'Product info'!A:A,'Product info'!C:C,,2)</f>
        <v>#N/A</v>
      </c>
      <c r="C475" s="69" t="s">
        <v>688</v>
      </c>
      <c r="D475" s="7" t="s">
        <v>689</v>
      </c>
      <c r="E475" s="7" t="s">
        <v>690</v>
      </c>
      <c r="F475" s="7" t="s">
        <v>691</v>
      </c>
      <c r="G475" s="7" t="s">
        <v>692</v>
      </c>
      <c r="H475" s="7" t="s">
        <v>693</v>
      </c>
      <c r="I475" s="7" t="s">
        <v>694</v>
      </c>
      <c r="J475" s="7" t="s">
        <v>695</v>
      </c>
      <c r="K475" s="7" t="s">
        <v>696</v>
      </c>
      <c r="L475" s="7" t="s">
        <v>697</v>
      </c>
      <c r="M475" s="7" t="s">
        <v>698</v>
      </c>
      <c r="N475" s="7" t="s">
        <v>699</v>
      </c>
      <c r="O475" s="7" t="s">
        <v>700</v>
      </c>
      <c r="P475" s="7" t="s">
        <v>701</v>
      </c>
      <c r="Q475" s="7" t="s">
        <v>702</v>
      </c>
      <c r="R475" s="7" t="s">
        <v>703</v>
      </c>
      <c r="S475" s="7" t="s">
        <v>704</v>
      </c>
      <c r="T475" s="7" t="s">
        <v>705</v>
      </c>
      <c r="U475" s="7" t="s">
        <v>706</v>
      </c>
      <c r="V475" s="7" t="s">
        <v>707</v>
      </c>
      <c r="W475" s="7" t="s">
        <v>708</v>
      </c>
      <c r="X475" s="7" t="s">
        <v>709</v>
      </c>
      <c r="Y475" s="7" t="s">
        <v>710</v>
      </c>
      <c r="Z475" s="7" t="s">
        <v>711</v>
      </c>
      <c r="AA475" s="7" t="s">
        <v>712</v>
      </c>
      <c r="AB475" s="7" t="s">
        <v>694</v>
      </c>
      <c r="AC475" s="7" t="s">
        <v>713</v>
      </c>
      <c r="AD475" s="7" t="s">
        <v>714</v>
      </c>
      <c r="AE475" s="7" t="s">
        <v>715</v>
      </c>
      <c r="AF475" s="7" t="s">
        <v>716</v>
      </c>
      <c r="AG475" s="7" t="s">
        <v>688</v>
      </c>
      <c r="AH475" s="7" t="s">
        <v>689</v>
      </c>
      <c r="AI475" s="7" t="s">
        <v>747</v>
      </c>
      <c r="AJ475" s="7" t="s">
        <v>696</v>
      </c>
      <c r="AK475" s="7" t="s">
        <v>773</v>
      </c>
      <c r="AL475" s="7" t="s">
        <v>774</v>
      </c>
      <c r="AM475" s="7" t="s">
        <v>803</v>
      </c>
      <c r="AN475" s="7" t="s">
        <v>804</v>
      </c>
      <c r="AO475" s="7" t="s">
        <v>805</v>
      </c>
      <c r="AP475" s="7" t="s">
        <v>806</v>
      </c>
      <c r="AQ475" s="7" t="s">
        <v>807</v>
      </c>
      <c r="AR475" s="7" t="s">
        <v>808</v>
      </c>
      <c r="AS475" s="7" t="s">
        <v>809</v>
      </c>
      <c r="AT475" s="7" t="s">
        <v>2518</v>
      </c>
      <c r="AU475" s="7" t="s">
        <v>2519</v>
      </c>
      <c r="AV475" s="7" t="s">
        <v>2520</v>
      </c>
      <c r="AW475" s="7" t="s">
        <v>2521</v>
      </c>
      <c r="AX475" s="7" t="s">
        <v>2522</v>
      </c>
      <c r="AY475" s="7" t="s">
        <v>2523</v>
      </c>
      <c r="AZ475" s="7" t="s">
        <v>2524</v>
      </c>
      <c r="BA475" s="7" t="s">
        <v>2525</v>
      </c>
      <c r="BB475" s="7" t="s">
        <v>2526</v>
      </c>
      <c r="BC475" s="7" t="s">
        <v>2527</v>
      </c>
    </row>
    <row r="476" spans="1:55" ht="78" customHeight="1" x14ac:dyDescent="0.4">
      <c r="A476" s="67">
        <v>8721001271665</v>
      </c>
      <c r="B476" t="e">
        <f>_xlfn.XLOOKUP(A476,'Product info'!A:A,'Product info'!C:C,,2)</f>
        <v>#N/A</v>
      </c>
      <c r="C476" s="69" t="s">
        <v>688</v>
      </c>
      <c r="D476" s="7" t="s">
        <v>689</v>
      </c>
      <c r="E476" s="7" t="s">
        <v>690</v>
      </c>
      <c r="F476" s="7" t="s">
        <v>691</v>
      </c>
      <c r="G476" s="7" t="s">
        <v>692</v>
      </c>
      <c r="H476" s="7" t="s">
        <v>693</v>
      </c>
      <c r="I476" s="7" t="s">
        <v>694</v>
      </c>
      <c r="J476" s="7" t="s">
        <v>695</v>
      </c>
      <c r="K476" s="7" t="s">
        <v>696</v>
      </c>
      <c r="L476" s="7" t="s">
        <v>697</v>
      </c>
      <c r="M476" s="7" t="s">
        <v>698</v>
      </c>
      <c r="N476" s="7" t="s">
        <v>699</v>
      </c>
      <c r="O476" s="7" t="s">
        <v>700</v>
      </c>
      <c r="P476" s="7" t="s">
        <v>701</v>
      </c>
      <c r="Q476" s="7" t="s">
        <v>702</v>
      </c>
      <c r="R476" s="7" t="s">
        <v>703</v>
      </c>
      <c r="S476" s="7" t="s">
        <v>704</v>
      </c>
      <c r="T476" s="7" t="s">
        <v>705</v>
      </c>
      <c r="U476" s="7" t="s">
        <v>706</v>
      </c>
      <c r="V476" s="7" t="s">
        <v>707</v>
      </c>
      <c r="W476" s="7" t="s">
        <v>708</v>
      </c>
      <c r="X476" s="7" t="s">
        <v>709</v>
      </c>
      <c r="Y476" s="7" t="s">
        <v>710</v>
      </c>
      <c r="Z476" s="7" t="s">
        <v>711</v>
      </c>
      <c r="AA476" s="7" t="s">
        <v>712</v>
      </c>
      <c r="AB476" s="7" t="s">
        <v>694</v>
      </c>
      <c r="AC476" s="7" t="s">
        <v>713</v>
      </c>
      <c r="AD476" s="7" t="s">
        <v>714</v>
      </c>
      <c r="AE476" s="7" t="s">
        <v>715</v>
      </c>
      <c r="AF476" s="7" t="s">
        <v>716</v>
      </c>
      <c r="AG476" s="7" t="s">
        <v>2518</v>
      </c>
      <c r="AH476" s="7" t="s">
        <v>2519</v>
      </c>
      <c r="AI476" s="7" t="s">
        <v>2520</v>
      </c>
      <c r="AJ476" s="7" t="s">
        <v>2521</v>
      </c>
      <c r="AK476" s="7" t="s">
        <v>2522</v>
      </c>
      <c r="AL476" s="7" t="s">
        <v>2523</v>
      </c>
      <c r="AM476" s="7" t="s">
        <v>2524</v>
      </c>
      <c r="AN476" s="7" t="s">
        <v>2525</v>
      </c>
      <c r="AO476" s="7" t="s">
        <v>2526</v>
      </c>
      <c r="AP476" s="7" t="s">
        <v>2527</v>
      </c>
      <c r="AQ476" s="7" t="s">
        <v>688</v>
      </c>
      <c r="AR476" s="7" t="s">
        <v>689</v>
      </c>
      <c r="AS476" s="7" t="s">
        <v>747</v>
      </c>
      <c r="AT476" s="7" t="s">
        <v>696</v>
      </c>
      <c r="AU476" s="7" t="s">
        <v>773</v>
      </c>
      <c r="AV476" s="7" t="s">
        <v>774</v>
      </c>
      <c r="AW476" s="7" t="s">
        <v>803</v>
      </c>
      <c r="AX476" s="7" t="s">
        <v>804</v>
      </c>
      <c r="AY476" s="7" t="s">
        <v>805</v>
      </c>
      <c r="AZ476" s="7" t="s">
        <v>806</v>
      </c>
      <c r="BA476" s="7" t="s">
        <v>807</v>
      </c>
      <c r="BB476" s="7" t="s">
        <v>808</v>
      </c>
      <c r="BC476" s="7" t="s">
        <v>809</v>
      </c>
    </row>
    <row r="477" spans="1:55" ht="78" customHeight="1" x14ac:dyDescent="0.4">
      <c r="A477" s="67">
        <v>8721001271795</v>
      </c>
      <c r="B477" t="e">
        <f>_xlfn.XLOOKUP(A477,'Product info'!A:A,'Product info'!C:C,,2)</f>
        <v>#N/A</v>
      </c>
      <c r="C477" s="69" t="s">
        <v>688</v>
      </c>
      <c r="D477" s="7" t="s">
        <v>689</v>
      </c>
      <c r="E477" s="7" t="s">
        <v>690</v>
      </c>
      <c r="F477" s="7" t="s">
        <v>691</v>
      </c>
      <c r="G477" s="7" t="s">
        <v>692</v>
      </c>
      <c r="H477" s="7" t="s">
        <v>693</v>
      </c>
      <c r="I477" s="7" t="s">
        <v>694</v>
      </c>
      <c r="J477" s="7" t="s">
        <v>695</v>
      </c>
      <c r="K477" s="7" t="s">
        <v>696</v>
      </c>
      <c r="L477" s="7" t="s">
        <v>697</v>
      </c>
      <c r="M477" s="7" t="s">
        <v>698</v>
      </c>
      <c r="N477" s="7" t="s">
        <v>699</v>
      </c>
      <c r="O477" s="7" t="s">
        <v>700</v>
      </c>
      <c r="P477" s="7" t="s">
        <v>701</v>
      </c>
      <c r="Q477" s="7" t="s">
        <v>702</v>
      </c>
      <c r="R477" s="7" t="s">
        <v>703</v>
      </c>
      <c r="S477" s="7" t="s">
        <v>704</v>
      </c>
      <c r="T477" s="7" t="s">
        <v>705</v>
      </c>
      <c r="U477" s="7" t="s">
        <v>706</v>
      </c>
      <c r="V477" s="7" t="s">
        <v>707</v>
      </c>
      <c r="W477" s="7" t="s">
        <v>708</v>
      </c>
      <c r="X477" s="7" t="s">
        <v>709</v>
      </c>
      <c r="Y477" s="7" t="s">
        <v>710</v>
      </c>
      <c r="Z477" s="7" t="s">
        <v>711</v>
      </c>
      <c r="AA477" s="7" t="s">
        <v>712</v>
      </c>
      <c r="AB477" s="7" t="s">
        <v>694</v>
      </c>
      <c r="AC477" s="7" t="s">
        <v>713</v>
      </c>
      <c r="AD477" s="7" t="s">
        <v>714</v>
      </c>
      <c r="AE477" s="7" t="s">
        <v>715</v>
      </c>
      <c r="AF477" s="7" t="s">
        <v>716</v>
      </c>
      <c r="AG477" s="7" t="s">
        <v>688</v>
      </c>
      <c r="AH477" s="7" t="s">
        <v>689</v>
      </c>
      <c r="AI477" s="7" t="s">
        <v>747</v>
      </c>
      <c r="AJ477" s="7" t="s">
        <v>696</v>
      </c>
      <c r="AK477" s="7" t="s">
        <v>773</v>
      </c>
      <c r="AL477" s="7" t="s">
        <v>774</v>
      </c>
      <c r="AM477" s="7" t="s">
        <v>803</v>
      </c>
      <c r="AN477" s="7" t="s">
        <v>804</v>
      </c>
      <c r="AO477" s="7" t="s">
        <v>805</v>
      </c>
      <c r="AP477" s="7" t="s">
        <v>806</v>
      </c>
      <c r="AQ477" s="7" t="s">
        <v>807</v>
      </c>
      <c r="AR477" s="7" t="s">
        <v>808</v>
      </c>
      <c r="AS477" s="7" t="s">
        <v>809</v>
      </c>
      <c r="AT477" s="7" t="s">
        <v>2518</v>
      </c>
      <c r="AU477" s="7" t="s">
        <v>2519</v>
      </c>
      <c r="AV477" s="7" t="s">
        <v>2520</v>
      </c>
      <c r="AW477" s="7" t="s">
        <v>2521</v>
      </c>
      <c r="AX477" s="7" t="s">
        <v>2522</v>
      </c>
      <c r="AY477" s="7" t="s">
        <v>2523</v>
      </c>
      <c r="AZ477" s="7" t="s">
        <v>2524</v>
      </c>
      <c r="BA477" s="7" t="s">
        <v>2525</v>
      </c>
      <c r="BB477" s="7" t="s">
        <v>2526</v>
      </c>
      <c r="BC477" s="7" t="s">
        <v>2527</v>
      </c>
    </row>
    <row r="478" spans="1:55" ht="78" customHeight="1" x14ac:dyDescent="0.4">
      <c r="A478" s="67">
        <v>8721001271672</v>
      </c>
      <c r="B478" t="e">
        <f>_xlfn.XLOOKUP(A478,'Product info'!A:A,'Product info'!C:C,,2)</f>
        <v>#N/A</v>
      </c>
      <c r="C478" s="69" t="s">
        <v>688</v>
      </c>
      <c r="D478" s="7" t="s">
        <v>689</v>
      </c>
      <c r="E478" s="7" t="s">
        <v>690</v>
      </c>
      <c r="F478" s="7" t="s">
        <v>691</v>
      </c>
      <c r="G478" s="7" t="s">
        <v>692</v>
      </c>
      <c r="H478" s="7" t="s">
        <v>693</v>
      </c>
      <c r="I478" s="7" t="s">
        <v>694</v>
      </c>
      <c r="J478" s="7" t="s">
        <v>695</v>
      </c>
      <c r="K478" s="7" t="s">
        <v>696</v>
      </c>
      <c r="L478" s="7" t="s">
        <v>697</v>
      </c>
      <c r="M478" s="7" t="s">
        <v>698</v>
      </c>
      <c r="N478" s="7" t="s">
        <v>699</v>
      </c>
      <c r="O478" s="7" t="s">
        <v>700</v>
      </c>
      <c r="P478" s="7" t="s">
        <v>701</v>
      </c>
      <c r="Q478" s="7" t="s">
        <v>702</v>
      </c>
      <c r="R478" s="7" t="s">
        <v>703</v>
      </c>
      <c r="S478" s="7" t="s">
        <v>704</v>
      </c>
      <c r="T478" s="7" t="s">
        <v>705</v>
      </c>
      <c r="U478" s="7" t="s">
        <v>706</v>
      </c>
      <c r="V478" s="7" t="s">
        <v>707</v>
      </c>
      <c r="W478" s="7" t="s">
        <v>708</v>
      </c>
      <c r="X478" s="7" t="s">
        <v>709</v>
      </c>
      <c r="Y478" s="7" t="s">
        <v>710</v>
      </c>
      <c r="Z478" s="7" t="s">
        <v>711</v>
      </c>
      <c r="AA478" s="7" t="s">
        <v>712</v>
      </c>
      <c r="AB478" s="7" t="s">
        <v>694</v>
      </c>
      <c r="AC478" s="7" t="s">
        <v>713</v>
      </c>
      <c r="AD478" s="7" t="s">
        <v>714</v>
      </c>
      <c r="AE478" s="7" t="s">
        <v>715</v>
      </c>
      <c r="AF478" s="7" t="s">
        <v>716</v>
      </c>
      <c r="AG478" s="7" t="s">
        <v>688</v>
      </c>
      <c r="AH478" s="7" t="s">
        <v>689</v>
      </c>
      <c r="AI478" s="7" t="s">
        <v>747</v>
      </c>
      <c r="AJ478" s="7" t="s">
        <v>696</v>
      </c>
      <c r="AK478" s="7" t="s">
        <v>773</v>
      </c>
      <c r="AL478" s="7" t="s">
        <v>774</v>
      </c>
      <c r="AM478" s="7" t="s">
        <v>803</v>
      </c>
      <c r="AN478" s="7" t="s">
        <v>804</v>
      </c>
      <c r="AO478" s="7" t="s">
        <v>805</v>
      </c>
      <c r="AP478" s="7" t="s">
        <v>806</v>
      </c>
      <c r="AQ478" s="7" t="s">
        <v>807</v>
      </c>
      <c r="AR478" s="7" t="s">
        <v>808</v>
      </c>
      <c r="AS478" s="7" t="s">
        <v>809</v>
      </c>
      <c r="AT478" s="7" t="s">
        <v>2518</v>
      </c>
      <c r="AU478" s="7" t="s">
        <v>2519</v>
      </c>
      <c r="AV478" s="7" t="s">
        <v>2520</v>
      </c>
      <c r="AW478" s="7" t="s">
        <v>2521</v>
      </c>
      <c r="AX478" s="7" t="s">
        <v>2522</v>
      </c>
      <c r="AY478" s="7" t="s">
        <v>2523</v>
      </c>
      <c r="AZ478" s="7" t="s">
        <v>2524</v>
      </c>
      <c r="BA478" s="7" t="s">
        <v>2525</v>
      </c>
      <c r="BB478" s="7" t="s">
        <v>2526</v>
      </c>
      <c r="BC478" s="7" t="s">
        <v>2527</v>
      </c>
    </row>
    <row r="479" spans="1:55" ht="78" customHeight="1" x14ac:dyDescent="0.4">
      <c r="A479" s="67">
        <v>8721001271689</v>
      </c>
      <c r="B479" t="e">
        <f>_xlfn.XLOOKUP(A479,'Product info'!A:A,'Product info'!C:C,,2)</f>
        <v>#N/A</v>
      </c>
      <c r="C479" s="69" t="s">
        <v>688</v>
      </c>
      <c r="D479" s="7" t="s">
        <v>689</v>
      </c>
      <c r="E479" s="7" t="s">
        <v>690</v>
      </c>
      <c r="F479" s="7" t="s">
        <v>691</v>
      </c>
      <c r="G479" s="7" t="s">
        <v>692</v>
      </c>
      <c r="H479" s="7" t="s">
        <v>693</v>
      </c>
      <c r="I479" s="7" t="s">
        <v>694</v>
      </c>
      <c r="J479" s="7" t="s">
        <v>695</v>
      </c>
      <c r="K479" s="7" t="s">
        <v>696</v>
      </c>
      <c r="L479" s="7" t="s">
        <v>697</v>
      </c>
      <c r="M479" s="7" t="s">
        <v>698</v>
      </c>
      <c r="N479" s="7" t="s">
        <v>699</v>
      </c>
      <c r="O479" s="7" t="s">
        <v>700</v>
      </c>
      <c r="P479" s="7" t="s">
        <v>701</v>
      </c>
      <c r="Q479" s="7" t="s">
        <v>702</v>
      </c>
      <c r="R479" s="7" t="s">
        <v>703</v>
      </c>
      <c r="S479" s="7" t="s">
        <v>704</v>
      </c>
      <c r="T479" s="7" t="s">
        <v>705</v>
      </c>
      <c r="U479" s="7" t="s">
        <v>706</v>
      </c>
      <c r="V479" s="7" t="s">
        <v>707</v>
      </c>
      <c r="W479" s="7" t="s">
        <v>708</v>
      </c>
      <c r="X479" s="7" t="s">
        <v>709</v>
      </c>
      <c r="Y479" s="7" t="s">
        <v>710</v>
      </c>
      <c r="Z479" s="7" t="s">
        <v>711</v>
      </c>
      <c r="AA479" s="7" t="s">
        <v>712</v>
      </c>
      <c r="AB479" s="7" t="s">
        <v>694</v>
      </c>
      <c r="AC479" s="7" t="s">
        <v>713</v>
      </c>
      <c r="AD479" s="7" t="s">
        <v>714</v>
      </c>
      <c r="AE479" s="7" t="s">
        <v>715</v>
      </c>
      <c r="AF479" s="7" t="s">
        <v>716</v>
      </c>
      <c r="AG479" s="7" t="s">
        <v>688</v>
      </c>
      <c r="AH479" s="7" t="s">
        <v>689</v>
      </c>
      <c r="AI479" s="7" t="s">
        <v>747</v>
      </c>
      <c r="AJ479" s="7" t="s">
        <v>696</v>
      </c>
      <c r="AK479" s="7" t="s">
        <v>773</v>
      </c>
      <c r="AL479" s="7" t="s">
        <v>774</v>
      </c>
      <c r="AM479" s="7" t="s">
        <v>803</v>
      </c>
      <c r="AN479" s="7" t="s">
        <v>804</v>
      </c>
      <c r="AO479" s="7" t="s">
        <v>805</v>
      </c>
      <c r="AP479" s="7" t="s">
        <v>806</v>
      </c>
      <c r="AQ479" s="7" t="s">
        <v>807</v>
      </c>
      <c r="AR479" s="7" t="s">
        <v>808</v>
      </c>
      <c r="AS479" s="7" t="s">
        <v>809</v>
      </c>
      <c r="AT479" s="7" t="s">
        <v>2518</v>
      </c>
      <c r="AU479" s="7" t="s">
        <v>2519</v>
      </c>
      <c r="AV479" s="7" t="s">
        <v>2520</v>
      </c>
      <c r="AW479" s="7" t="s">
        <v>2521</v>
      </c>
      <c r="AX479" s="7" t="s">
        <v>2522</v>
      </c>
      <c r="AY479" s="7" t="s">
        <v>2523</v>
      </c>
      <c r="AZ479" s="7" t="s">
        <v>2524</v>
      </c>
      <c r="BA479" s="7" t="s">
        <v>2525</v>
      </c>
      <c r="BB479" s="7" t="s">
        <v>2526</v>
      </c>
      <c r="BC479" s="7" t="s">
        <v>2527</v>
      </c>
    </row>
    <row r="480" spans="1:55" ht="78" customHeight="1" x14ac:dyDescent="0.4">
      <c r="A480" s="67">
        <v>8721001271382</v>
      </c>
      <c r="B480" t="e">
        <f>_xlfn.XLOOKUP(A480,'Product info'!A:A,'Product info'!C:C,,2)</f>
        <v>#N/A</v>
      </c>
      <c r="C480" s="69" t="s">
        <v>688</v>
      </c>
      <c r="D480" s="7" t="s">
        <v>689</v>
      </c>
      <c r="E480" s="7" t="s">
        <v>747</v>
      </c>
      <c r="F480" s="7" t="s">
        <v>696</v>
      </c>
      <c r="G480" s="7" t="s">
        <v>773</v>
      </c>
      <c r="H480" s="7" t="s">
        <v>940</v>
      </c>
      <c r="I480" s="7" t="s">
        <v>941</v>
      </c>
      <c r="J480" s="7" t="s">
        <v>942</v>
      </c>
      <c r="K480" s="7" t="s">
        <v>695</v>
      </c>
      <c r="L480" s="7" t="s">
        <v>694</v>
      </c>
      <c r="M480" s="7" t="s">
        <v>1427</v>
      </c>
      <c r="N480" s="7" t="s">
        <v>688</v>
      </c>
      <c r="O480" s="7" t="s">
        <v>689</v>
      </c>
      <c r="P480" s="7" t="s">
        <v>747</v>
      </c>
      <c r="Q480" s="7" t="s">
        <v>696</v>
      </c>
      <c r="R480" s="7" t="s">
        <v>773</v>
      </c>
      <c r="S480" s="7" t="s">
        <v>2083</v>
      </c>
      <c r="T480" s="7" t="s">
        <v>2331</v>
      </c>
      <c r="U480" s="7" t="s">
        <v>2332</v>
      </c>
      <c r="V480" s="7" t="s">
        <v>2333</v>
      </c>
      <c r="W480" s="7" t="s">
        <v>2334</v>
      </c>
      <c r="X480" s="7" t="s">
        <v>2335</v>
      </c>
      <c r="Y480" s="7" t="s">
        <v>2336</v>
      </c>
      <c r="Z480" s="7" t="s">
        <v>2337</v>
      </c>
      <c r="AA480" s="7" t="s">
        <v>2516</v>
      </c>
      <c r="AB480" s="7" t="s">
        <v>2517</v>
      </c>
      <c r="AC480" s="7" t="s">
        <v>2340</v>
      </c>
      <c r="AD480" s="7" t="s">
        <v>2341</v>
      </c>
      <c r="AE480" s="7" t="s">
        <v>2342</v>
      </c>
      <c r="AF480" s="7" t="s">
        <v>2343</v>
      </c>
      <c r="AG480" s="7" t="s">
        <v>2344</v>
      </c>
      <c r="AH480" s="7" t="s">
        <v>2345</v>
      </c>
      <c r="AI480" s="7" t="s">
        <v>2346</v>
      </c>
    </row>
    <row r="481" spans="1:61" ht="78" customHeight="1" x14ac:dyDescent="0.4">
      <c r="A481" s="67">
        <v>8719992661916</v>
      </c>
      <c r="B481" t="e">
        <f>_xlfn.XLOOKUP(A481,'Product info'!A:A,'Product info'!C:C,,2)</f>
        <v>#N/A</v>
      </c>
      <c r="C481" s="69" t="s">
        <v>688</v>
      </c>
      <c r="D481" s="7" t="s">
        <v>689</v>
      </c>
      <c r="E481" s="7" t="s">
        <v>690</v>
      </c>
      <c r="F481" s="7" t="s">
        <v>691</v>
      </c>
      <c r="G481" s="7" t="s">
        <v>692</v>
      </c>
      <c r="H481" s="7" t="s">
        <v>693</v>
      </c>
      <c r="I481" s="7" t="s">
        <v>694</v>
      </c>
      <c r="J481" s="7" t="s">
        <v>695</v>
      </c>
      <c r="K481" s="7" t="s">
        <v>696</v>
      </c>
      <c r="L481" s="7" t="s">
        <v>697</v>
      </c>
      <c r="M481" s="7" t="s">
        <v>698</v>
      </c>
      <c r="N481" s="7" t="s">
        <v>699</v>
      </c>
      <c r="O481" s="7" t="s">
        <v>700</v>
      </c>
      <c r="P481" s="7" t="s">
        <v>701</v>
      </c>
      <c r="Q481" s="7" t="s">
        <v>702</v>
      </c>
      <c r="R481" s="7" t="s">
        <v>703</v>
      </c>
      <c r="S481" s="7" t="s">
        <v>704</v>
      </c>
      <c r="T481" s="7" t="s">
        <v>705</v>
      </c>
      <c r="U481" s="7" t="s">
        <v>706</v>
      </c>
      <c r="V481" s="7" t="s">
        <v>707</v>
      </c>
      <c r="W481" s="7" t="s">
        <v>708</v>
      </c>
      <c r="X481" s="7" t="s">
        <v>709</v>
      </c>
      <c r="Y481" s="7" t="s">
        <v>710</v>
      </c>
      <c r="Z481" s="7" t="s">
        <v>711</v>
      </c>
      <c r="AA481" s="7" t="s">
        <v>712</v>
      </c>
      <c r="AB481" s="7" t="s">
        <v>694</v>
      </c>
      <c r="AC481" s="7" t="s">
        <v>713</v>
      </c>
      <c r="AD481" s="7" t="s">
        <v>714</v>
      </c>
      <c r="AE481" s="7" t="s">
        <v>715</v>
      </c>
      <c r="AF481" s="7" t="s">
        <v>716</v>
      </c>
      <c r="AG481" s="7" t="s">
        <v>1268</v>
      </c>
      <c r="AH481" s="7" t="s">
        <v>1269</v>
      </c>
      <c r="AI481" s="7" t="s">
        <v>1270</v>
      </c>
      <c r="AJ481" s="7" t="s">
        <v>1271</v>
      </c>
      <c r="AK481" s="7" t="s">
        <v>1500</v>
      </c>
      <c r="AL481" s="7" t="s">
        <v>1273</v>
      </c>
      <c r="AM481" s="7" t="s">
        <v>1274</v>
      </c>
      <c r="AN481" s="7" t="s">
        <v>1275</v>
      </c>
      <c r="AO481" s="7" t="s">
        <v>1276</v>
      </c>
    </row>
    <row r="482" spans="1:61" ht="78" customHeight="1" x14ac:dyDescent="0.4">
      <c r="A482" s="67">
        <v>8719992661930</v>
      </c>
      <c r="B482" t="e">
        <f>_xlfn.XLOOKUP(A482,'Product info'!A:A,'Product info'!C:C,,2)</f>
        <v>#N/A</v>
      </c>
      <c r="C482" s="69" t="s">
        <v>688</v>
      </c>
      <c r="D482" s="7" t="s">
        <v>689</v>
      </c>
      <c r="E482" s="7" t="s">
        <v>690</v>
      </c>
      <c r="F482" s="7" t="s">
        <v>691</v>
      </c>
      <c r="G482" s="7" t="s">
        <v>692</v>
      </c>
      <c r="H482" s="7" t="s">
        <v>693</v>
      </c>
      <c r="I482" s="7" t="s">
        <v>694</v>
      </c>
      <c r="J482" s="7" t="s">
        <v>695</v>
      </c>
      <c r="K482" s="7" t="s">
        <v>696</v>
      </c>
      <c r="L482" s="7" t="s">
        <v>697</v>
      </c>
      <c r="M482" s="7" t="s">
        <v>698</v>
      </c>
      <c r="N482" s="7" t="s">
        <v>699</v>
      </c>
      <c r="O482" s="7" t="s">
        <v>700</v>
      </c>
      <c r="P482" s="7" t="s">
        <v>701</v>
      </c>
      <c r="Q482" s="7" t="s">
        <v>702</v>
      </c>
      <c r="R482" s="7" t="s">
        <v>703</v>
      </c>
      <c r="S482" s="7" t="s">
        <v>704</v>
      </c>
      <c r="T482" s="7" t="s">
        <v>705</v>
      </c>
      <c r="U482" s="7" t="s">
        <v>706</v>
      </c>
      <c r="V482" s="7" t="s">
        <v>707</v>
      </c>
      <c r="W482" s="7" t="s">
        <v>708</v>
      </c>
      <c r="X482" s="7" t="s">
        <v>709</v>
      </c>
      <c r="Y482" s="7" t="s">
        <v>710</v>
      </c>
      <c r="Z482" s="7" t="s">
        <v>711</v>
      </c>
      <c r="AA482" s="7" t="s">
        <v>712</v>
      </c>
      <c r="AB482" s="7" t="s">
        <v>694</v>
      </c>
      <c r="AC482" s="7" t="s">
        <v>713</v>
      </c>
      <c r="AD482" s="7" t="s">
        <v>714</v>
      </c>
      <c r="AE482" s="7" t="s">
        <v>715</v>
      </c>
      <c r="AF482" s="7" t="s">
        <v>716</v>
      </c>
      <c r="AG482" s="7" t="s">
        <v>1268</v>
      </c>
      <c r="AH482" s="7" t="s">
        <v>1269</v>
      </c>
      <c r="AI482" s="7" t="s">
        <v>1270</v>
      </c>
      <c r="AJ482" s="7" t="s">
        <v>1271</v>
      </c>
      <c r="AK482" s="7" t="s">
        <v>1500</v>
      </c>
      <c r="AL482" s="7" t="s">
        <v>1273</v>
      </c>
      <c r="AM482" s="7" t="s">
        <v>1274</v>
      </c>
      <c r="AN482" s="7" t="s">
        <v>1275</v>
      </c>
      <c r="AO482" s="7" t="s">
        <v>1276</v>
      </c>
    </row>
    <row r="483" spans="1:61" ht="78" customHeight="1" x14ac:dyDescent="0.4">
      <c r="A483" s="67">
        <v>8719992661305</v>
      </c>
      <c r="B483" t="e">
        <f>_xlfn.XLOOKUP(A483,'Product info'!A:A,'Product info'!C:C,,2)</f>
        <v>#N/A</v>
      </c>
      <c r="C483" s="69" t="s">
        <v>688</v>
      </c>
      <c r="D483" s="7" t="s">
        <v>689</v>
      </c>
      <c r="E483" s="7" t="s">
        <v>690</v>
      </c>
      <c r="F483" s="7" t="s">
        <v>691</v>
      </c>
      <c r="G483" s="7" t="s">
        <v>692</v>
      </c>
      <c r="H483" s="7" t="s">
        <v>693</v>
      </c>
      <c r="I483" s="7" t="s">
        <v>694</v>
      </c>
      <c r="J483" s="7" t="s">
        <v>695</v>
      </c>
      <c r="K483" s="7" t="s">
        <v>696</v>
      </c>
      <c r="L483" s="7" t="s">
        <v>697</v>
      </c>
      <c r="M483" s="7" t="s">
        <v>698</v>
      </c>
      <c r="N483" s="7" t="s">
        <v>699</v>
      </c>
      <c r="O483" s="7" t="s">
        <v>700</v>
      </c>
      <c r="P483" s="7" t="s">
        <v>701</v>
      </c>
      <c r="Q483" s="7" t="s">
        <v>702</v>
      </c>
      <c r="R483" s="7" t="s">
        <v>703</v>
      </c>
      <c r="S483" s="7" t="s">
        <v>704</v>
      </c>
      <c r="T483" s="7" t="s">
        <v>705</v>
      </c>
      <c r="U483" s="7" t="s">
        <v>706</v>
      </c>
      <c r="V483" s="7" t="s">
        <v>707</v>
      </c>
      <c r="W483" s="7" t="s">
        <v>708</v>
      </c>
      <c r="X483" s="7" t="s">
        <v>709</v>
      </c>
      <c r="Y483" s="7" t="s">
        <v>710</v>
      </c>
      <c r="Z483" s="7" t="s">
        <v>711</v>
      </c>
      <c r="AA483" s="7" t="s">
        <v>712</v>
      </c>
      <c r="AB483" s="7" t="s">
        <v>694</v>
      </c>
      <c r="AC483" s="7" t="s">
        <v>713</v>
      </c>
      <c r="AD483" s="7" t="s">
        <v>714</v>
      </c>
      <c r="AE483" s="7" t="s">
        <v>715</v>
      </c>
      <c r="AF483" s="7" t="s">
        <v>716</v>
      </c>
      <c r="AG483" s="7" t="s">
        <v>1500</v>
      </c>
      <c r="AH483" s="7" t="s">
        <v>1273</v>
      </c>
      <c r="AI483" s="7" t="s">
        <v>1274</v>
      </c>
      <c r="AJ483" s="7" t="s">
        <v>1275</v>
      </c>
      <c r="AK483" s="7" t="s">
        <v>1276</v>
      </c>
    </row>
    <row r="484" spans="1:61" ht="78" customHeight="1" x14ac:dyDescent="0.4">
      <c r="A484" s="67">
        <v>8721001271658</v>
      </c>
      <c r="B484" t="e">
        <f>_xlfn.XLOOKUP(A484,'Product info'!A:A,'Product info'!C:C,,2)</f>
        <v>#N/A</v>
      </c>
      <c r="C484" s="69" t="s">
        <v>688</v>
      </c>
      <c r="D484" s="7" t="s">
        <v>689</v>
      </c>
      <c r="E484" s="7" t="s">
        <v>690</v>
      </c>
      <c r="F484" s="7" t="s">
        <v>691</v>
      </c>
      <c r="G484" s="7" t="s">
        <v>692</v>
      </c>
      <c r="H484" s="7" t="s">
        <v>693</v>
      </c>
      <c r="I484" s="7" t="s">
        <v>694</v>
      </c>
      <c r="J484" s="7" t="s">
        <v>695</v>
      </c>
      <c r="K484" s="7" t="s">
        <v>696</v>
      </c>
      <c r="L484" s="7" t="s">
        <v>697</v>
      </c>
      <c r="M484" s="7" t="s">
        <v>698</v>
      </c>
      <c r="N484" s="7" t="s">
        <v>699</v>
      </c>
      <c r="O484" s="7" t="s">
        <v>700</v>
      </c>
      <c r="P484" s="7" t="s">
        <v>701</v>
      </c>
      <c r="Q484" s="7" t="s">
        <v>702</v>
      </c>
      <c r="R484" s="7" t="s">
        <v>703</v>
      </c>
      <c r="S484" s="7" t="s">
        <v>704</v>
      </c>
      <c r="T484" s="7" t="s">
        <v>705</v>
      </c>
      <c r="U484" s="7" t="s">
        <v>706</v>
      </c>
      <c r="V484" s="7" t="s">
        <v>707</v>
      </c>
      <c r="W484" s="7" t="s">
        <v>708</v>
      </c>
      <c r="X484" s="7" t="s">
        <v>709</v>
      </c>
      <c r="Y484" s="7" t="s">
        <v>710</v>
      </c>
      <c r="Z484" s="7" t="s">
        <v>711</v>
      </c>
      <c r="AA484" s="7" t="s">
        <v>712</v>
      </c>
      <c r="AB484" s="7" t="s">
        <v>694</v>
      </c>
      <c r="AC484" s="7" t="s">
        <v>713</v>
      </c>
      <c r="AD484" s="7" t="s">
        <v>714</v>
      </c>
      <c r="AE484" s="7" t="s">
        <v>715</v>
      </c>
      <c r="AF484" s="7" t="s">
        <v>716</v>
      </c>
      <c r="AG484" s="7" t="s">
        <v>1536</v>
      </c>
      <c r="AH484" s="7" t="s">
        <v>1537</v>
      </c>
      <c r="AI484" s="7" t="s">
        <v>1538</v>
      </c>
      <c r="AJ484" s="7" t="s">
        <v>1539</v>
      </c>
      <c r="AK484" s="7" t="s">
        <v>1540</v>
      </c>
      <c r="AL484" s="7" t="s">
        <v>1541</v>
      </c>
      <c r="AM484" s="7" t="s">
        <v>1542</v>
      </c>
      <c r="AN484" s="7" t="s">
        <v>1543</v>
      </c>
      <c r="AO484" s="7" t="s">
        <v>1544</v>
      </c>
      <c r="AP484" s="7" t="s">
        <v>1545</v>
      </c>
      <c r="AQ484" s="7" t="s">
        <v>1546</v>
      </c>
      <c r="AR484" s="7" t="s">
        <v>1547</v>
      </c>
      <c r="AS484" s="7" t="s">
        <v>1548</v>
      </c>
      <c r="AT484" s="7" t="s">
        <v>1549</v>
      </c>
      <c r="AU484" s="7" t="s">
        <v>1550</v>
      </c>
      <c r="AV484" s="7" t="s">
        <v>1551</v>
      </c>
      <c r="AW484" s="7" t="s">
        <v>1552</v>
      </c>
      <c r="AX484" s="7" t="s">
        <v>1553</v>
      </c>
      <c r="AY484" s="7" t="s">
        <v>1554</v>
      </c>
      <c r="AZ484" s="7" t="s">
        <v>1555</v>
      </c>
      <c r="BA484" s="7" t="s">
        <v>1556</v>
      </c>
      <c r="BB484" s="7" t="s">
        <v>1557</v>
      </c>
      <c r="BC484" s="7" t="s">
        <v>1558</v>
      </c>
      <c r="BD484" s="7" t="s">
        <v>1559</v>
      </c>
      <c r="BE484" s="7" t="s">
        <v>1560</v>
      </c>
      <c r="BF484" s="7" t="s">
        <v>1561</v>
      </c>
      <c r="BG484" s="7" t="s">
        <v>1562</v>
      </c>
    </row>
    <row r="485" spans="1:61" ht="78" customHeight="1" x14ac:dyDescent="0.4">
      <c r="A485" s="67">
        <v>8721001271641</v>
      </c>
      <c r="B485" t="e">
        <f>_xlfn.XLOOKUP(A485,'Product info'!A:A,'Product info'!C:C,,2)</f>
        <v>#N/A</v>
      </c>
      <c r="C485" s="69" t="s">
        <v>688</v>
      </c>
      <c r="D485" s="7" t="s">
        <v>689</v>
      </c>
      <c r="E485" s="7" t="s">
        <v>690</v>
      </c>
      <c r="F485" s="7" t="s">
        <v>691</v>
      </c>
      <c r="G485" s="7" t="s">
        <v>692</v>
      </c>
      <c r="H485" s="7" t="s">
        <v>693</v>
      </c>
      <c r="I485" s="7" t="s">
        <v>694</v>
      </c>
      <c r="J485" s="7" t="s">
        <v>695</v>
      </c>
      <c r="K485" s="7" t="s">
        <v>696</v>
      </c>
      <c r="L485" s="7" t="s">
        <v>697</v>
      </c>
      <c r="M485" s="7" t="s">
        <v>698</v>
      </c>
      <c r="N485" s="7" t="s">
        <v>699</v>
      </c>
      <c r="O485" s="7" t="s">
        <v>700</v>
      </c>
      <c r="P485" s="7" t="s">
        <v>701</v>
      </c>
      <c r="Q485" s="7" t="s">
        <v>702</v>
      </c>
      <c r="R485" s="7" t="s">
        <v>703</v>
      </c>
      <c r="S485" s="7" t="s">
        <v>704</v>
      </c>
      <c r="T485" s="7" t="s">
        <v>705</v>
      </c>
      <c r="U485" s="7" t="s">
        <v>706</v>
      </c>
      <c r="V485" s="7" t="s">
        <v>707</v>
      </c>
      <c r="W485" s="7" t="s">
        <v>708</v>
      </c>
      <c r="X485" s="7" t="s">
        <v>709</v>
      </c>
      <c r="Y485" s="7" t="s">
        <v>710</v>
      </c>
      <c r="Z485" s="7" t="s">
        <v>711</v>
      </c>
      <c r="AA485" s="7" t="s">
        <v>712</v>
      </c>
      <c r="AB485" s="7" t="s">
        <v>694</v>
      </c>
      <c r="AC485" s="7" t="s">
        <v>713</v>
      </c>
      <c r="AD485" s="7" t="s">
        <v>714</v>
      </c>
      <c r="AE485" s="7" t="s">
        <v>715</v>
      </c>
      <c r="AF485" s="7" t="s">
        <v>716</v>
      </c>
      <c r="AG485" s="7" t="s">
        <v>1536</v>
      </c>
      <c r="AH485" s="7" t="s">
        <v>1537</v>
      </c>
      <c r="AI485" s="7" t="s">
        <v>1538</v>
      </c>
      <c r="AJ485" s="7" t="s">
        <v>1539</v>
      </c>
      <c r="AK485" s="7" t="s">
        <v>1540</v>
      </c>
      <c r="AL485" s="7" t="s">
        <v>1541</v>
      </c>
      <c r="AM485" s="7" t="s">
        <v>1542</v>
      </c>
      <c r="AN485" s="7" t="s">
        <v>1543</v>
      </c>
      <c r="AO485" s="7" t="s">
        <v>1544</v>
      </c>
      <c r="AP485" s="7" t="s">
        <v>1545</v>
      </c>
      <c r="AQ485" s="7" t="s">
        <v>1546</v>
      </c>
      <c r="AR485" s="7" t="s">
        <v>1547</v>
      </c>
      <c r="AS485" s="7" t="s">
        <v>1548</v>
      </c>
      <c r="AT485" s="7" t="s">
        <v>1549</v>
      </c>
      <c r="AU485" s="7" t="s">
        <v>1550</v>
      </c>
      <c r="AV485" s="7" t="s">
        <v>1551</v>
      </c>
      <c r="AW485" s="7" t="s">
        <v>1552</v>
      </c>
      <c r="AX485" s="7" t="s">
        <v>1553</v>
      </c>
      <c r="AY485" s="7" t="s">
        <v>1554</v>
      </c>
      <c r="AZ485" s="7" t="s">
        <v>1555</v>
      </c>
      <c r="BA485" s="7" t="s">
        <v>1556</v>
      </c>
      <c r="BB485" s="7" t="s">
        <v>1557</v>
      </c>
      <c r="BC485" s="7" t="s">
        <v>1558</v>
      </c>
      <c r="BD485" s="7" t="s">
        <v>1559</v>
      </c>
      <c r="BE485" s="7" t="s">
        <v>1560</v>
      </c>
      <c r="BF485" s="7" t="s">
        <v>1561</v>
      </c>
      <c r="BG485" s="7" t="s">
        <v>1562</v>
      </c>
      <c r="BH485" s="7" t="s">
        <v>1563</v>
      </c>
      <c r="BI485" s="7" t="s">
        <v>1564</v>
      </c>
    </row>
    <row r="486" spans="1:61" ht="78" customHeight="1" x14ac:dyDescent="0.4">
      <c r="A486" s="67">
        <v>8720828495728</v>
      </c>
      <c r="B486" t="e">
        <f>_xlfn.XLOOKUP(A486,'Product info'!A:A,'Product info'!C:C,,2)</f>
        <v>#N/A</v>
      </c>
      <c r="C486" s="69" t="s">
        <v>688</v>
      </c>
      <c r="D486" s="7" t="s">
        <v>689</v>
      </c>
      <c r="E486" s="7" t="s">
        <v>690</v>
      </c>
      <c r="F486" s="7" t="s">
        <v>691</v>
      </c>
      <c r="G486" s="7" t="s">
        <v>692</v>
      </c>
      <c r="H486" s="7" t="s">
        <v>693</v>
      </c>
      <c r="I486" s="7" t="s">
        <v>694</v>
      </c>
      <c r="J486" s="7" t="s">
        <v>695</v>
      </c>
      <c r="K486" s="7" t="s">
        <v>696</v>
      </c>
      <c r="L486" s="7" t="s">
        <v>697</v>
      </c>
      <c r="M486" s="7" t="s">
        <v>698</v>
      </c>
      <c r="N486" s="7" t="s">
        <v>699</v>
      </c>
      <c r="O486" s="7" t="s">
        <v>700</v>
      </c>
      <c r="P486" s="7" t="s">
        <v>701</v>
      </c>
      <c r="Q486" s="7" t="s">
        <v>702</v>
      </c>
      <c r="R486" s="7" t="s">
        <v>703</v>
      </c>
      <c r="S486" s="7" t="s">
        <v>704</v>
      </c>
      <c r="T486" s="7" t="s">
        <v>705</v>
      </c>
      <c r="U486" s="7" t="s">
        <v>706</v>
      </c>
      <c r="V486" s="7" t="s">
        <v>707</v>
      </c>
      <c r="W486" s="7" t="s">
        <v>708</v>
      </c>
      <c r="X486" s="7" t="s">
        <v>709</v>
      </c>
      <c r="Y486" s="7" t="s">
        <v>710</v>
      </c>
      <c r="Z486" s="7" t="s">
        <v>711</v>
      </c>
      <c r="AA486" s="7" t="s">
        <v>712</v>
      </c>
      <c r="AB486" s="7" t="s">
        <v>694</v>
      </c>
      <c r="AC486" s="7" t="s">
        <v>713</v>
      </c>
      <c r="AD486" s="7" t="s">
        <v>714</v>
      </c>
      <c r="AE486" s="7" t="s">
        <v>715</v>
      </c>
      <c r="AF486" s="7" t="s">
        <v>716</v>
      </c>
      <c r="AG486" s="7" t="s">
        <v>2528</v>
      </c>
      <c r="AH486" s="7" t="s">
        <v>2529</v>
      </c>
      <c r="AI486" s="7" t="s">
        <v>2530</v>
      </c>
      <c r="AJ486" s="7" t="s">
        <v>2531</v>
      </c>
      <c r="AK486" s="7" t="s">
        <v>2532</v>
      </c>
      <c r="AL486" s="7" t="s">
        <v>2533</v>
      </c>
      <c r="AM486" s="7" t="s">
        <v>2534</v>
      </c>
      <c r="AN486" s="7" t="s">
        <v>2535</v>
      </c>
      <c r="AO486" s="7" t="s">
        <v>2536</v>
      </c>
      <c r="AP486" s="7" t="s">
        <v>2537</v>
      </c>
      <c r="AQ486" s="7" t="s">
        <v>2538</v>
      </c>
      <c r="AR486" s="7" t="s">
        <v>2539</v>
      </c>
      <c r="AS486" s="7" t="s">
        <v>2540</v>
      </c>
      <c r="AT486" s="7" t="s">
        <v>2541</v>
      </c>
      <c r="AU486" s="7" t="s">
        <v>2542</v>
      </c>
      <c r="AV486" s="7" t="s">
        <v>2543</v>
      </c>
      <c r="AW486" s="7" t="s">
        <v>2544</v>
      </c>
    </row>
    <row r="487" spans="1:61" ht="78" customHeight="1" x14ac:dyDescent="0.4">
      <c r="A487" s="67">
        <v>8720828495735</v>
      </c>
      <c r="B487" t="e">
        <f>_xlfn.XLOOKUP(A487,'Product info'!A:A,'Product info'!C:C,,2)</f>
        <v>#N/A</v>
      </c>
      <c r="C487" s="69" t="s">
        <v>688</v>
      </c>
      <c r="D487" s="7" t="s">
        <v>689</v>
      </c>
      <c r="E487" s="7" t="s">
        <v>690</v>
      </c>
      <c r="F487" s="7" t="s">
        <v>691</v>
      </c>
      <c r="G487" s="7" t="s">
        <v>692</v>
      </c>
      <c r="H487" s="7" t="s">
        <v>693</v>
      </c>
      <c r="I487" s="7" t="s">
        <v>694</v>
      </c>
      <c r="J487" s="7" t="s">
        <v>695</v>
      </c>
      <c r="K487" s="7" t="s">
        <v>696</v>
      </c>
      <c r="L487" s="7" t="s">
        <v>697</v>
      </c>
      <c r="M487" s="7" t="s">
        <v>698</v>
      </c>
      <c r="N487" s="7" t="s">
        <v>699</v>
      </c>
      <c r="O487" s="7" t="s">
        <v>700</v>
      </c>
      <c r="P487" s="7" t="s">
        <v>701</v>
      </c>
      <c r="Q487" s="7" t="s">
        <v>702</v>
      </c>
      <c r="R487" s="7" t="s">
        <v>703</v>
      </c>
      <c r="S487" s="7" t="s">
        <v>704</v>
      </c>
      <c r="T487" s="7" t="s">
        <v>705</v>
      </c>
      <c r="U487" s="7" t="s">
        <v>706</v>
      </c>
      <c r="V487" s="7" t="s">
        <v>707</v>
      </c>
      <c r="W487" s="7" t="s">
        <v>708</v>
      </c>
      <c r="X487" s="7" t="s">
        <v>709</v>
      </c>
      <c r="Y487" s="7" t="s">
        <v>710</v>
      </c>
      <c r="Z487" s="7" t="s">
        <v>711</v>
      </c>
      <c r="AA487" s="7" t="s">
        <v>712</v>
      </c>
      <c r="AB487" s="7" t="s">
        <v>694</v>
      </c>
      <c r="AC487" s="7" t="s">
        <v>713</v>
      </c>
      <c r="AD487" s="7" t="s">
        <v>714</v>
      </c>
      <c r="AE487" s="7" t="s">
        <v>715</v>
      </c>
      <c r="AF487" s="7" t="s">
        <v>716</v>
      </c>
      <c r="AG487" s="7" t="s">
        <v>2528</v>
      </c>
      <c r="AH487" s="7" t="s">
        <v>2529</v>
      </c>
      <c r="AI487" s="7" t="s">
        <v>2530</v>
      </c>
      <c r="AJ487" s="7" t="s">
        <v>2531</v>
      </c>
      <c r="AK487" s="7" t="s">
        <v>2532</v>
      </c>
      <c r="AL487" s="7" t="s">
        <v>2533</v>
      </c>
      <c r="AM487" s="7" t="s">
        <v>2534</v>
      </c>
      <c r="AN487" s="7" t="s">
        <v>2535</v>
      </c>
      <c r="AO487" s="7" t="s">
        <v>2536</v>
      </c>
      <c r="AP487" s="7" t="s">
        <v>2537</v>
      </c>
      <c r="AQ487" s="7" t="s">
        <v>2538</v>
      </c>
      <c r="AR487" s="7" t="s">
        <v>2539</v>
      </c>
      <c r="AS487" s="7" t="s">
        <v>2540</v>
      </c>
      <c r="AT487" s="7" t="s">
        <v>2541</v>
      </c>
      <c r="AU487" s="7" t="s">
        <v>2542</v>
      </c>
      <c r="AV487" s="7" t="s">
        <v>2543</v>
      </c>
      <c r="AW487" s="7" t="s">
        <v>2544</v>
      </c>
    </row>
    <row r="488" spans="1:61" ht="78" customHeight="1" x14ac:dyDescent="0.4">
      <c r="A488" s="67">
        <v>8720828495742</v>
      </c>
      <c r="B488" t="e">
        <f>_xlfn.XLOOKUP(A488,'Product info'!A:A,'Product info'!C:C,,2)</f>
        <v>#N/A</v>
      </c>
      <c r="C488" s="69" t="s">
        <v>688</v>
      </c>
      <c r="D488" s="7" t="s">
        <v>689</v>
      </c>
      <c r="E488" s="7" t="s">
        <v>690</v>
      </c>
      <c r="F488" s="7" t="s">
        <v>691</v>
      </c>
      <c r="G488" s="7" t="s">
        <v>692</v>
      </c>
      <c r="H488" s="7" t="s">
        <v>693</v>
      </c>
      <c r="I488" s="7" t="s">
        <v>694</v>
      </c>
      <c r="J488" s="7" t="s">
        <v>695</v>
      </c>
      <c r="K488" s="7" t="s">
        <v>696</v>
      </c>
      <c r="L488" s="7" t="s">
        <v>697</v>
      </c>
      <c r="M488" s="7" t="s">
        <v>698</v>
      </c>
      <c r="N488" s="7" t="s">
        <v>699</v>
      </c>
      <c r="O488" s="7" t="s">
        <v>700</v>
      </c>
      <c r="P488" s="7" t="s">
        <v>701</v>
      </c>
      <c r="Q488" s="7" t="s">
        <v>702</v>
      </c>
      <c r="R488" s="7" t="s">
        <v>703</v>
      </c>
      <c r="S488" s="7" t="s">
        <v>704</v>
      </c>
      <c r="T488" s="7" t="s">
        <v>705</v>
      </c>
      <c r="U488" s="7" t="s">
        <v>706</v>
      </c>
      <c r="V488" s="7" t="s">
        <v>707</v>
      </c>
      <c r="W488" s="7" t="s">
        <v>708</v>
      </c>
      <c r="X488" s="7" t="s">
        <v>709</v>
      </c>
      <c r="Y488" s="7" t="s">
        <v>710</v>
      </c>
      <c r="Z488" s="7" t="s">
        <v>711</v>
      </c>
      <c r="AA488" s="7" t="s">
        <v>712</v>
      </c>
      <c r="AB488" s="7" t="s">
        <v>694</v>
      </c>
      <c r="AC488" s="7" t="s">
        <v>713</v>
      </c>
      <c r="AD488" s="7" t="s">
        <v>714</v>
      </c>
      <c r="AE488" s="7" t="s">
        <v>715</v>
      </c>
      <c r="AF488" s="7" t="s">
        <v>716</v>
      </c>
      <c r="AG488" s="7" t="s">
        <v>2528</v>
      </c>
      <c r="AH488" s="7" t="s">
        <v>2529</v>
      </c>
      <c r="AI488" s="7" t="s">
        <v>2530</v>
      </c>
      <c r="AJ488" s="7" t="s">
        <v>2531</v>
      </c>
      <c r="AK488" s="7" t="s">
        <v>2532</v>
      </c>
      <c r="AL488" s="7" t="s">
        <v>2533</v>
      </c>
      <c r="AM488" s="7" t="s">
        <v>2534</v>
      </c>
      <c r="AN488" s="7" t="s">
        <v>2535</v>
      </c>
      <c r="AO488" s="7" t="s">
        <v>2536</v>
      </c>
      <c r="AP488" s="7" t="s">
        <v>2537</v>
      </c>
      <c r="AQ488" s="7" t="s">
        <v>2538</v>
      </c>
      <c r="AR488" s="7" t="s">
        <v>2539</v>
      </c>
      <c r="AS488" s="7" t="s">
        <v>2540</v>
      </c>
      <c r="AT488" s="7" t="s">
        <v>2541</v>
      </c>
      <c r="AU488" s="7" t="s">
        <v>2542</v>
      </c>
      <c r="AV488" s="7" t="s">
        <v>2543</v>
      </c>
      <c r="AW488" s="7" t="s">
        <v>2544</v>
      </c>
    </row>
    <row r="489" spans="1:61" ht="78" customHeight="1" x14ac:dyDescent="0.4">
      <c r="A489" s="67">
        <v>8720828495759</v>
      </c>
      <c r="B489" t="e">
        <f>_xlfn.XLOOKUP(A489,'Product info'!A:A,'Product info'!C:C,,2)</f>
        <v>#N/A</v>
      </c>
      <c r="C489" s="69" t="s">
        <v>688</v>
      </c>
      <c r="D489" s="7" t="s">
        <v>689</v>
      </c>
      <c r="E489" s="7" t="s">
        <v>690</v>
      </c>
      <c r="F489" s="7" t="s">
        <v>691</v>
      </c>
      <c r="G489" s="7" t="s">
        <v>692</v>
      </c>
      <c r="H489" s="7" t="s">
        <v>693</v>
      </c>
      <c r="I489" s="7" t="s">
        <v>694</v>
      </c>
      <c r="J489" s="7" t="s">
        <v>695</v>
      </c>
      <c r="K489" s="7" t="s">
        <v>696</v>
      </c>
      <c r="L489" s="7" t="s">
        <v>697</v>
      </c>
      <c r="M489" s="7" t="s">
        <v>698</v>
      </c>
      <c r="N489" s="7" t="s">
        <v>699</v>
      </c>
      <c r="O489" s="7" t="s">
        <v>700</v>
      </c>
      <c r="P489" s="7" t="s">
        <v>701</v>
      </c>
      <c r="Q489" s="7" t="s">
        <v>702</v>
      </c>
      <c r="R489" s="7" t="s">
        <v>703</v>
      </c>
      <c r="S489" s="7" t="s">
        <v>704</v>
      </c>
      <c r="T489" s="7" t="s">
        <v>705</v>
      </c>
      <c r="U489" s="7" t="s">
        <v>706</v>
      </c>
      <c r="V489" s="7" t="s">
        <v>707</v>
      </c>
      <c r="W489" s="7" t="s">
        <v>708</v>
      </c>
      <c r="X489" s="7" t="s">
        <v>709</v>
      </c>
      <c r="Y489" s="7" t="s">
        <v>710</v>
      </c>
      <c r="Z489" s="7" t="s">
        <v>711</v>
      </c>
      <c r="AA489" s="7" t="s">
        <v>712</v>
      </c>
      <c r="AB489" s="7" t="s">
        <v>694</v>
      </c>
      <c r="AC489" s="7" t="s">
        <v>713</v>
      </c>
      <c r="AD489" s="7" t="s">
        <v>714</v>
      </c>
      <c r="AE489" s="7" t="s">
        <v>715</v>
      </c>
      <c r="AF489" s="7" t="s">
        <v>716</v>
      </c>
      <c r="AG489" s="7" t="s">
        <v>2528</v>
      </c>
      <c r="AH489" s="7" t="s">
        <v>2529</v>
      </c>
      <c r="AI489" s="7" t="s">
        <v>2530</v>
      </c>
      <c r="AJ489" s="7" t="s">
        <v>2531</v>
      </c>
      <c r="AK489" s="7" t="s">
        <v>2532</v>
      </c>
      <c r="AL489" s="7" t="s">
        <v>2533</v>
      </c>
      <c r="AM489" s="7" t="s">
        <v>2534</v>
      </c>
      <c r="AN489" s="7" t="s">
        <v>2535</v>
      </c>
      <c r="AO489" s="7" t="s">
        <v>2536</v>
      </c>
      <c r="AP489" s="7" t="s">
        <v>2537</v>
      </c>
      <c r="AQ489" s="7" t="s">
        <v>2538</v>
      </c>
      <c r="AR489" s="7" t="s">
        <v>2539</v>
      </c>
      <c r="AS489" s="7" t="s">
        <v>2540</v>
      </c>
      <c r="AT489" s="7" t="s">
        <v>2541</v>
      </c>
      <c r="AU489" s="7" t="s">
        <v>2542</v>
      </c>
      <c r="AV489" s="7" t="s">
        <v>2543</v>
      </c>
      <c r="AW489" s="7" t="s">
        <v>2544</v>
      </c>
    </row>
    <row r="490" spans="1:61" ht="78" customHeight="1" x14ac:dyDescent="0.4">
      <c r="A490" s="67">
        <v>8721001272631</v>
      </c>
      <c r="B490" t="e">
        <f>_xlfn.XLOOKUP(A490,'Product info'!A:A,'Product info'!C:C,,2)</f>
        <v>#N/A</v>
      </c>
      <c r="C490" s="69" t="s">
        <v>688</v>
      </c>
      <c r="D490" s="7" t="s">
        <v>689</v>
      </c>
      <c r="E490" s="7" t="s">
        <v>690</v>
      </c>
      <c r="F490" s="7" t="s">
        <v>691</v>
      </c>
      <c r="G490" s="7" t="s">
        <v>692</v>
      </c>
      <c r="H490" s="7" t="s">
        <v>693</v>
      </c>
      <c r="I490" s="7" t="s">
        <v>694</v>
      </c>
      <c r="J490" s="7" t="s">
        <v>695</v>
      </c>
      <c r="K490" s="7" t="s">
        <v>696</v>
      </c>
      <c r="L490" s="7" t="s">
        <v>697</v>
      </c>
      <c r="M490" s="7" t="s">
        <v>698</v>
      </c>
      <c r="N490" s="7" t="s">
        <v>699</v>
      </c>
      <c r="O490" s="7" t="s">
        <v>700</v>
      </c>
      <c r="P490" s="7" t="s">
        <v>701</v>
      </c>
      <c r="Q490" s="7" t="s">
        <v>702</v>
      </c>
      <c r="R490" s="7" t="s">
        <v>703</v>
      </c>
      <c r="S490" s="7" t="s">
        <v>704</v>
      </c>
      <c r="T490" s="7" t="s">
        <v>705</v>
      </c>
      <c r="U490" s="7" t="s">
        <v>706</v>
      </c>
      <c r="V490" s="7" t="s">
        <v>707</v>
      </c>
      <c r="W490" s="7" t="s">
        <v>708</v>
      </c>
      <c r="X490" s="7" t="s">
        <v>709</v>
      </c>
      <c r="Y490" s="7" t="s">
        <v>710</v>
      </c>
      <c r="Z490" s="7" t="s">
        <v>711</v>
      </c>
      <c r="AA490" s="7" t="s">
        <v>712</v>
      </c>
      <c r="AB490" s="7" t="s">
        <v>694</v>
      </c>
      <c r="AC490" s="7" t="s">
        <v>713</v>
      </c>
      <c r="AD490" s="7" t="s">
        <v>714</v>
      </c>
      <c r="AE490" s="7" t="s">
        <v>715</v>
      </c>
      <c r="AF490" s="7" t="s">
        <v>716</v>
      </c>
      <c r="AG490" s="7" t="s">
        <v>1600</v>
      </c>
      <c r="AH490" s="7" t="s">
        <v>1601</v>
      </c>
      <c r="AI490" s="7" t="s">
        <v>1602</v>
      </c>
      <c r="AJ490" s="7" t="s">
        <v>1603</v>
      </c>
      <c r="AK490" s="7" t="s">
        <v>1604</v>
      </c>
      <c r="AL490" s="7" t="s">
        <v>1605</v>
      </c>
      <c r="AM490" s="7" t="s">
        <v>1606</v>
      </c>
      <c r="AN490" s="7" t="s">
        <v>1607</v>
      </c>
      <c r="AO490" s="7" t="s">
        <v>1608</v>
      </c>
      <c r="AP490" s="7" t="s">
        <v>1609</v>
      </c>
    </row>
    <row r="491" spans="1:61" ht="78" customHeight="1" x14ac:dyDescent="0.4">
      <c r="A491" s="67">
        <v>8719992661220</v>
      </c>
      <c r="B491" t="e">
        <f>_xlfn.XLOOKUP(A491,'Product info'!A:A,'Product info'!C:C,,2)</f>
        <v>#N/A</v>
      </c>
      <c r="C491" s="69" t="s">
        <v>688</v>
      </c>
      <c r="D491" s="7" t="s">
        <v>689</v>
      </c>
      <c r="E491" s="7" t="s">
        <v>690</v>
      </c>
      <c r="F491" s="7" t="s">
        <v>691</v>
      </c>
      <c r="G491" s="7" t="s">
        <v>692</v>
      </c>
      <c r="H491" s="7" t="s">
        <v>693</v>
      </c>
      <c r="I491" s="7" t="s">
        <v>694</v>
      </c>
      <c r="J491" s="7" t="s">
        <v>695</v>
      </c>
      <c r="K491" s="7" t="s">
        <v>696</v>
      </c>
      <c r="L491" s="7" t="s">
        <v>697</v>
      </c>
      <c r="M491" s="7" t="s">
        <v>698</v>
      </c>
      <c r="N491" s="7" t="s">
        <v>699</v>
      </c>
      <c r="O491" s="7" t="s">
        <v>700</v>
      </c>
      <c r="P491" s="7" t="s">
        <v>701</v>
      </c>
      <c r="Q491" s="7" t="s">
        <v>702</v>
      </c>
      <c r="R491" s="7" t="s">
        <v>703</v>
      </c>
      <c r="S491" s="7" t="s">
        <v>704</v>
      </c>
      <c r="T491" s="7" t="s">
        <v>705</v>
      </c>
      <c r="U491" s="7" t="s">
        <v>706</v>
      </c>
      <c r="V491" s="7" t="s">
        <v>707</v>
      </c>
      <c r="W491" s="7" t="s">
        <v>708</v>
      </c>
      <c r="X491" s="7" t="s">
        <v>709</v>
      </c>
      <c r="Y491" s="7" t="s">
        <v>710</v>
      </c>
      <c r="Z491" s="7" t="s">
        <v>711</v>
      </c>
      <c r="AA491" s="7" t="s">
        <v>712</v>
      </c>
      <c r="AB491" s="7" t="s">
        <v>694</v>
      </c>
      <c r="AC491" s="7" t="s">
        <v>713</v>
      </c>
      <c r="AD491" s="7" t="s">
        <v>714</v>
      </c>
      <c r="AE491" s="7" t="s">
        <v>715</v>
      </c>
      <c r="AF491" s="7" t="s">
        <v>716</v>
      </c>
      <c r="AG491" s="7" t="s">
        <v>2545</v>
      </c>
      <c r="AH491" s="7" t="s">
        <v>2546</v>
      </c>
      <c r="AI491" s="7" t="s">
        <v>2547</v>
      </c>
      <c r="AJ491" s="7" t="s">
        <v>2548</v>
      </c>
      <c r="AK491" s="7" t="s">
        <v>2549</v>
      </c>
      <c r="AL491" s="7" t="s">
        <v>2550</v>
      </c>
      <c r="AM491" s="7" t="s">
        <v>2551</v>
      </c>
      <c r="AN491" s="7" t="s">
        <v>2552</v>
      </c>
    </row>
    <row r="492" spans="1:61" ht="78" customHeight="1" x14ac:dyDescent="0.4">
      <c r="A492" s="67">
        <v>8720618229922</v>
      </c>
      <c r="B492" t="e">
        <f>_xlfn.XLOOKUP(A492,'Product info'!A:A,'Product info'!C:C,,2)</f>
        <v>#N/A</v>
      </c>
      <c r="C492" s="69" t="s">
        <v>688</v>
      </c>
      <c r="D492" s="7" t="s">
        <v>689</v>
      </c>
      <c r="E492" s="7" t="s">
        <v>690</v>
      </c>
      <c r="F492" s="7" t="s">
        <v>691</v>
      </c>
      <c r="G492" s="7" t="s">
        <v>692</v>
      </c>
      <c r="H492" s="7" t="s">
        <v>693</v>
      </c>
      <c r="I492" s="7" t="s">
        <v>694</v>
      </c>
      <c r="J492" s="7" t="s">
        <v>695</v>
      </c>
      <c r="K492" s="7" t="s">
        <v>696</v>
      </c>
      <c r="L492" s="7" t="s">
        <v>697</v>
      </c>
      <c r="M492" s="7" t="s">
        <v>698</v>
      </c>
      <c r="N492" s="7" t="s">
        <v>699</v>
      </c>
      <c r="O492" s="7" t="s">
        <v>700</v>
      </c>
      <c r="P492" s="7" t="s">
        <v>701</v>
      </c>
      <c r="Q492" s="7" t="s">
        <v>702</v>
      </c>
      <c r="R492" s="7" t="s">
        <v>703</v>
      </c>
      <c r="S492" s="7" t="s">
        <v>704</v>
      </c>
      <c r="T492" s="7" t="s">
        <v>705</v>
      </c>
      <c r="U492" s="7" t="s">
        <v>706</v>
      </c>
      <c r="V492" s="7" t="s">
        <v>707</v>
      </c>
      <c r="W492" s="7" t="s">
        <v>708</v>
      </c>
      <c r="X492" s="7" t="s">
        <v>709</v>
      </c>
      <c r="Y492" s="7" t="s">
        <v>710</v>
      </c>
      <c r="Z492" s="7" t="s">
        <v>711</v>
      </c>
      <c r="AA492" s="7" t="s">
        <v>712</v>
      </c>
      <c r="AB492" s="7" t="s">
        <v>694</v>
      </c>
      <c r="AC492" s="7" t="s">
        <v>713</v>
      </c>
      <c r="AD492" s="7" t="s">
        <v>714</v>
      </c>
      <c r="AE492" s="7" t="s">
        <v>715</v>
      </c>
      <c r="AF492" s="7" t="s">
        <v>716</v>
      </c>
      <c r="AG492" s="7" t="s">
        <v>2545</v>
      </c>
      <c r="AH492" s="7" t="s">
        <v>2546</v>
      </c>
      <c r="AI492" s="7" t="s">
        <v>2547</v>
      </c>
      <c r="AJ492" s="7" t="s">
        <v>2548</v>
      </c>
      <c r="AK492" s="7" t="s">
        <v>2549</v>
      </c>
      <c r="AL492" s="7" t="s">
        <v>2550</v>
      </c>
      <c r="AM492" s="7" t="s">
        <v>2551</v>
      </c>
      <c r="AN492" s="7" t="s">
        <v>2552</v>
      </c>
    </row>
    <row r="493" spans="1:61" ht="78" customHeight="1" x14ac:dyDescent="0.4">
      <c r="A493" s="67">
        <v>8720618229915</v>
      </c>
      <c r="B493" t="e">
        <f>_xlfn.XLOOKUP(A493,'Product info'!A:A,'Product info'!C:C,,2)</f>
        <v>#N/A</v>
      </c>
      <c r="C493" s="69" t="s">
        <v>688</v>
      </c>
      <c r="D493" s="7" t="s">
        <v>689</v>
      </c>
      <c r="E493" s="7" t="s">
        <v>690</v>
      </c>
      <c r="F493" s="7" t="s">
        <v>691</v>
      </c>
      <c r="G493" s="7" t="s">
        <v>692</v>
      </c>
      <c r="H493" s="7" t="s">
        <v>693</v>
      </c>
      <c r="I493" s="7" t="s">
        <v>694</v>
      </c>
      <c r="J493" s="7" t="s">
        <v>695</v>
      </c>
      <c r="K493" s="7" t="s">
        <v>696</v>
      </c>
      <c r="L493" s="7" t="s">
        <v>697</v>
      </c>
      <c r="M493" s="7" t="s">
        <v>698</v>
      </c>
      <c r="N493" s="7" t="s">
        <v>699</v>
      </c>
      <c r="O493" s="7" t="s">
        <v>700</v>
      </c>
      <c r="P493" s="7" t="s">
        <v>701</v>
      </c>
      <c r="Q493" s="7" t="s">
        <v>702</v>
      </c>
      <c r="R493" s="7" t="s">
        <v>703</v>
      </c>
      <c r="S493" s="7" t="s">
        <v>704</v>
      </c>
      <c r="T493" s="7" t="s">
        <v>705</v>
      </c>
      <c r="U493" s="7" t="s">
        <v>706</v>
      </c>
      <c r="V493" s="7" t="s">
        <v>707</v>
      </c>
      <c r="W493" s="7" t="s">
        <v>708</v>
      </c>
      <c r="X493" s="7" t="s">
        <v>709</v>
      </c>
      <c r="Y493" s="7" t="s">
        <v>710</v>
      </c>
      <c r="Z493" s="7" t="s">
        <v>711</v>
      </c>
      <c r="AA493" s="7" t="s">
        <v>712</v>
      </c>
      <c r="AB493" s="7" t="s">
        <v>694</v>
      </c>
      <c r="AC493" s="7" t="s">
        <v>713</v>
      </c>
      <c r="AD493" s="7" t="s">
        <v>714</v>
      </c>
      <c r="AE493" s="7" t="s">
        <v>715</v>
      </c>
      <c r="AF493" s="7" t="s">
        <v>716</v>
      </c>
      <c r="AG493" s="7" t="s">
        <v>2545</v>
      </c>
      <c r="AH493" s="7" t="s">
        <v>2546</v>
      </c>
      <c r="AI493" s="7" t="s">
        <v>2547</v>
      </c>
      <c r="AJ493" s="7" t="s">
        <v>2548</v>
      </c>
      <c r="AK493" s="7" t="s">
        <v>2549</v>
      </c>
      <c r="AL493" s="7" t="s">
        <v>2550</v>
      </c>
      <c r="AM493" s="7" t="s">
        <v>2551</v>
      </c>
      <c r="AN493" s="7" t="s">
        <v>2552</v>
      </c>
    </row>
    <row r="494" spans="1:61" ht="78" customHeight="1" x14ac:dyDescent="0.4">
      <c r="A494" s="67">
        <v>8721001272846</v>
      </c>
      <c r="B494" t="e">
        <f>_xlfn.XLOOKUP(A494,'Product info'!A:A,'Product info'!C:C,,2)</f>
        <v>#N/A</v>
      </c>
      <c r="C494" s="69" t="s">
        <v>688</v>
      </c>
      <c r="D494" s="7" t="s">
        <v>689</v>
      </c>
      <c r="E494" s="7" t="s">
        <v>690</v>
      </c>
      <c r="F494" s="7" t="s">
        <v>691</v>
      </c>
      <c r="G494" s="7" t="s">
        <v>692</v>
      </c>
      <c r="H494" s="7" t="s">
        <v>693</v>
      </c>
      <c r="I494" s="7" t="s">
        <v>694</v>
      </c>
      <c r="J494" s="7" t="s">
        <v>695</v>
      </c>
      <c r="K494" s="7" t="s">
        <v>696</v>
      </c>
      <c r="L494" s="7" t="s">
        <v>697</v>
      </c>
      <c r="M494" s="7" t="s">
        <v>698</v>
      </c>
      <c r="N494" s="7" t="s">
        <v>699</v>
      </c>
      <c r="O494" s="7" t="s">
        <v>700</v>
      </c>
      <c r="P494" s="7" t="s">
        <v>701</v>
      </c>
      <c r="Q494" s="7" t="s">
        <v>702</v>
      </c>
      <c r="R494" s="7" t="s">
        <v>703</v>
      </c>
      <c r="S494" s="7" t="s">
        <v>704</v>
      </c>
      <c r="T494" s="7" t="s">
        <v>705</v>
      </c>
      <c r="U494" s="7" t="s">
        <v>706</v>
      </c>
      <c r="V494" s="7" t="s">
        <v>707</v>
      </c>
      <c r="W494" s="7" t="s">
        <v>708</v>
      </c>
      <c r="X494" s="7" t="s">
        <v>709</v>
      </c>
      <c r="Y494" s="7" t="s">
        <v>710</v>
      </c>
      <c r="Z494" s="7" t="s">
        <v>711</v>
      </c>
      <c r="AA494" s="7" t="s">
        <v>712</v>
      </c>
      <c r="AB494" s="7" t="s">
        <v>694</v>
      </c>
      <c r="AC494" s="7" t="s">
        <v>713</v>
      </c>
      <c r="AD494" s="7" t="s">
        <v>714</v>
      </c>
      <c r="AE494" s="7" t="s">
        <v>715</v>
      </c>
      <c r="AF494" s="7" t="s">
        <v>716</v>
      </c>
      <c r="AG494" s="7" t="s">
        <v>1837</v>
      </c>
      <c r="AH494" s="7" t="s">
        <v>1838</v>
      </c>
      <c r="AI494" s="7" t="s">
        <v>1839</v>
      </c>
      <c r="AJ494" s="7" t="s">
        <v>1840</v>
      </c>
      <c r="AK494" s="7" t="s">
        <v>1851</v>
      </c>
      <c r="AL494" s="7" t="s">
        <v>1842</v>
      </c>
      <c r="AM494" s="7" t="s">
        <v>1843</v>
      </c>
      <c r="AN494" s="7" t="s">
        <v>1852</v>
      </c>
      <c r="AO494" s="7" t="s">
        <v>1845</v>
      </c>
      <c r="AP494" s="7" t="s">
        <v>1846</v>
      </c>
      <c r="AQ494" s="7" t="s">
        <v>1847</v>
      </c>
      <c r="AR494" s="7" t="s">
        <v>1848</v>
      </c>
      <c r="AS494" s="7" t="s">
        <v>1849</v>
      </c>
      <c r="AT494" s="7" t="s">
        <v>1858</v>
      </c>
    </row>
    <row r="495" spans="1:61" ht="78" customHeight="1" x14ac:dyDescent="0.4">
      <c r="A495" s="67">
        <v>8721001272853</v>
      </c>
      <c r="B495" t="e">
        <f>_xlfn.XLOOKUP(A495,'Product info'!A:A,'Product info'!C:C,,2)</f>
        <v>#N/A</v>
      </c>
      <c r="C495" s="69" t="s">
        <v>688</v>
      </c>
      <c r="D495" s="7" t="s">
        <v>689</v>
      </c>
      <c r="E495" s="7" t="s">
        <v>690</v>
      </c>
      <c r="F495" s="7" t="s">
        <v>691</v>
      </c>
      <c r="G495" s="7" t="s">
        <v>692</v>
      </c>
      <c r="H495" s="7" t="s">
        <v>693</v>
      </c>
      <c r="I495" s="7" t="s">
        <v>694</v>
      </c>
      <c r="J495" s="7" t="s">
        <v>695</v>
      </c>
      <c r="K495" s="7" t="s">
        <v>696</v>
      </c>
      <c r="L495" s="7" t="s">
        <v>697</v>
      </c>
      <c r="M495" s="7" t="s">
        <v>698</v>
      </c>
      <c r="N495" s="7" t="s">
        <v>699</v>
      </c>
      <c r="O495" s="7" t="s">
        <v>700</v>
      </c>
      <c r="P495" s="7" t="s">
        <v>701</v>
      </c>
      <c r="Q495" s="7" t="s">
        <v>702</v>
      </c>
      <c r="R495" s="7" t="s">
        <v>703</v>
      </c>
      <c r="S495" s="7" t="s">
        <v>704</v>
      </c>
      <c r="T495" s="7" t="s">
        <v>705</v>
      </c>
      <c r="U495" s="7" t="s">
        <v>706</v>
      </c>
      <c r="V495" s="7" t="s">
        <v>707</v>
      </c>
      <c r="W495" s="7" t="s">
        <v>708</v>
      </c>
      <c r="X495" s="7" t="s">
        <v>709</v>
      </c>
      <c r="Y495" s="7" t="s">
        <v>710</v>
      </c>
      <c r="Z495" s="7" t="s">
        <v>711</v>
      </c>
      <c r="AA495" s="7" t="s">
        <v>712</v>
      </c>
      <c r="AB495" s="7" t="s">
        <v>694</v>
      </c>
      <c r="AC495" s="7" t="s">
        <v>713</v>
      </c>
      <c r="AD495" s="7" t="s">
        <v>714</v>
      </c>
      <c r="AE495" s="7" t="s">
        <v>715</v>
      </c>
      <c r="AF495" s="7" t="s">
        <v>716</v>
      </c>
      <c r="AG495" s="7" t="s">
        <v>1837</v>
      </c>
      <c r="AH495" s="7" t="s">
        <v>1838</v>
      </c>
      <c r="AI495" s="7" t="s">
        <v>1839</v>
      </c>
      <c r="AJ495" s="7" t="s">
        <v>1840</v>
      </c>
      <c r="AK495" s="7" t="s">
        <v>1841</v>
      </c>
      <c r="AL495" s="7" t="s">
        <v>1842</v>
      </c>
      <c r="AM495" s="7" t="s">
        <v>1843</v>
      </c>
      <c r="AN495" s="7" t="s">
        <v>1844</v>
      </c>
      <c r="AO495" s="7" t="s">
        <v>1845</v>
      </c>
      <c r="AP495" s="7" t="s">
        <v>1846</v>
      </c>
      <c r="AQ495" s="7" t="s">
        <v>1847</v>
      </c>
      <c r="AR495" s="7" t="s">
        <v>1848</v>
      </c>
      <c r="AS495" s="7" t="s">
        <v>1849</v>
      </c>
      <c r="AT495" s="7" t="s">
        <v>1850</v>
      </c>
    </row>
    <row r="496" spans="1:61" ht="78" customHeight="1" x14ac:dyDescent="0.4">
      <c r="A496" s="67">
        <v>8721001272860</v>
      </c>
      <c r="B496" t="e">
        <f>_xlfn.XLOOKUP(A496,'Product info'!A:A,'Product info'!C:C,,2)</f>
        <v>#N/A</v>
      </c>
      <c r="C496" s="69" t="s">
        <v>688</v>
      </c>
      <c r="D496" s="7" t="s">
        <v>689</v>
      </c>
      <c r="E496" s="7" t="s">
        <v>690</v>
      </c>
      <c r="F496" s="7" t="s">
        <v>691</v>
      </c>
      <c r="G496" s="7" t="s">
        <v>692</v>
      </c>
      <c r="H496" s="7" t="s">
        <v>693</v>
      </c>
      <c r="I496" s="7" t="s">
        <v>694</v>
      </c>
      <c r="J496" s="7" t="s">
        <v>695</v>
      </c>
      <c r="K496" s="7" t="s">
        <v>696</v>
      </c>
      <c r="L496" s="7" t="s">
        <v>697</v>
      </c>
      <c r="M496" s="7" t="s">
        <v>698</v>
      </c>
      <c r="N496" s="7" t="s">
        <v>699</v>
      </c>
      <c r="O496" s="7" t="s">
        <v>700</v>
      </c>
      <c r="P496" s="7" t="s">
        <v>701</v>
      </c>
      <c r="Q496" s="7" t="s">
        <v>702</v>
      </c>
      <c r="R496" s="7" t="s">
        <v>703</v>
      </c>
      <c r="S496" s="7" t="s">
        <v>704</v>
      </c>
      <c r="T496" s="7" t="s">
        <v>705</v>
      </c>
      <c r="U496" s="7" t="s">
        <v>706</v>
      </c>
      <c r="V496" s="7" t="s">
        <v>707</v>
      </c>
      <c r="W496" s="7" t="s">
        <v>708</v>
      </c>
      <c r="X496" s="7" t="s">
        <v>709</v>
      </c>
      <c r="Y496" s="7" t="s">
        <v>710</v>
      </c>
      <c r="Z496" s="7" t="s">
        <v>711</v>
      </c>
      <c r="AA496" s="7" t="s">
        <v>712</v>
      </c>
      <c r="AB496" s="7" t="s">
        <v>694</v>
      </c>
      <c r="AC496" s="7" t="s">
        <v>713</v>
      </c>
      <c r="AD496" s="7" t="s">
        <v>714</v>
      </c>
      <c r="AE496" s="7" t="s">
        <v>715</v>
      </c>
      <c r="AF496" s="7" t="s">
        <v>716</v>
      </c>
      <c r="AG496" s="7" t="s">
        <v>1837</v>
      </c>
      <c r="AH496" s="7" t="s">
        <v>1838</v>
      </c>
      <c r="AI496" s="7" t="s">
        <v>1839</v>
      </c>
      <c r="AJ496" s="7" t="s">
        <v>1840</v>
      </c>
      <c r="AK496" s="7" t="s">
        <v>1851</v>
      </c>
      <c r="AL496" s="7" t="s">
        <v>1842</v>
      </c>
      <c r="AM496" s="7" t="s">
        <v>1843</v>
      </c>
      <c r="AN496" s="7" t="s">
        <v>1852</v>
      </c>
      <c r="AO496" s="7" t="s">
        <v>1845</v>
      </c>
      <c r="AP496" s="7" t="s">
        <v>1853</v>
      </c>
      <c r="AQ496" s="7" t="s">
        <v>1847</v>
      </c>
      <c r="AR496" s="7" t="s">
        <v>1848</v>
      </c>
      <c r="AS496" s="7" t="s">
        <v>1849</v>
      </c>
      <c r="AT496" s="7" t="s">
        <v>1854</v>
      </c>
      <c r="AU496" s="7" t="s">
        <v>1855</v>
      </c>
    </row>
    <row r="497" spans="1:58" ht="78" customHeight="1" x14ac:dyDescent="0.4">
      <c r="A497" s="67">
        <v>8721001271757</v>
      </c>
      <c r="B497" t="e">
        <f>_xlfn.XLOOKUP(A497,'Product info'!A:A,'Product info'!C:C,,2)</f>
        <v>#N/A</v>
      </c>
      <c r="C497" s="69" t="s">
        <v>688</v>
      </c>
      <c r="D497" s="7" t="s">
        <v>689</v>
      </c>
      <c r="E497" s="7" t="s">
        <v>690</v>
      </c>
      <c r="F497" s="7" t="s">
        <v>691</v>
      </c>
      <c r="G497" s="7" t="s">
        <v>692</v>
      </c>
      <c r="H497" s="7" t="s">
        <v>693</v>
      </c>
      <c r="I497" s="7" t="s">
        <v>694</v>
      </c>
      <c r="J497" s="7" t="s">
        <v>695</v>
      </c>
      <c r="K497" s="7" t="s">
        <v>696</v>
      </c>
      <c r="L497" s="7" t="s">
        <v>697</v>
      </c>
      <c r="M497" s="7" t="s">
        <v>698</v>
      </c>
      <c r="N497" s="7" t="s">
        <v>699</v>
      </c>
      <c r="O497" s="7" t="s">
        <v>700</v>
      </c>
      <c r="P497" s="7" t="s">
        <v>701</v>
      </c>
      <c r="Q497" s="7" t="s">
        <v>702</v>
      </c>
      <c r="R497" s="7" t="s">
        <v>703</v>
      </c>
      <c r="S497" s="7" t="s">
        <v>704</v>
      </c>
      <c r="T497" s="7" t="s">
        <v>705</v>
      </c>
      <c r="U497" s="7" t="s">
        <v>706</v>
      </c>
      <c r="V497" s="7" t="s">
        <v>707</v>
      </c>
      <c r="W497" s="7" t="s">
        <v>708</v>
      </c>
      <c r="X497" s="7" t="s">
        <v>709</v>
      </c>
      <c r="Y497" s="7" t="s">
        <v>710</v>
      </c>
      <c r="Z497" s="7" t="s">
        <v>711</v>
      </c>
      <c r="AA497" s="7" t="s">
        <v>712</v>
      </c>
      <c r="AB497" s="7" t="s">
        <v>694</v>
      </c>
      <c r="AC497" s="7" t="s">
        <v>713</v>
      </c>
      <c r="AD497" s="7" t="s">
        <v>714</v>
      </c>
      <c r="AE497" s="7" t="s">
        <v>715</v>
      </c>
      <c r="AF497" s="7" t="s">
        <v>716</v>
      </c>
    </row>
    <row r="498" spans="1:58" ht="78" customHeight="1" x14ac:dyDescent="0.4">
      <c r="A498" s="67">
        <v>8721001271764</v>
      </c>
      <c r="B498" t="e">
        <f>_xlfn.XLOOKUP(A498,'Product info'!A:A,'Product info'!C:C,,2)</f>
        <v>#N/A</v>
      </c>
      <c r="C498" s="69" t="s">
        <v>688</v>
      </c>
      <c r="D498" s="7" t="s">
        <v>689</v>
      </c>
      <c r="E498" s="7" t="s">
        <v>690</v>
      </c>
      <c r="F498" s="7" t="s">
        <v>691</v>
      </c>
      <c r="G498" s="7" t="s">
        <v>692</v>
      </c>
      <c r="H498" s="7" t="s">
        <v>693</v>
      </c>
      <c r="I498" s="7" t="s">
        <v>694</v>
      </c>
      <c r="J498" s="7" t="s">
        <v>695</v>
      </c>
      <c r="K498" s="7" t="s">
        <v>696</v>
      </c>
      <c r="L498" s="7" t="s">
        <v>697</v>
      </c>
      <c r="M498" s="7" t="s">
        <v>698</v>
      </c>
      <c r="N498" s="7" t="s">
        <v>699</v>
      </c>
      <c r="O498" s="7" t="s">
        <v>700</v>
      </c>
      <c r="P498" s="7" t="s">
        <v>701</v>
      </c>
      <c r="Q498" s="7" t="s">
        <v>702</v>
      </c>
      <c r="R498" s="7" t="s">
        <v>703</v>
      </c>
      <c r="S498" s="7" t="s">
        <v>704</v>
      </c>
      <c r="T498" s="7" t="s">
        <v>705</v>
      </c>
      <c r="U498" s="7" t="s">
        <v>706</v>
      </c>
      <c r="V498" s="7" t="s">
        <v>707</v>
      </c>
      <c r="W498" s="7" t="s">
        <v>708</v>
      </c>
      <c r="X498" s="7" t="s">
        <v>709</v>
      </c>
      <c r="Y498" s="7" t="s">
        <v>710</v>
      </c>
      <c r="Z498" s="7" t="s">
        <v>711</v>
      </c>
      <c r="AA498" s="7" t="s">
        <v>712</v>
      </c>
      <c r="AB498" s="7" t="s">
        <v>694</v>
      </c>
      <c r="AC498" s="7" t="s">
        <v>713</v>
      </c>
      <c r="AD498" s="7" t="s">
        <v>714</v>
      </c>
      <c r="AE498" s="7" t="s">
        <v>715</v>
      </c>
      <c r="AF498" s="7" t="s">
        <v>716</v>
      </c>
      <c r="AG498" s="7" t="s">
        <v>1810</v>
      </c>
      <c r="AH498" s="7" t="s">
        <v>1755</v>
      </c>
      <c r="AI498" s="7" t="s">
        <v>1811</v>
      </c>
      <c r="AJ498" s="7" t="s">
        <v>1757</v>
      </c>
      <c r="AK498" s="7" t="s">
        <v>1758</v>
      </c>
      <c r="AL498" s="7" t="s">
        <v>1759</v>
      </c>
      <c r="AM498" s="7" t="s">
        <v>1760</v>
      </c>
      <c r="AN498" s="7" t="s">
        <v>1739</v>
      </c>
      <c r="AO498" s="7" t="s">
        <v>1812</v>
      </c>
      <c r="AP498" s="7" t="s">
        <v>1762</v>
      </c>
      <c r="AQ498" s="7" t="s">
        <v>1763</v>
      </c>
      <c r="AR498" s="7" t="s">
        <v>1764</v>
      </c>
      <c r="AS498" s="7" t="s">
        <v>1813</v>
      </c>
      <c r="AT498" s="7" t="s">
        <v>1814</v>
      </c>
      <c r="AU498" s="7" t="s">
        <v>1767</v>
      </c>
      <c r="AV498" s="7" t="s">
        <v>1773</v>
      </c>
      <c r="AW498" s="7" t="s">
        <v>1769</v>
      </c>
      <c r="AX498" s="7" t="s">
        <v>1774</v>
      </c>
      <c r="AY498" s="7" t="s">
        <v>1775</v>
      </c>
      <c r="AZ498" s="7" t="s">
        <v>1776</v>
      </c>
      <c r="BA498" s="7" t="s">
        <v>1815</v>
      </c>
      <c r="BB498" s="7" t="s">
        <v>1816</v>
      </c>
      <c r="BC498" s="7" t="s">
        <v>1817</v>
      </c>
      <c r="BD498" s="7" t="s">
        <v>1818</v>
      </c>
      <c r="BE498" s="7" t="s">
        <v>1819</v>
      </c>
      <c r="BF498" s="7" t="s">
        <v>1820</v>
      </c>
    </row>
    <row r="499" spans="1:58" ht="78" customHeight="1" x14ac:dyDescent="0.4">
      <c r="A499" s="67">
        <v>8721001271948</v>
      </c>
      <c r="B499" t="e">
        <f>_xlfn.XLOOKUP(A499,'Product info'!A:A,'Product info'!C:C,,2)</f>
        <v>#N/A</v>
      </c>
      <c r="C499" s="69" t="s">
        <v>688</v>
      </c>
      <c r="D499" s="7" t="s">
        <v>689</v>
      </c>
      <c r="E499" s="7" t="s">
        <v>690</v>
      </c>
      <c r="F499" s="7" t="s">
        <v>691</v>
      </c>
      <c r="G499" s="7" t="s">
        <v>692</v>
      </c>
      <c r="H499" s="7" t="s">
        <v>693</v>
      </c>
      <c r="I499" s="7" t="s">
        <v>694</v>
      </c>
      <c r="J499" s="7" t="s">
        <v>695</v>
      </c>
      <c r="K499" s="7" t="s">
        <v>696</v>
      </c>
      <c r="L499" s="7" t="s">
        <v>697</v>
      </c>
      <c r="M499" s="7" t="s">
        <v>698</v>
      </c>
      <c r="N499" s="7" t="s">
        <v>699</v>
      </c>
      <c r="O499" s="7" t="s">
        <v>700</v>
      </c>
      <c r="P499" s="7" t="s">
        <v>701</v>
      </c>
      <c r="Q499" s="7" t="s">
        <v>702</v>
      </c>
      <c r="R499" s="7" t="s">
        <v>703</v>
      </c>
      <c r="S499" s="7" t="s">
        <v>704</v>
      </c>
      <c r="T499" s="7" t="s">
        <v>705</v>
      </c>
      <c r="U499" s="7" t="s">
        <v>706</v>
      </c>
      <c r="V499" s="7" t="s">
        <v>707</v>
      </c>
      <c r="W499" s="7" t="s">
        <v>708</v>
      </c>
      <c r="X499" s="7" t="s">
        <v>709</v>
      </c>
      <c r="Y499" s="7" t="s">
        <v>710</v>
      </c>
      <c r="Z499" s="7" t="s">
        <v>711</v>
      </c>
      <c r="AA499" s="7" t="s">
        <v>712</v>
      </c>
      <c r="AB499" s="7" t="s">
        <v>694</v>
      </c>
      <c r="AC499" s="7" t="s">
        <v>713</v>
      </c>
      <c r="AD499" s="7" t="s">
        <v>714</v>
      </c>
      <c r="AE499" s="7" t="s">
        <v>715</v>
      </c>
      <c r="AF499" s="7" t="s">
        <v>716</v>
      </c>
      <c r="AG499" s="7" t="s">
        <v>1943</v>
      </c>
      <c r="AH499" s="7" t="s">
        <v>1958</v>
      </c>
      <c r="AI499" s="7" t="s">
        <v>1959</v>
      </c>
      <c r="AJ499" s="7" t="s">
        <v>1946</v>
      </c>
      <c r="AK499" s="7" t="s">
        <v>1947</v>
      </c>
      <c r="AL499" s="7" t="s">
        <v>1948</v>
      </c>
      <c r="AM499" s="7" t="s">
        <v>1949</v>
      </c>
      <c r="AN499" s="7" t="s">
        <v>1950</v>
      </c>
      <c r="AO499" s="7" t="s">
        <v>1951</v>
      </c>
      <c r="AP499" s="7" t="s">
        <v>1952</v>
      </c>
      <c r="AQ499" s="7" t="s">
        <v>1912</v>
      </c>
      <c r="AR499" s="7" t="s">
        <v>1953</v>
      </c>
      <c r="AS499" s="7" t="s">
        <v>1960</v>
      </c>
      <c r="AT499" s="7" t="s">
        <v>1961</v>
      </c>
      <c r="AU499" s="7" t="s">
        <v>1962</v>
      </c>
    </row>
    <row r="500" spans="1:58" ht="78" customHeight="1" x14ac:dyDescent="0.4">
      <c r="A500" s="67">
        <v>8719992661190</v>
      </c>
      <c r="B500" t="str">
        <f>_xlfn.XLOOKUP(A500,'Product info'!A:A,'Product info'!C:C,,2)</f>
        <v>propagator big 2pk</v>
      </c>
      <c r="C500" s="69" t="s">
        <v>688</v>
      </c>
      <c r="D500" s="7" t="s">
        <v>689</v>
      </c>
      <c r="E500" s="7" t="s">
        <v>690</v>
      </c>
      <c r="F500" s="7" t="s">
        <v>691</v>
      </c>
      <c r="G500" s="7" t="s">
        <v>692</v>
      </c>
      <c r="H500" s="7" t="s">
        <v>693</v>
      </c>
      <c r="I500" s="7" t="s">
        <v>694</v>
      </c>
      <c r="J500" s="7" t="s">
        <v>695</v>
      </c>
      <c r="K500" s="7" t="s">
        <v>696</v>
      </c>
      <c r="L500" s="7" t="s">
        <v>697</v>
      </c>
      <c r="M500" s="7" t="s">
        <v>698</v>
      </c>
      <c r="N500" s="7" t="s">
        <v>699</v>
      </c>
      <c r="O500" s="7" t="s">
        <v>700</v>
      </c>
      <c r="P500" s="7" t="s">
        <v>701</v>
      </c>
      <c r="Q500" s="7" t="s">
        <v>702</v>
      </c>
      <c r="R500" s="7" t="s">
        <v>703</v>
      </c>
      <c r="S500" s="7" t="s">
        <v>704</v>
      </c>
      <c r="T500" s="7" t="s">
        <v>705</v>
      </c>
      <c r="U500" s="7" t="s">
        <v>706</v>
      </c>
      <c r="V500" s="7" t="s">
        <v>707</v>
      </c>
      <c r="W500" s="7" t="s">
        <v>708</v>
      </c>
      <c r="X500" s="7" t="s">
        <v>709</v>
      </c>
      <c r="Y500" s="7" t="s">
        <v>710</v>
      </c>
      <c r="Z500" s="7" t="s">
        <v>711</v>
      </c>
      <c r="AA500" s="7" t="s">
        <v>712</v>
      </c>
      <c r="AB500" s="7" t="s">
        <v>694</v>
      </c>
      <c r="AC500" s="7" t="s">
        <v>713</v>
      </c>
      <c r="AD500" s="7" t="s">
        <v>714</v>
      </c>
      <c r="AE500" s="7" t="s">
        <v>715</v>
      </c>
      <c r="AF500" s="7" t="s">
        <v>716</v>
      </c>
      <c r="AG500" s="7" t="s">
        <v>2553</v>
      </c>
      <c r="AH500" s="7" t="s">
        <v>2554</v>
      </c>
      <c r="AI500" s="7" t="s">
        <v>2555</v>
      </c>
      <c r="AJ500" s="7" t="s">
        <v>2556</v>
      </c>
      <c r="AK500" s="7" t="s">
        <v>2557</v>
      </c>
      <c r="AL500" s="7" t="s">
        <v>2558</v>
      </c>
      <c r="AM500" s="7" t="s">
        <v>2559</v>
      </c>
      <c r="AN500" s="7" t="s">
        <v>2560</v>
      </c>
      <c r="AO500" s="7" t="s">
        <v>2561</v>
      </c>
      <c r="AP500" s="7" t="s">
        <v>1915</v>
      </c>
      <c r="AQ500" s="7" t="s">
        <v>2562</v>
      </c>
      <c r="AR500" s="7" t="s">
        <v>2563</v>
      </c>
      <c r="AS500" s="7" t="s">
        <v>2564</v>
      </c>
      <c r="AT500" s="7" t="s">
        <v>2565</v>
      </c>
      <c r="AU500" s="7" t="s">
        <v>2566</v>
      </c>
      <c r="AV500" s="7" t="s">
        <v>2567</v>
      </c>
    </row>
    <row r="501" spans="1:58" ht="78" customHeight="1" x14ac:dyDescent="0.4">
      <c r="A501" s="67">
        <v>8721001270163</v>
      </c>
      <c r="B501" t="e">
        <f>_xlfn.XLOOKUP(A501,'Product info'!A:A,'Product info'!C:C,,2)</f>
        <v>#N/A</v>
      </c>
      <c r="C501" s="69" t="s">
        <v>688</v>
      </c>
      <c r="D501" s="7" t="s">
        <v>689</v>
      </c>
      <c r="E501" s="7" t="s">
        <v>690</v>
      </c>
      <c r="F501" s="7" t="s">
        <v>691</v>
      </c>
      <c r="G501" s="7" t="s">
        <v>692</v>
      </c>
      <c r="H501" s="7" t="s">
        <v>693</v>
      </c>
      <c r="I501" s="7" t="s">
        <v>694</v>
      </c>
      <c r="J501" s="7" t="s">
        <v>695</v>
      </c>
      <c r="K501" s="7" t="s">
        <v>696</v>
      </c>
      <c r="L501" s="7" t="s">
        <v>697</v>
      </c>
      <c r="M501" s="7" t="s">
        <v>698</v>
      </c>
      <c r="N501" s="7" t="s">
        <v>699</v>
      </c>
      <c r="O501" s="7" t="s">
        <v>700</v>
      </c>
      <c r="P501" s="7" t="s">
        <v>701</v>
      </c>
      <c r="Q501" s="7" t="s">
        <v>702</v>
      </c>
      <c r="R501" s="7" t="s">
        <v>703</v>
      </c>
      <c r="S501" s="7" t="s">
        <v>704</v>
      </c>
      <c r="T501" s="7" t="s">
        <v>705</v>
      </c>
      <c r="U501" s="7" t="s">
        <v>706</v>
      </c>
      <c r="V501" s="7" t="s">
        <v>707</v>
      </c>
      <c r="W501" s="7" t="s">
        <v>708</v>
      </c>
      <c r="X501" s="7" t="s">
        <v>709</v>
      </c>
      <c r="Y501" s="7" t="s">
        <v>710</v>
      </c>
      <c r="Z501" s="7" t="s">
        <v>711</v>
      </c>
      <c r="AA501" s="7" t="s">
        <v>712</v>
      </c>
      <c r="AB501" s="7" t="s">
        <v>694</v>
      </c>
      <c r="AC501" s="7" t="s">
        <v>713</v>
      </c>
      <c r="AD501" s="7" t="s">
        <v>714</v>
      </c>
      <c r="AE501" s="7" t="s">
        <v>715</v>
      </c>
      <c r="AF501" s="7" t="s">
        <v>716</v>
      </c>
      <c r="AG501" s="7" t="s">
        <v>2039</v>
      </c>
      <c r="AH501" s="7" t="s">
        <v>2040</v>
      </c>
      <c r="AI501" s="7" t="s">
        <v>2041</v>
      </c>
      <c r="AJ501" s="7" t="s">
        <v>2042</v>
      </c>
      <c r="AK501" s="7" t="s">
        <v>2043</v>
      </c>
      <c r="AL501" s="7" t="s">
        <v>2044</v>
      </c>
      <c r="AM501" s="7" t="s">
        <v>2045</v>
      </c>
      <c r="AN501" s="7" t="s">
        <v>2046</v>
      </c>
      <c r="AO501" s="7" t="s">
        <v>2047</v>
      </c>
      <c r="AP501" s="7" t="s">
        <v>2048</v>
      </c>
    </row>
    <row r="502" spans="1:58" ht="78" customHeight="1" x14ac:dyDescent="0.4">
      <c r="A502" s="67">
        <v>8721001270170</v>
      </c>
      <c r="B502" t="e">
        <f>_xlfn.XLOOKUP(A502,'Product info'!A:A,'Product info'!C:C,,2)</f>
        <v>#N/A</v>
      </c>
      <c r="C502" s="69" t="s">
        <v>688</v>
      </c>
      <c r="D502" s="7" t="s">
        <v>689</v>
      </c>
      <c r="E502" s="7" t="s">
        <v>690</v>
      </c>
      <c r="F502" s="7" t="s">
        <v>691</v>
      </c>
      <c r="G502" s="7" t="s">
        <v>692</v>
      </c>
      <c r="H502" s="7" t="s">
        <v>693</v>
      </c>
      <c r="I502" s="7" t="s">
        <v>694</v>
      </c>
      <c r="J502" s="7" t="s">
        <v>695</v>
      </c>
      <c r="K502" s="7" t="s">
        <v>696</v>
      </c>
      <c r="L502" s="7" t="s">
        <v>697</v>
      </c>
      <c r="M502" s="7" t="s">
        <v>698</v>
      </c>
      <c r="N502" s="7" t="s">
        <v>699</v>
      </c>
      <c r="O502" s="7" t="s">
        <v>700</v>
      </c>
      <c r="P502" s="7" t="s">
        <v>701</v>
      </c>
      <c r="Q502" s="7" t="s">
        <v>702</v>
      </c>
      <c r="R502" s="7" t="s">
        <v>703</v>
      </c>
      <c r="S502" s="7" t="s">
        <v>704</v>
      </c>
      <c r="T502" s="7" t="s">
        <v>705</v>
      </c>
      <c r="U502" s="7" t="s">
        <v>706</v>
      </c>
      <c r="V502" s="7" t="s">
        <v>707</v>
      </c>
      <c r="W502" s="7" t="s">
        <v>708</v>
      </c>
      <c r="X502" s="7" t="s">
        <v>709</v>
      </c>
      <c r="Y502" s="7" t="s">
        <v>710</v>
      </c>
      <c r="Z502" s="7" t="s">
        <v>711</v>
      </c>
      <c r="AA502" s="7" t="s">
        <v>712</v>
      </c>
      <c r="AB502" s="7" t="s">
        <v>694</v>
      </c>
      <c r="AC502" s="7" t="s">
        <v>713</v>
      </c>
      <c r="AD502" s="7" t="s">
        <v>714</v>
      </c>
      <c r="AE502" s="7" t="s">
        <v>715</v>
      </c>
      <c r="AF502" s="7" t="s">
        <v>716</v>
      </c>
      <c r="AG502" s="7" t="s">
        <v>2039</v>
      </c>
      <c r="AH502" s="7" t="s">
        <v>2040</v>
      </c>
      <c r="AI502" s="7" t="s">
        <v>2041</v>
      </c>
      <c r="AJ502" s="7" t="s">
        <v>2042</v>
      </c>
      <c r="AK502" s="7" t="s">
        <v>2043</v>
      </c>
      <c r="AL502" s="7" t="s">
        <v>2044</v>
      </c>
      <c r="AM502" s="7" t="s">
        <v>2045</v>
      </c>
      <c r="AN502" s="7" t="s">
        <v>2046</v>
      </c>
      <c r="AO502" s="7" t="s">
        <v>2047</v>
      </c>
      <c r="AP502" s="7" t="s">
        <v>2048</v>
      </c>
    </row>
    <row r="503" spans="1:58" ht="78" customHeight="1" x14ac:dyDescent="0.4">
      <c r="A503" s="67">
        <v>8721001270187</v>
      </c>
      <c r="B503" t="e">
        <f>_xlfn.XLOOKUP(A503,'Product info'!A:A,'Product info'!C:C,,2)</f>
        <v>#N/A</v>
      </c>
      <c r="C503" s="69" t="s">
        <v>688</v>
      </c>
      <c r="D503" s="7" t="s">
        <v>689</v>
      </c>
      <c r="E503" s="7" t="s">
        <v>690</v>
      </c>
      <c r="F503" s="7" t="s">
        <v>691</v>
      </c>
      <c r="G503" s="7" t="s">
        <v>692</v>
      </c>
      <c r="H503" s="7" t="s">
        <v>693</v>
      </c>
      <c r="I503" s="7" t="s">
        <v>694</v>
      </c>
      <c r="J503" s="7" t="s">
        <v>695</v>
      </c>
      <c r="K503" s="7" t="s">
        <v>696</v>
      </c>
      <c r="L503" s="7" t="s">
        <v>697</v>
      </c>
      <c r="M503" s="7" t="s">
        <v>698</v>
      </c>
      <c r="N503" s="7" t="s">
        <v>699</v>
      </c>
      <c r="O503" s="7" t="s">
        <v>700</v>
      </c>
      <c r="P503" s="7" t="s">
        <v>701</v>
      </c>
      <c r="Q503" s="7" t="s">
        <v>702</v>
      </c>
      <c r="R503" s="7" t="s">
        <v>703</v>
      </c>
      <c r="S503" s="7" t="s">
        <v>704</v>
      </c>
      <c r="T503" s="7" t="s">
        <v>705</v>
      </c>
      <c r="U503" s="7" t="s">
        <v>706</v>
      </c>
      <c r="V503" s="7" t="s">
        <v>707</v>
      </c>
      <c r="W503" s="7" t="s">
        <v>708</v>
      </c>
      <c r="X503" s="7" t="s">
        <v>709</v>
      </c>
      <c r="Y503" s="7" t="s">
        <v>710</v>
      </c>
      <c r="Z503" s="7" t="s">
        <v>711</v>
      </c>
      <c r="AA503" s="7" t="s">
        <v>712</v>
      </c>
      <c r="AB503" s="7" t="s">
        <v>694</v>
      </c>
      <c r="AC503" s="7" t="s">
        <v>713</v>
      </c>
      <c r="AD503" s="7" t="s">
        <v>714</v>
      </c>
      <c r="AE503" s="7" t="s">
        <v>715</v>
      </c>
      <c r="AF503" s="7" t="s">
        <v>716</v>
      </c>
      <c r="AG503" s="7" t="s">
        <v>2039</v>
      </c>
      <c r="AH503" s="7" t="s">
        <v>2040</v>
      </c>
      <c r="AI503" s="7" t="s">
        <v>2041</v>
      </c>
      <c r="AJ503" s="7" t="s">
        <v>2042</v>
      </c>
      <c r="AK503" s="7" t="s">
        <v>2043</v>
      </c>
      <c r="AL503" s="7" t="s">
        <v>2044</v>
      </c>
      <c r="AM503" s="7" t="s">
        <v>2045</v>
      </c>
      <c r="AN503" s="7" t="s">
        <v>2046</v>
      </c>
      <c r="AO503" s="7" t="s">
        <v>2047</v>
      </c>
      <c r="AP503" s="7" t="s">
        <v>2048</v>
      </c>
    </row>
    <row r="504" spans="1:58" ht="78" customHeight="1" x14ac:dyDescent="0.4">
      <c r="A504" s="67">
        <v>8721001270194</v>
      </c>
      <c r="B504" t="e">
        <f>_xlfn.XLOOKUP(A504,'Product info'!A:A,'Product info'!C:C,,2)</f>
        <v>#N/A</v>
      </c>
      <c r="C504" s="69" t="s">
        <v>688</v>
      </c>
      <c r="D504" s="7" t="s">
        <v>689</v>
      </c>
      <c r="E504" s="7" t="s">
        <v>690</v>
      </c>
      <c r="F504" s="7" t="s">
        <v>691</v>
      </c>
      <c r="G504" s="7" t="s">
        <v>692</v>
      </c>
      <c r="H504" s="7" t="s">
        <v>693</v>
      </c>
      <c r="I504" s="7" t="s">
        <v>694</v>
      </c>
      <c r="J504" s="7" t="s">
        <v>695</v>
      </c>
      <c r="K504" s="7" t="s">
        <v>696</v>
      </c>
      <c r="L504" s="7" t="s">
        <v>697</v>
      </c>
      <c r="M504" s="7" t="s">
        <v>698</v>
      </c>
      <c r="N504" s="7" t="s">
        <v>699</v>
      </c>
      <c r="O504" s="7" t="s">
        <v>700</v>
      </c>
      <c r="P504" s="7" t="s">
        <v>701</v>
      </c>
      <c r="Q504" s="7" t="s">
        <v>702</v>
      </c>
      <c r="R504" s="7" t="s">
        <v>703</v>
      </c>
      <c r="S504" s="7" t="s">
        <v>704</v>
      </c>
      <c r="T504" s="7" t="s">
        <v>705</v>
      </c>
      <c r="U504" s="7" t="s">
        <v>706</v>
      </c>
      <c r="V504" s="7" t="s">
        <v>707</v>
      </c>
      <c r="W504" s="7" t="s">
        <v>708</v>
      </c>
      <c r="X504" s="7" t="s">
        <v>709</v>
      </c>
      <c r="Y504" s="7" t="s">
        <v>710</v>
      </c>
      <c r="Z504" s="7" t="s">
        <v>711</v>
      </c>
      <c r="AA504" s="7" t="s">
        <v>712</v>
      </c>
      <c r="AB504" s="7" t="s">
        <v>694</v>
      </c>
      <c r="AC504" s="7" t="s">
        <v>713</v>
      </c>
      <c r="AD504" s="7" t="s">
        <v>714</v>
      </c>
      <c r="AE504" s="7" t="s">
        <v>715</v>
      </c>
      <c r="AF504" s="7" t="s">
        <v>716</v>
      </c>
      <c r="AG504" s="7" t="s">
        <v>2039</v>
      </c>
      <c r="AH504" s="7" t="s">
        <v>2040</v>
      </c>
      <c r="AI504" s="7" t="s">
        <v>2041</v>
      </c>
      <c r="AJ504" s="7" t="s">
        <v>2042</v>
      </c>
      <c r="AK504" s="7" t="s">
        <v>2043</v>
      </c>
      <c r="AL504" s="7" t="s">
        <v>2044</v>
      </c>
      <c r="AM504" s="7" t="s">
        <v>2045</v>
      </c>
      <c r="AN504" s="7" t="s">
        <v>2046</v>
      </c>
      <c r="AO504" s="7" t="s">
        <v>2047</v>
      </c>
      <c r="AP504" s="7" t="s">
        <v>2048</v>
      </c>
    </row>
    <row r="505" spans="1:58" ht="78" customHeight="1" x14ac:dyDescent="0.4">
      <c r="A505" s="67">
        <v>8721001270200</v>
      </c>
      <c r="B505" t="e">
        <f>_xlfn.XLOOKUP(A505,'Product info'!A:A,'Product info'!C:C,,2)</f>
        <v>#N/A</v>
      </c>
      <c r="C505" s="69" t="s">
        <v>688</v>
      </c>
      <c r="D505" s="7" t="s">
        <v>689</v>
      </c>
      <c r="E505" s="7" t="s">
        <v>690</v>
      </c>
      <c r="F505" s="7" t="s">
        <v>691</v>
      </c>
      <c r="G505" s="7" t="s">
        <v>692</v>
      </c>
      <c r="H505" s="7" t="s">
        <v>693</v>
      </c>
      <c r="I505" s="7" t="s">
        <v>694</v>
      </c>
      <c r="J505" s="7" t="s">
        <v>695</v>
      </c>
      <c r="K505" s="7" t="s">
        <v>696</v>
      </c>
      <c r="L505" s="7" t="s">
        <v>697</v>
      </c>
      <c r="M505" s="7" t="s">
        <v>698</v>
      </c>
      <c r="N505" s="7" t="s">
        <v>699</v>
      </c>
      <c r="O505" s="7" t="s">
        <v>700</v>
      </c>
      <c r="P505" s="7" t="s">
        <v>701</v>
      </c>
      <c r="Q505" s="7" t="s">
        <v>702</v>
      </c>
      <c r="R505" s="7" t="s">
        <v>703</v>
      </c>
      <c r="S505" s="7" t="s">
        <v>704</v>
      </c>
      <c r="T505" s="7" t="s">
        <v>705</v>
      </c>
      <c r="U505" s="7" t="s">
        <v>706</v>
      </c>
      <c r="V505" s="7" t="s">
        <v>707</v>
      </c>
      <c r="W505" s="7" t="s">
        <v>708</v>
      </c>
      <c r="X505" s="7" t="s">
        <v>709</v>
      </c>
      <c r="Y505" s="7" t="s">
        <v>710</v>
      </c>
      <c r="Z505" s="7" t="s">
        <v>711</v>
      </c>
      <c r="AA505" s="7" t="s">
        <v>712</v>
      </c>
      <c r="AB505" s="7" t="s">
        <v>694</v>
      </c>
      <c r="AC505" s="7" t="s">
        <v>713</v>
      </c>
      <c r="AD505" s="7" t="s">
        <v>714</v>
      </c>
      <c r="AE505" s="7" t="s">
        <v>715</v>
      </c>
      <c r="AF505" s="7" t="s">
        <v>716</v>
      </c>
      <c r="AG505" s="7" t="s">
        <v>2039</v>
      </c>
      <c r="AH505" s="7" t="s">
        <v>2040</v>
      </c>
      <c r="AI505" s="7" t="s">
        <v>2041</v>
      </c>
      <c r="AJ505" s="7" t="s">
        <v>2042</v>
      </c>
      <c r="AK505" s="7" t="s">
        <v>2043</v>
      </c>
      <c r="AL505" s="7" t="s">
        <v>2044</v>
      </c>
      <c r="AM505" s="7" t="s">
        <v>2045</v>
      </c>
      <c r="AN505" s="7" t="s">
        <v>2046</v>
      </c>
      <c r="AO505" s="7" t="s">
        <v>2047</v>
      </c>
      <c r="AP505" s="7" t="s">
        <v>2048</v>
      </c>
    </row>
    <row r="506" spans="1:58" ht="78" customHeight="1" x14ac:dyDescent="0.4">
      <c r="A506" s="67">
        <v>8720828495223</v>
      </c>
      <c r="B506" t="e">
        <f>_xlfn.XLOOKUP(A506,'Product info'!A:A,'Product info'!C:C,,2)</f>
        <v>#N/A</v>
      </c>
      <c r="C506" s="69" t="s">
        <v>688</v>
      </c>
      <c r="D506" s="7" t="s">
        <v>689</v>
      </c>
      <c r="E506" s="7" t="s">
        <v>690</v>
      </c>
      <c r="F506" s="7" t="s">
        <v>691</v>
      </c>
      <c r="G506" s="7" t="s">
        <v>692</v>
      </c>
      <c r="H506" s="7" t="s">
        <v>693</v>
      </c>
      <c r="I506" s="7" t="s">
        <v>694</v>
      </c>
      <c r="J506" s="7" t="s">
        <v>695</v>
      </c>
      <c r="K506" s="7" t="s">
        <v>696</v>
      </c>
      <c r="L506" s="7" t="s">
        <v>697</v>
      </c>
      <c r="M506" s="7" t="s">
        <v>698</v>
      </c>
      <c r="N506" s="7" t="s">
        <v>699</v>
      </c>
      <c r="O506" s="7" t="s">
        <v>700</v>
      </c>
      <c r="P506" s="7" t="s">
        <v>701</v>
      </c>
      <c r="Q506" s="7" t="s">
        <v>702</v>
      </c>
      <c r="R506" s="7" t="s">
        <v>703</v>
      </c>
      <c r="S506" s="7" t="s">
        <v>704</v>
      </c>
      <c r="T506" s="7" t="s">
        <v>705</v>
      </c>
      <c r="U506" s="7" t="s">
        <v>706</v>
      </c>
      <c r="V506" s="7" t="s">
        <v>707</v>
      </c>
      <c r="W506" s="7" t="s">
        <v>708</v>
      </c>
      <c r="X506" s="7" t="s">
        <v>709</v>
      </c>
      <c r="Y506" s="7" t="s">
        <v>710</v>
      </c>
      <c r="Z506" s="7" t="s">
        <v>711</v>
      </c>
      <c r="AA506" s="7" t="s">
        <v>712</v>
      </c>
      <c r="AB506" s="7" t="s">
        <v>694</v>
      </c>
      <c r="AC506" s="7" t="s">
        <v>713</v>
      </c>
      <c r="AD506" s="7" t="s">
        <v>714</v>
      </c>
      <c r="AE506" s="7" t="s">
        <v>715</v>
      </c>
      <c r="AF506" s="7" t="s">
        <v>716</v>
      </c>
      <c r="AG506" s="7" t="s">
        <v>2568</v>
      </c>
      <c r="AH506" s="7" t="s">
        <v>2569</v>
      </c>
      <c r="AI506" s="7" t="s">
        <v>2570</v>
      </c>
      <c r="AJ506" s="7" t="s">
        <v>2571</v>
      </c>
      <c r="AK506" s="7" t="s">
        <v>2572</v>
      </c>
      <c r="AL506" s="7" t="s">
        <v>2573</v>
      </c>
      <c r="AM506" s="7" t="s">
        <v>2574</v>
      </c>
      <c r="AN506" s="7" t="s">
        <v>2575</v>
      </c>
      <c r="AO506" s="7" t="s">
        <v>2576</v>
      </c>
      <c r="AP506" s="7" t="s">
        <v>2577</v>
      </c>
      <c r="AQ506" s="7" t="s">
        <v>2578</v>
      </c>
      <c r="AR506" s="7" t="s">
        <v>2579</v>
      </c>
      <c r="AS506" s="7" t="s">
        <v>2580</v>
      </c>
      <c r="AT506" s="7" t="s">
        <v>2581</v>
      </c>
      <c r="AU506" s="7" t="s">
        <v>2582</v>
      </c>
      <c r="AV506" s="7" t="s">
        <v>2583</v>
      </c>
      <c r="AW506" s="7" t="s">
        <v>2584</v>
      </c>
      <c r="AX506" s="7" t="s">
        <v>2585</v>
      </c>
      <c r="AY506" s="7" t="s">
        <v>2586</v>
      </c>
    </row>
    <row r="507" spans="1:58" ht="78" customHeight="1" x14ac:dyDescent="0.4">
      <c r="A507" s="67">
        <v>8720828495230</v>
      </c>
      <c r="B507" t="e">
        <f>_xlfn.XLOOKUP(A507,'Product info'!A:A,'Product info'!C:C,,2)</f>
        <v>#N/A</v>
      </c>
      <c r="C507" s="69" t="s">
        <v>688</v>
      </c>
      <c r="D507" s="7" t="s">
        <v>689</v>
      </c>
      <c r="E507" s="7" t="s">
        <v>690</v>
      </c>
      <c r="F507" s="7" t="s">
        <v>691</v>
      </c>
      <c r="G507" s="7" t="s">
        <v>692</v>
      </c>
      <c r="H507" s="7" t="s">
        <v>693</v>
      </c>
      <c r="I507" s="7" t="s">
        <v>694</v>
      </c>
      <c r="J507" s="7" t="s">
        <v>695</v>
      </c>
      <c r="K507" s="7" t="s">
        <v>696</v>
      </c>
      <c r="L507" s="7" t="s">
        <v>697</v>
      </c>
      <c r="M507" s="7" t="s">
        <v>698</v>
      </c>
      <c r="N507" s="7" t="s">
        <v>699</v>
      </c>
      <c r="O507" s="7" t="s">
        <v>700</v>
      </c>
      <c r="P507" s="7" t="s">
        <v>701</v>
      </c>
      <c r="Q507" s="7" t="s">
        <v>702</v>
      </c>
      <c r="R507" s="7" t="s">
        <v>703</v>
      </c>
      <c r="S507" s="7" t="s">
        <v>704</v>
      </c>
      <c r="T507" s="7" t="s">
        <v>705</v>
      </c>
      <c r="U507" s="7" t="s">
        <v>706</v>
      </c>
      <c r="V507" s="7" t="s">
        <v>707</v>
      </c>
      <c r="W507" s="7" t="s">
        <v>708</v>
      </c>
      <c r="X507" s="7" t="s">
        <v>709</v>
      </c>
      <c r="Y507" s="7" t="s">
        <v>710</v>
      </c>
      <c r="Z507" s="7" t="s">
        <v>711</v>
      </c>
      <c r="AA507" s="7" t="s">
        <v>712</v>
      </c>
      <c r="AB507" s="7" t="s">
        <v>694</v>
      </c>
      <c r="AC507" s="7" t="s">
        <v>713</v>
      </c>
      <c r="AD507" s="7" t="s">
        <v>714</v>
      </c>
      <c r="AE507" s="7" t="s">
        <v>715</v>
      </c>
      <c r="AF507" s="7" t="s">
        <v>716</v>
      </c>
      <c r="AG507" s="7" t="s">
        <v>2568</v>
      </c>
      <c r="AH507" s="7" t="s">
        <v>2569</v>
      </c>
      <c r="AI507" s="7" t="s">
        <v>2570</v>
      </c>
      <c r="AJ507" s="7" t="s">
        <v>2571</v>
      </c>
      <c r="AK507" s="7" t="s">
        <v>2572</v>
      </c>
      <c r="AL507" s="7" t="s">
        <v>2573</v>
      </c>
      <c r="AM507" s="7" t="s">
        <v>2574</v>
      </c>
      <c r="AN507" s="7" t="s">
        <v>2575</v>
      </c>
      <c r="AO507" s="7" t="s">
        <v>2576</v>
      </c>
      <c r="AP507" s="7" t="s">
        <v>2577</v>
      </c>
      <c r="AQ507" s="7" t="s">
        <v>2578</v>
      </c>
      <c r="AR507" s="7" t="s">
        <v>2579</v>
      </c>
      <c r="AS507" s="7" t="s">
        <v>2580</v>
      </c>
      <c r="AT507" s="7" t="s">
        <v>2581</v>
      </c>
      <c r="AU507" s="7" t="s">
        <v>2582</v>
      </c>
      <c r="AV507" s="7" t="s">
        <v>2583</v>
      </c>
      <c r="AW507" s="7" t="s">
        <v>2584</v>
      </c>
      <c r="AX507" s="7" t="s">
        <v>2585</v>
      </c>
      <c r="AY507" s="7" t="s">
        <v>2586</v>
      </c>
      <c r="AZ507" s="7" t="s">
        <v>2587</v>
      </c>
    </row>
    <row r="508" spans="1:58" ht="78" customHeight="1" x14ac:dyDescent="0.4">
      <c r="A508" s="67">
        <v>8720828495247</v>
      </c>
      <c r="B508" t="e">
        <f>_xlfn.XLOOKUP(A508,'Product info'!A:A,'Product info'!C:C,,2)</f>
        <v>#N/A</v>
      </c>
      <c r="C508" s="69" t="s">
        <v>688</v>
      </c>
      <c r="D508" s="7" t="s">
        <v>689</v>
      </c>
      <c r="E508" s="7" t="s">
        <v>690</v>
      </c>
      <c r="F508" s="7" t="s">
        <v>691</v>
      </c>
      <c r="G508" s="7" t="s">
        <v>692</v>
      </c>
      <c r="H508" s="7" t="s">
        <v>693</v>
      </c>
      <c r="I508" s="7" t="s">
        <v>694</v>
      </c>
      <c r="J508" s="7" t="s">
        <v>695</v>
      </c>
      <c r="K508" s="7" t="s">
        <v>696</v>
      </c>
      <c r="L508" s="7" t="s">
        <v>697</v>
      </c>
      <c r="M508" s="7" t="s">
        <v>698</v>
      </c>
      <c r="N508" s="7" t="s">
        <v>699</v>
      </c>
      <c r="O508" s="7" t="s">
        <v>700</v>
      </c>
      <c r="P508" s="7" t="s">
        <v>701</v>
      </c>
      <c r="Q508" s="7" t="s">
        <v>702</v>
      </c>
      <c r="R508" s="7" t="s">
        <v>703</v>
      </c>
      <c r="S508" s="7" t="s">
        <v>704</v>
      </c>
      <c r="T508" s="7" t="s">
        <v>705</v>
      </c>
      <c r="U508" s="7" t="s">
        <v>706</v>
      </c>
      <c r="V508" s="7" t="s">
        <v>707</v>
      </c>
      <c r="W508" s="7" t="s">
        <v>708</v>
      </c>
      <c r="X508" s="7" t="s">
        <v>709</v>
      </c>
      <c r="Y508" s="7" t="s">
        <v>710</v>
      </c>
      <c r="Z508" s="7" t="s">
        <v>711</v>
      </c>
      <c r="AA508" s="7" t="s">
        <v>712</v>
      </c>
      <c r="AB508" s="7" t="s">
        <v>694</v>
      </c>
      <c r="AC508" s="7" t="s">
        <v>713</v>
      </c>
      <c r="AD508" s="7" t="s">
        <v>714</v>
      </c>
      <c r="AE508" s="7" t="s">
        <v>715</v>
      </c>
      <c r="AF508" s="7" t="s">
        <v>716</v>
      </c>
      <c r="AG508" s="7" t="s">
        <v>2568</v>
      </c>
      <c r="AH508" s="7" t="s">
        <v>2569</v>
      </c>
      <c r="AI508" s="7" t="s">
        <v>2570</v>
      </c>
      <c r="AJ508" s="7" t="s">
        <v>2571</v>
      </c>
      <c r="AK508" s="7" t="s">
        <v>2572</v>
      </c>
      <c r="AL508" s="7" t="s">
        <v>2573</v>
      </c>
      <c r="AM508" s="7" t="s">
        <v>2574</v>
      </c>
      <c r="AN508" s="7" t="s">
        <v>2575</v>
      </c>
      <c r="AO508" s="7" t="s">
        <v>2576</v>
      </c>
      <c r="AP508" s="7" t="s">
        <v>2577</v>
      </c>
      <c r="AQ508" s="7" t="s">
        <v>2578</v>
      </c>
      <c r="AR508" s="7" t="s">
        <v>2579</v>
      </c>
      <c r="AS508" s="7" t="s">
        <v>2580</v>
      </c>
      <c r="AT508" s="7" t="s">
        <v>2581</v>
      </c>
      <c r="AU508" s="7" t="s">
        <v>2582</v>
      </c>
      <c r="AV508" s="7" t="s">
        <v>2583</v>
      </c>
      <c r="AW508" s="7" t="s">
        <v>2584</v>
      </c>
      <c r="AX508" s="7" t="s">
        <v>2585</v>
      </c>
      <c r="AY508" s="7" t="s">
        <v>2586</v>
      </c>
    </row>
    <row r="509" spans="1:58" ht="78" customHeight="1" x14ac:dyDescent="0.4">
      <c r="A509" s="67">
        <v>8721001273089</v>
      </c>
      <c r="B509" t="e">
        <f>_xlfn.XLOOKUP(A509,'Product info'!A:A,'Product info'!C:C,,2)</f>
        <v>#N/A</v>
      </c>
      <c r="C509" s="69" t="s">
        <v>688</v>
      </c>
      <c r="D509" s="7" t="s">
        <v>689</v>
      </c>
      <c r="E509" s="7" t="s">
        <v>690</v>
      </c>
      <c r="F509" s="7" t="s">
        <v>691</v>
      </c>
      <c r="G509" s="7" t="s">
        <v>692</v>
      </c>
      <c r="H509" s="7" t="s">
        <v>693</v>
      </c>
      <c r="I509" s="7" t="s">
        <v>694</v>
      </c>
      <c r="J509" s="7" t="s">
        <v>695</v>
      </c>
      <c r="K509" s="7" t="s">
        <v>696</v>
      </c>
      <c r="L509" s="7" t="s">
        <v>697</v>
      </c>
      <c r="M509" s="7" t="s">
        <v>698</v>
      </c>
      <c r="N509" s="7" t="s">
        <v>699</v>
      </c>
      <c r="O509" s="7" t="s">
        <v>700</v>
      </c>
      <c r="P509" s="7" t="s">
        <v>701</v>
      </c>
      <c r="Q509" s="7" t="s">
        <v>702</v>
      </c>
      <c r="R509" s="7" t="s">
        <v>703</v>
      </c>
      <c r="S509" s="7" t="s">
        <v>704</v>
      </c>
      <c r="T509" s="7" t="s">
        <v>705</v>
      </c>
      <c r="U509" s="7" t="s">
        <v>706</v>
      </c>
      <c r="V509" s="7" t="s">
        <v>707</v>
      </c>
      <c r="W509" s="7" t="s">
        <v>708</v>
      </c>
      <c r="X509" s="7" t="s">
        <v>709</v>
      </c>
      <c r="Y509" s="7" t="s">
        <v>710</v>
      </c>
      <c r="Z509" s="7" t="s">
        <v>711</v>
      </c>
      <c r="AA509" s="7" t="s">
        <v>712</v>
      </c>
      <c r="AB509" s="7" t="s">
        <v>694</v>
      </c>
      <c r="AC509" s="7" t="s">
        <v>713</v>
      </c>
      <c r="AD509" s="7" t="s">
        <v>714</v>
      </c>
      <c r="AE509" s="7" t="s">
        <v>715</v>
      </c>
      <c r="AF509" s="7" t="s">
        <v>716</v>
      </c>
      <c r="AG509" s="7" t="s">
        <v>2115</v>
      </c>
      <c r="AH509" s="7" t="s">
        <v>2116</v>
      </c>
      <c r="AI509" s="7" t="s">
        <v>2117</v>
      </c>
      <c r="AJ509" s="7" t="s">
        <v>2118</v>
      </c>
      <c r="AK509" s="7" t="s">
        <v>2119</v>
      </c>
      <c r="AL509" s="7" t="s">
        <v>2120</v>
      </c>
      <c r="AM509" s="7" t="s">
        <v>2121</v>
      </c>
      <c r="AN509" s="7" t="s">
        <v>2122</v>
      </c>
      <c r="AO509" s="7" t="s">
        <v>2123</v>
      </c>
      <c r="AP509" s="7" t="s">
        <v>1111</v>
      </c>
      <c r="AQ509" s="7" t="s">
        <v>1112</v>
      </c>
      <c r="AR509" s="7" t="s">
        <v>1113</v>
      </c>
      <c r="AS509" s="7" t="s">
        <v>1114</v>
      </c>
      <c r="AT509" s="7" t="s">
        <v>1115</v>
      </c>
      <c r="AU509" s="7" t="s">
        <v>1117</v>
      </c>
      <c r="AV509" s="7" t="s">
        <v>2588</v>
      </c>
    </row>
    <row r="510" spans="1:58" ht="78" customHeight="1" x14ac:dyDescent="0.4">
      <c r="A510" s="67">
        <v>8721001272990</v>
      </c>
      <c r="B510" t="e">
        <f>_xlfn.XLOOKUP(A510,'Product info'!A:A,'Product info'!C:C,,2)</f>
        <v>#N/A</v>
      </c>
      <c r="C510" s="69" t="s">
        <v>688</v>
      </c>
      <c r="D510" s="7" t="s">
        <v>689</v>
      </c>
      <c r="E510" s="7" t="s">
        <v>690</v>
      </c>
      <c r="F510" s="7" t="s">
        <v>691</v>
      </c>
      <c r="G510" s="7" t="s">
        <v>692</v>
      </c>
      <c r="H510" s="7" t="s">
        <v>693</v>
      </c>
      <c r="I510" s="7" t="s">
        <v>694</v>
      </c>
      <c r="J510" s="7" t="s">
        <v>695</v>
      </c>
      <c r="K510" s="7" t="s">
        <v>696</v>
      </c>
      <c r="L510" s="7" t="s">
        <v>697</v>
      </c>
      <c r="M510" s="7" t="s">
        <v>698</v>
      </c>
      <c r="N510" s="7" t="s">
        <v>699</v>
      </c>
      <c r="O510" s="7" t="s">
        <v>700</v>
      </c>
      <c r="P510" s="7" t="s">
        <v>701</v>
      </c>
      <c r="Q510" s="7" t="s">
        <v>702</v>
      </c>
      <c r="R510" s="7" t="s">
        <v>703</v>
      </c>
      <c r="S510" s="7" t="s">
        <v>704</v>
      </c>
      <c r="T510" s="7" t="s">
        <v>705</v>
      </c>
      <c r="U510" s="7" t="s">
        <v>706</v>
      </c>
      <c r="V510" s="7" t="s">
        <v>707</v>
      </c>
      <c r="W510" s="7" t="s">
        <v>708</v>
      </c>
      <c r="X510" s="7" t="s">
        <v>709</v>
      </c>
      <c r="Y510" s="7" t="s">
        <v>710</v>
      </c>
      <c r="Z510" s="7" t="s">
        <v>711</v>
      </c>
      <c r="AA510" s="7" t="s">
        <v>712</v>
      </c>
      <c r="AB510" s="7" t="s">
        <v>694</v>
      </c>
      <c r="AC510" s="7" t="s">
        <v>713</v>
      </c>
      <c r="AD510" s="7" t="s">
        <v>714</v>
      </c>
      <c r="AE510" s="7" t="s">
        <v>715</v>
      </c>
      <c r="AF510" s="7" t="s">
        <v>716</v>
      </c>
      <c r="AG510" s="7" t="s">
        <v>2589</v>
      </c>
      <c r="AH510" s="7" t="s">
        <v>2590</v>
      </c>
      <c r="AI510" s="7" t="s">
        <v>2591</v>
      </c>
      <c r="AJ510" s="7" t="s">
        <v>2592</v>
      </c>
      <c r="AK510" s="7" t="s">
        <v>2593</v>
      </c>
      <c r="AL510" s="7" t="s">
        <v>2594</v>
      </c>
      <c r="AM510" s="7" t="s">
        <v>2595</v>
      </c>
      <c r="AN510" s="7" t="s">
        <v>2596</v>
      </c>
      <c r="AO510" s="7" t="s">
        <v>2597</v>
      </c>
      <c r="AP510" s="7" t="s">
        <v>2598</v>
      </c>
      <c r="AQ510" s="7" t="s">
        <v>2599</v>
      </c>
      <c r="AR510" s="7" t="s">
        <v>2600</v>
      </c>
      <c r="AS510" s="7" t="s">
        <v>2601</v>
      </c>
      <c r="AT510" s="7" t="s">
        <v>2602</v>
      </c>
      <c r="AU510" s="7" t="s">
        <v>2603</v>
      </c>
      <c r="AV510" s="7" t="s">
        <v>2604</v>
      </c>
      <c r="AW510" s="7" t="s">
        <v>2605</v>
      </c>
      <c r="AX510" s="7" t="s">
        <v>2606</v>
      </c>
      <c r="AY510" s="7" t="s">
        <v>2607</v>
      </c>
      <c r="AZ510" s="7" t="s">
        <v>2608</v>
      </c>
      <c r="BA510" s="7" t="s">
        <v>2609</v>
      </c>
      <c r="BB510" s="7" t="s">
        <v>2610</v>
      </c>
      <c r="BC510" s="7" t="s">
        <v>2226</v>
      </c>
    </row>
    <row r="511" spans="1:58" ht="78" customHeight="1" x14ac:dyDescent="0.4">
      <c r="A511" s="67">
        <v>8721001273058</v>
      </c>
      <c r="B511" t="e">
        <f>_xlfn.XLOOKUP(A511,'Product info'!A:A,'Product info'!C:C,,2)</f>
        <v>#N/A</v>
      </c>
      <c r="C511" s="69" t="s">
        <v>688</v>
      </c>
      <c r="D511" s="7" t="s">
        <v>689</v>
      </c>
      <c r="E511" s="7" t="s">
        <v>690</v>
      </c>
      <c r="F511" s="7" t="s">
        <v>691</v>
      </c>
      <c r="G511" s="7" t="s">
        <v>692</v>
      </c>
      <c r="H511" s="7" t="s">
        <v>693</v>
      </c>
      <c r="I511" s="7" t="s">
        <v>694</v>
      </c>
      <c r="J511" s="7" t="s">
        <v>695</v>
      </c>
      <c r="K511" s="7" t="s">
        <v>696</v>
      </c>
      <c r="L511" s="7" t="s">
        <v>697</v>
      </c>
      <c r="M511" s="7" t="s">
        <v>698</v>
      </c>
      <c r="N511" s="7" t="s">
        <v>699</v>
      </c>
      <c r="O511" s="7" t="s">
        <v>700</v>
      </c>
      <c r="P511" s="7" t="s">
        <v>701</v>
      </c>
      <c r="Q511" s="7" t="s">
        <v>702</v>
      </c>
      <c r="R511" s="7" t="s">
        <v>703</v>
      </c>
      <c r="S511" s="7" t="s">
        <v>704</v>
      </c>
      <c r="T511" s="7" t="s">
        <v>705</v>
      </c>
      <c r="U511" s="7" t="s">
        <v>706</v>
      </c>
      <c r="V511" s="7" t="s">
        <v>707</v>
      </c>
      <c r="W511" s="7" t="s">
        <v>708</v>
      </c>
      <c r="X511" s="7" t="s">
        <v>709</v>
      </c>
      <c r="Y511" s="7" t="s">
        <v>710</v>
      </c>
      <c r="Z511" s="7" t="s">
        <v>711</v>
      </c>
      <c r="AA511" s="7" t="s">
        <v>712</v>
      </c>
      <c r="AB511" s="7" t="s">
        <v>694</v>
      </c>
      <c r="AC511" s="7" t="s">
        <v>713</v>
      </c>
      <c r="AD511" s="7" t="s">
        <v>714</v>
      </c>
      <c r="AE511" s="7" t="s">
        <v>715</v>
      </c>
      <c r="AF511" s="7" t="s">
        <v>716</v>
      </c>
      <c r="AG511" s="7" t="s">
        <v>2611</v>
      </c>
      <c r="AH511" s="7" t="s">
        <v>2612</v>
      </c>
      <c r="AI511" s="7" t="s">
        <v>2613</v>
      </c>
      <c r="AJ511" s="7" t="s">
        <v>2614</v>
      </c>
      <c r="AK511" s="7" t="s">
        <v>2615</v>
      </c>
      <c r="AL511" s="7" t="s">
        <v>2616</v>
      </c>
      <c r="AM511" s="7" t="s">
        <v>2617</v>
      </c>
      <c r="AN511" s="7" t="s">
        <v>1915</v>
      </c>
      <c r="AO511" s="7" t="s">
        <v>2618</v>
      </c>
      <c r="AP511" s="7" t="s">
        <v>2619</v>
      </c>
      <c r="AQ511" s="7" t="s">
        <v>2620</v>
      </c>
      <c r="AR511" s="7" t="s">
        <v>2621</v>
      </c>
      <c r="AS511" s="7" t="s">
        <v>2622</v>
      </c>
      <c r="AT511" s="7" t="s">
        <v>2623</v>
      </c>
      <c r="AU511" s="7" t="s">
        <v>2624</v>
      </c>
      <c r="AV511" s="7" t="s">
        <v>2625</v>
      </c>
    </row>
    <row r="512" spans="1:58" ht="78" customHeight="1" x14ac:dyDescent="0.4">
      <c r="A512" s="67">
        <v>8721001273041</v>
      </c>
      <c r="B512" t="e">
        <f>_xlfn.XLOOKUP(A512,'Product info'!A:A,'Product info'!C:C,,2)</f>
        <v>#N/A</v>
      </c>
      <c r="C512" s="69" t="s">
        <v>688</v>
      </c>
      <c r="D512" s="7" t="s">
        <v>689</v>
      </c>
      <c r="E512" s="7" t="s">
        <v>690</v>
      </c>
      <c r="F512" s="7" t="s">
        <v>691</v>
      </c>
      <c r="G512" s="7" t="s">
        <v>692</v>
      </c>
      <c r="H512" s="7" t="s">
        <v>693</v>
      </c>
      <c r="I512" s="7" t="s">
        <v>694</v>
      </c>
      <c r="J512" s="7" t="s">
        <v>695</v>
      </c>
      <c r="K512" s="7" t="s">
        <v>696</v>
      </c>
      <c r="L512" s="7" t="s">
        <v>697</v>
      </c>
      <c r="M512" s="7" t="s">
        <v>698</v>
      </c>
      <c r="N512" s="7" t="s">
        <v>699</v>
      </c>
      <c r="O512" s="7" t="s">
        <v>700</v>
      </c>
      <c r="P512" s="7" t="s">
        <v>701</v>
      </c>
      <c r="Q512" s="7" t="s">
        <v>702</v>
      </c>
      <c r="R512" s="7" t="s">
        <v>703</v>
      </c>
      <c r="S512" s="7" t="s">
        <v>704</v>
      </c>
      <c r="T512" s="7" t="s">
        <v>705</v>
      </c>
      <c r="U512" s="7" t="s">
        <v>706</v>
      </c>
      <c r="V512" s="7" t="s">
        <v>707</v>
      </c>
      <c r="W512" s="7" t="s">
        <v>708</v>
      </c>
      <c r="X512" s="7" t="s">
        <v>709</v>
      </c>
      <c r="Y512" s="7" t="s">
        <v>710</v>
      </c>
      <c r="Z512" s="7" t="s">
        <v>711</v>
      </c>
      <c r="AA512" s="7" t="s">
        <v>712</v>
      </c>
      <c r="AB512" s="7" t="s">
        <v>694</v>
      </c>
      <c r="AC512" s="7" t="s">
        <v>713</v>
      </c>
      <c r="AD512" s="7" t="s">
        <v>714</v>
      </c>
      <c r="AE512" s="7" t="s">
        <v>715</v>
      </c>
      <c r="AF512" s="7" t="s">
        <v>716</v>
      </c>
      <c r="AG512" s="7" t="s">
        <v>2611</v>
      </c>
      <c r="AH512" s="7" t="s">
        <v>2612</v>
      </c>
      <c r="AI512" s="7" t="s">
        <v>2613</v>
      </c>
      <c r="AJ512" s="7" t="s">
        <v>2614</v>
      </c>
      <c r="AK512" s="7" t="s">
        <v>2615</v>
      </c>
      <c r="AL512" s="7" t="s">
        <v>2616</v>
      </c>
      <c r="AM512" s="7" t="s">
        <v>2617</v>
      </c>
      <c r="AN512" s="7" t="s">
        <v>1915</v>
      </c>
      <c r="AO512" s="7" t="s">
        <v>2618</v>
      </c>
      <c r="AP512" s="7" t="s">
        <v>2619</v>
      </c>
      <c r="AQ512" s="7" t="s">
        <v>2620</v>
      </c>
      <c r="AR512" s="7" t="s">
        <v>2621</v>
      </c>
      <c r="AS512" s="7" t="s">
        <v>2622</v>
      </c>
      <c r="AT512" s="7" t="s">
        <v>2623</v>
      </c>
      <c r="AU512" s="7" t="s">
        <v>2624</v>
      </c>
      <c r="AV512" s="7" t="s">
        <v>2625</v>
      </c>
    </row>
    <row r="513" spans="1:61" ht="78" customHeight="1" x14ac:dyDescent="0.4">
      <c r="A513" s="67">
        <v>8721001273065</v>
      </c>
      <c r="B513" t="e">
        <f>_xlfn.XLOOKUP(A513,'Product info'!A:A,'Product info'!C:C,,2)</f>
        <v>#N/A</v>
      </c>
      <c r="C513" s="69" t="s">
        <v>688</v>
      </c>
      <c r="D513" s="7" t="s">
        <v>689</v>
      </c>
      <c r="E513" s="7" t="s">
        <v>690</v>
      </c>
      <c r="F513" s="7" t="s">
        <v>691</v>
      </c>
      <c r="G513" s="7" t="s">
        <v>692</v>
      </c>
      <c r="H513" s="7" t="s">
        <v>693</v>
      </c>
      <c r="I513" s="7" t="s">
        <v>694</v>
      </c>
      <c r="J513" s="7" t="s">
        <v>695</v>
      </c>
      <c r="K513" s="7" t="s">
        <v>696</v>
      </c>
      <c r="L513" s="7" t="s">
        <v>697</v>
      </c>
      <c r="M513" s="7" t="s">
        <v>698</v>
      </c>
      <c r="N513" s="7" t="s">
        <v>699</v>
      </c>
      <c r="O513" s="7" t="s">
        <v>700</v>
      </c>
      <c r="P513" s="7" t="s">
        <v>701</v>
      </c>
      <c r="Q513" s="7" t="s">
        <v>702</v>
      </c>
      <c r="R513" s="7" t="s">
        <v>703</v>
      </c>
      <c r="S513" s="7" t="s">
        <v>704</v>
      </c>
      <c r="T513" s="7" t="s">
        <v>705</v>
      </c>
      <c r="U513" s="7" t="s">
        <v>706</v>
      </c>
      <c r="V513" s="7" t="s">
        <v>707</v>
      </c>
      <c r="W513" s="7" t="s">
        <v>708</v>
      </c>
      <c r="X513" s="7" t="s">
        <v>709</v>
      </c>
      <c r="Y513" s="7" t="s">
        <v>710</v>
      </c>
      <c r="Z513" s="7" t="s">
        <v>711</v>
      </c>
      <c r="AA513" s="7" t="s">
        <v>712</v>
      </c>
      <c r="AB513" s="7" t="s">
        <v>694</v>
      </c>
      <c r="AC513" s="7" t="s">
        <v>713</v>
      </c>
      <c r="AD513" s="7" t="s">
        <v>714</v>
      </c>
      <c r="AE513" s="7" t="s">
        <v>715</v>
      </c>
      <c r="AF513" s="7" t="s">
        <v>716</v>
      </c>
      <c r="AG513" s="7" t="s">
        <v>2611</v>
      </c>
      <c r="AH513" s="7" t="s">
        <v>2612</v>
      </c>
      <c r="AI513" s="7" t="s">
        <v>2613</v>
      </c>
      <c r="AJ513" s="7" t="s">
        <v>2614</v>
      </c>
      <c r="AK513" s="7" t="s">
        <v>2615</v>
      </c>
      <c r="AL513" s="7" t="s">
        <v>2616</v>
      </c>
      <c r="AM513" s="7" t="s">
        <v>2617</v>
      </c>
      <c r="AN513" s="7" t="s">
        <v>1915</v>
      </c>
      <c r="AO513" s="7" t="s">
        <v>2618</v>
      </c>
      <c r="AP513" s="7" t="s">
        <v>2619</v>
      </c>
      <c r="AQ513" s="7" t="s">
        <v>2620</v>
      </c>
      <c r="AR513" s="7" t="s">
        <v>2621</v>
      </c>
      <c r="AS513" s="7" t="s">
        <v>2622</v>
      </c>
      <c r="AT513" s="7" t="s">
        <v>2626</v>
      </c>
      <c r="AU513" s="7" t="s">
        <v>2624</v>
      </c>
      <c r="AV513" s="7" t="s">
        <v>2625</v>
      </c>
    </row>
    <row r="514" spans="1:61" ht="78" customHeight="1" x14ac:dyDescent="0.4">
      <c r="A514" s="67">
        <v>8721001273072</v>
      </c>
      <c r="B514" t="e">
        <f>_xlfn.XLOOKUP(A514,'Product info'!A:A,'Product info'!C:C,,2)</f>
        <v>#N/A</v>
      </c>
      <c r="C514" s="69" t="s">
        <v>688</v>
      </c>
      <c r="D514" s="7" t="s">
        <v>689</v>
      </c>
      <c r="E514" s="7" t="s">
        <v>690</v>
      </c>
      <c r="F514" s="7" t="s">
        <v>691</v>
      </c>
      <c r="G514" s="7" t="s">
        <v>692</v>
      </c>
      <c r="H514" s="7" t="s">
        <v>693</v>
      </c>
      <c r="I514" s="7" t="s">
        <v>694</v>
      </c>
      <c r="J514" s="7" t="s">
        <v>695</v>
      </c>
      <c r="K514" s="7" t="s">
        <v>696</v>
      </c>
      <c r="L514" s="7" t="s">
        <v>697</v>
      </c>
      <c r="M514" s="7" t="s">
        <v>698</v>
      </c>
      <c r="N514" s="7" t="s">
        <v>699</v>
      </c>
      <c r="O514" s="7" t="s">
        <v>700</v>
      </c>
      <c r="P514" s="7" t="s">
        <v>701</v>
      </c>
      <c r="Q514" s="7" t="s">
        <v>702</v>
      </c>
      <c r="R514" s="7" t="s">
        <v>703</v>
      </c>
      <c r="S514" s="7" t="s">
        <v>704</v>
      </c>
      <c r="T514" s="7" t="s">
        <v>705</v>
      </c>
      <c r="U514" s="7" t="s">
        <v>706</v>
      </c>
      <c r="V514" s="7" t="s">
        <v>707</v>
      </c>
      <c r="W514" s="7" t="s">
        <v>708</v>
      </c>
      <c r="X514" s="7" t="s">
        <v>709</v>
      </c>
      <c r="Y514" s="7" t="s">
        <v>710</v>
      </c>
      <c r="Z514" s="7" t="s">
        <v>711</v>
      </c>
      <c r="AA514" s="7" t="s">
        <v>712</v>
      </c>
      <c r="AB514" s="7" t="s">
        <v>694</v>
      </c>
      <c r="AC514" s="7" t="s">
        <v>713</v>
      </c>
      <c r="AD514" s="7" t="s">
        <v>714</v>
      </c>
      <c r="AE514" s="7" t="s">
        <v>715</v>
      </c>
      <c r="AF514" s="7" t="s">
        <v>716</v>
      </c>
      <c r="AG514" s="7" t="s">
        <v>2611</v>
      </c>
      <c r="AH514" s="7" t="s">
        <v>2612</v>
      </c>
      <c r="AI514" s="7" t="s">
        <v>2613</v>
      </c>
      <c r="AJ514" s="7" t="s">
        <v>2614</v>
      </c>
      <c r="AK514" s="7" t="s">
        <v>2615</v>
      </c>
      <c r="AL514" s="7" t="s">
        <v>2616</v>
      </c>
      <c r="AM514" s="7" t="s">
        <v>2617</v>
      </c>
      <c r="AN514" s="7" t="s">
        <v>1915</v>
      </c>
      <c r="AO514" s="7" t="s">
        <v>2618</v>
      </c>
      <c r="AP514" s="7" t="s">
        <v>2619</v>
      </c>
      <c r="AQ514" s="7" t="s">
        <v>2620</v>
      </c>
      <c r="AR514" s="7" t="s">
        <v>2621</v>
      </c>
      <c r="AS514" s="7" t="s">
        <v>2622</v>
      </c>
      <c r="AT514" s="7" t="s">
        <v>2623</v>
      </c>
      <c r="AU514" s="7" t="s">
        <v>2624</v>
      </c>
      <c r="AV514" s="7" t="s">
        <v>2625</v>
      </c>
    </row>
    <row r="515" spans="1:61" ht="78" customHeight="1" x14ac:dyDescent="0.4">
      <c r="A515" s="67">
        <v>8721001273126</v>
      </c>
      <c r="B515" t="e">
        <f>_xlfn.XLOOKUP(A515,'Product info'!A:A,'Product info'!C:C,,2)</f>
        <v>#N/A</v>
      </c>
      <c r="C515" s="69" t="s">
        <v>688</v>
      </c>
      <c r="D515" s="7" t="s">
        <v>689</v>
      </c>
      <c r="E515" s="7" t="s">
        <v>690</v>
      </c>
      <c r="F515" s="7" t="s">
        <v>691</v>
      </c>
      <c r="G515" s="7" t="s">
        <v>692</v>
      </c>
      <c r="H515" s="7" t="s">
        <v>693</v>
      </c>
      <c r="I515" s="7" t="s">
        <v>694</v>
      </c>
      <c r="J515" s="7" t="s">
        <v>695</v>
      </c>
      <c r="K515" s="7" t="s">
        <v>696</v>
      </c>
      <c r="L515" s="7" t="s">
        <v>697</v>
      </c>
      <c r="M515" s="7" t="s">
        <v>698</v>
      </c>
      <c r="N515" s="7" t="s">
        <v>699</v>
      </c>
      <c r="O515" s="7" t="s">
        <v>700</v>
      </c>
      <c r="P515" s="7" t="s">
        <v>701</v>
      </c>
      <c r="Q515" s="7" t="s">
        <v>702</v>
      </c>
      <c r="R515" s="7" t="s">
        <v>703</v>
      </c>
      <c r="S515" s="7" t="s">
        <v>704</v>
      </c>
      <c r="T515" s="7" t="s">
        <v>705</v>
      </c>
      <c r="U515" s="7" t="s">
        <v>706</v>
      </c>
      <c r="V515" s="7" t="s">
        <v>707</v>
      </c>
      <c r="W515" s="7" t="s">
        <v>708</v>
      </c>
      <c r="X515" s="7" t="s">
        <v>709</v>
      </c>
      <c r="Y515" s="7" t="s">
        <v>710</v>
      </c>
      <c r="Z515" s="7" t="s">
        <v>711</v>
      </c>
      <c r="AA515" s="7" t="s">
        <v>712</v>
      </c>
      <c r="AB515" s="7" t="s">
        <v>694</v>
      </c>
      <c r="AC515" s="7" t="s">
        <v>713</v>
      </c>
      <c r="AD515" s="7" t="s">
        <v>714</v>
      </c>
      <c r="AE515" s="7" t="s">
        <v>715</v>
      </c>
      <c r="AF515" s="7" t="s">
        <v>716</v>
      </c>
      <c r="AG515" s="7" t="s">
        <v>2050</v>
      </c>
      <c r="AH515" s="7" t="s">
        <v>2302</v>
      </c>
      <c r="AI515" s="7" t="s">
        <v>2303</v>
      </c>
      <c r="AJ515" s="7" t="s">
        <v>2304</v>
      </c>
      <c r="AK515" s="7" t="s">
        <v>2305</v>
      </c>
      <c r="AL515" s="7" t="s">
        <v>2306</v>
      </c>
      <c r="AM515" s="7" t="s">
        <v>2307</v>
      </c>
      <c r="AN515" s="7" t="s">
        <v>2308</v>
      </c>
      <c r="AO515" s="7" t="s">
        <v>2309</v>
      </c>
      <c r="AP515" s="7" t="s">
        <v>2310</v>
      </c>
      <c r="AQ515" s="7" t="s">
        <v>2311</v>
      </c>
      <c r="AR515" s="7" t="s">
        <v>2312</v>
      </c>
      <c r="AS515" s="7" t="s">
        <v>2313</v>
      </c>
    </row>
    <row r="516" spans="1:61" ht="78" customHeight="1" x14ac:dyDescent="0.4">
      <c r="A516" s="67">
        <v>8721001273133</v>
      </c>
      <c r="B516" t="e">
        <f>_xlfn.XLOOKUP(A516,'Product info'!A:A,'Product info'!C:C,,2)</f>
        <v>#N/A</v>
      </c>
      <c r="C516" s="69" t="s">
        <v>688</v>
      </c>
      <c r="D516" s="7" t="s">
        <v>689</v>
      </c>
      <c r="E516" s="7" t="s">
        <v>690</v>
      </c>
      <c r="F516" s="7" t="s">
        <v>691</v>
      </c>
      <c r="G516" s="7" t="s">
        <v>692</v>
      </c>
      <c r="H516" s="7" t="s">
        <v>693</v>
      </c>
      <c r="I516" s="7" t="s">
        <v>694</v>
      </c>
      <c r="J516" s="7" t="s">
        <v>695</v>
      </c>
      <c r="K516" s="7" t="s">
        <v>696</v>
      </c>
      <c r="L516" s="7" t="s">
        <v>697</v>
      </c>
      <c r="M516" s="7" t="s">
        <v>698</v>
      </c>
      <c r="N516" s="7" t="s">
        <v>699</v>
      </c>
      <c r="O516" s="7" t="s">
        <v>700</v>
      </c>
      <c r="P516" s="7" t="s">
        <v>701</v>
      </c>
      <c r="Q516" s="7" t="s">
        <v>702</v>
      </c>
      <c r="R516" s="7" t="s">
        <v>703</v>
      </c>
      <c r="S516" s="7" t="s">
        <v>704</v>
      </c>
      <c r="T516" s="7" t="s">
        <v>705</v>
      </c>
      <c r="U516" s="7" t="s">
        <v>706</v>
      </c>
      <c r="V516" s="7" t="s">
        <v>707</v>
      </c>
      <c r="W516" s="7" t="s">
        <v>708</v>
      </c>
      <c r="X516" s="7" t="s">
        <v>709</v>
      </c>
      <c r="Y516" s="7" t="s">
        <v>710</v>
      </c>
      <c r="Z516" s="7" t="s">
        <v>711</v>
      </c>
      <c r="AA516" s="7" t="s">
        <v>712</v>
      </c>
      <c r="AB516" s="7" t="s">
        <v>694</v>
      </c>
      <c r="AC516" s="7" t="s">
        <v>713</v>
      </c>
      <c r="AD516" s="7" t="s">
        <v>714</v>
      </c>
      <c r="AE516" s="7" t="s">
        <v>715</v>
      </c>
      <c r="AF516" s="7" t="s">
        <v>716</v>
      </c>
      <c r="AG516" s="7" t="s">
        <v>2050</v>
      </c>
      <c r="AH516" s="7" t="s">
        <v>2302</v>
      </c>
      <c r="AI516" s="7" t="s">
        <v>2303</v>
      </c>
      <c r="AJ516" s="7" t="s">
        <v>2304</v>
      </c>
      <c r="AK516" s="7" t="s">
        <v>2305</v>
      </c>
      <c r="AL516" s="7" t="s">
        <v>2306</v>
      </c>
      <c r="AM516" s="7" t="s">
        <v>2307</v>
      </c>
      <c r="AN516" s="7" t="s">
        <v>2308</v>
      </c>
      <c r="AO516" s="7" t="s">
        <v>2309</v>
      </c>
      <c r="AP516" s="7" t="s">
        <v>2310</v>
      </c>
      <c r="AQ516" s="7" t="s">
        <v>2311</v>
      </c>
      <c r="AR516" s="7" t="s">
        <v>2312</v>
      </c>
      <c r="AS516" s="7" t="s">
        <v>2313</v>
      </c>
    </row>
    <row r="517" spans="1:61" ht="78" customHeight="1" x14ac:dyDescent="0.4">
      <c r="A517" s="67">
        <v>8720618229564</v>
      </c>
      <c r="B517" t="e">
        <f>_xlfn.XLOOKUP(A517,'Product info'!A:A,'Product info'!C:C,,2)</f>
        <v>#N/A</v>
      </c>
      <c r="C517" s="69" t="s">
        <v>688</v>
      </c>
      <c r="D517" s="7" t="s">
        <v>689</v>
      </c>
      <c r="E517" s="7" t="s">
        <v>690</v>
      </c>
      <c r="F517" s="7" t="s">
        <v>691</v>
      </c>
      <c r="G517" s="7" t="s">
        <v>692</v>
      </c>
      <c r="H517" s="7" t="s">
        <v>693</v>
      </c>
      <c r="I517" s="7" t="s">
        <v>694</v>
      </c>
      <c r="J517" s="7" t="s">
        <v>695</v>
      </c>
      <c r="K517" s="7" t="s">
        <v>696</v>
      </c>
      <c r="L517" s="7" t="s">
        <v>697</v>
      </c>
      <c r="M517" s="7" t="s">
        <v>698</v>
      </c>
      <c r="N517" s="7" t="s">
        <v>699</v>
      </c>
      <c r="O517" s="7" t="s">
        <v>700</v>
      </c>
      <c r="P517" s="7" t="s">
        <v>701</v>
      </c>
      <c r="Q517" s="7" t="s">
        <v>702</v>
      </c>
      <c r="R517" s="7" t="s">
        <v>703</v>
      </c>
      <c r="S517" s="7" t="s">
        <v>704</v>
      </c>
      <c r="T517" s="7" t="s">
        <v>705</v>
      </c>
      <c r="U517" s="7" t="s">
        <v>706</v>
      </c>
      <c r="V517" s="7" t="s">
        <v>707</v>
      </c>
      <c r="W517" s="7" t="s">
        <v>708</v>
      </c>
      <c r="X517" s="7" t="s">
        <v>709</v>
      </c>
      <c r="Y517" s="7" t="s">
        <v>710</v>
      </c>
      <c r="Z517" s="7" t="s">
        <v>711</v>
      </c>
      <c r="AA517" s="7" t="s">
        <v>712</v>
      </c>
      <c r="AB517" s="7" t="s">
        <v>694</v>
      </c>
      <c r="AC517" s="7" t="s">
        <v>713</v>
      </c>
      <c r="AD517" s="7" t="s">
        <v>714</v>
      </c>
      <c r="AE517" s="7" t="s">
        <v>715</v>
      </c>
      <c r="AF517" s="7" t="s">
        <v>716</v>
      </c>
      <c r="AG517" s="7" t="s">
        <v>1007</v>
      </c>
      <c r="AH517" s="7" t="s">
        <v>1008</v>
      </c>
      <c r="AI517" s="7" t="s">
        <v>1009</v>
      </c>
      <c r="AJ517" s="7" t="s">
        <v>1010</v>
      </c>
      <c r="AK517" s="7" t="s">
        <v>1011</v>
      </c>
      <c r="AL517" s="7" t="s">
        <v>1012</v>
      </c>
      <c r="AM517" s="7" t="s">
        <v>1013</v>
      </c>
      <c r="AN517" s="7" t="s">
        <v>1014</v>
      </c>
      <c r="AO517" s="7" t="s">
        <v>1015</v>
      </c>
      <c r="AP517" s="7" t="s">
        <v>1016</v>
      </c>
      <c r="AQ517" s="7" t="s">
        <v>1017</v>
      </c>
      <c r="AR517" s="7" t="s">
        <v>1018</v>
      </c>
      <c r="AS517" s="7" t="s">
        <v>1019</v>
      </c>
      <c r="AT517" s="7" t="s">
        <v>1020</v>
      </c>
      <c r="AU517" s="7" t="s">
        <v>1021</v>
      </c>
      <c r="AV517" s="7" t="s">
        <v>1022</v>
      </c>
      <c r="AW517" s="7" t="s">
        <v>1023</v>
      </c>
      <c r="AX517" s="7" t="s">
        <v>1024</v>
      </c>
      <c r="AY517" s="7" t="s">
        <v>1025</v>
      </c>
      <c r="AZ517" s="7" t="s">
        <v>1026</v>
      </c>
      <c r="BA517" s="7" t="s">
        <v>1027</v>
      </c>
      <c r="BB517" s="7" t="s">
        <v>2316</v>
      </c>
      <c r="BC517" s="7" t="s">
        <v>2317</v>
      </c>
      <c r="BD517" s="7" t="s">
        <v>2318</v>
      </c>
      <c r="BE517" s="7" t="s">
        <v>2319</v>
      </c>
      <c r="BF517" s="7" t="s">
        <v>2320</v>
      </c>
      <c r="BG517" s="7" t="s">
        <v>2321</v>
      </c>
      <c r="BH517" s="7" t="s">
        <v>2322</v>
      </c>
      <c r="BI517" s="7" t="s">
        <v>2323</v>
      </c>
    </row>
    <row r="518" spans="1:61" ht="78" customHeight="1" x14ac:dyDescent="0.4">
      <c r="A518" s="67">
        <v>8721001272433</v>
      </c>
      <c r="B518" t="e">
        <f>_xlfn.XLOOKUP(A518,'Product info'!A:A,'Product info'!C:C,,2)</f>
        <v>#N/A</v>
      </c>
      <c r="C518" s="69" t="s">
        <v>688</v>
      </c>
      <c r="D518" s="7" t="s">
        <v>689</v>
      </c>
      <c r="E518" s="7" t="s">
        <v>690</v>
      </c>
      <c r="F518" s="7" t="s">
        <v>691</v>
      </c>
      <c r="G518" s="7" t="s">
        <v>692</v>
      </c>
      <c r="H518" s="7" t="s">
        <v>693</v>
      </c>
      <c r="I518" s="7" t="s">
        <v>694</v>
      </c>
      <c r="J518" s="7" t="s">
        <v>695</v>
      </c>
      <c r="K518" s="7" t="s">
        <v>696</v>
      </c>
      <c r="L518" s="7" t="s">
        <v>697</v>
      </c>
      <c r="M518" s="7" t="s">
        <v>698</v>
      </c>
      <c r="N518" s="7" t="s">
        <v>699</v>
      </c>
      <c r="O518" s="7" t="s">
        <v>700</v>
      </c>
      <c r="P518" s="7" t="s">
        <v>701</v>
      </c>
      <c r="Q518" s="7" t="s">
        <v>702</v>
      </c>
      <c r="R518" s="7" t="s">
        <v>703</v>
      </c>
      <c r="S518" s="7" t="s">
        <v>704</v>
      </c>
      <c r="T518" s="7" t="s">
        <v>705</v>
      </c>
      <c r="U518" s="7" t="s">
        <v>706</v>
      </c>
      <c r="V518" s="7" t="s">
        <v>707</v>
      </c>
      <c r="W518" s="7" t="s">
        <v>708</v>
      </c>
      <c r="X518" s="7" t="s">
        <v>709</v>
      </c>
      <c r="Y518" s="7" t="s">
        <v>710</v>
      </c>
      <c r="Z518" s="7" t="s">
        <v>711</v>
      </c>
      <c r="AA518" s="7" t="s">
        <v>712</v>
      </c>
      <c r="AB518" s="7" t="s">
        <v>694</v>
      </c>
      <c r="AC518" s="7" t="s">
        <v>713</v>
      </c>
      <c r="AD518" s="7" t="s">
        <v>714</v>
      </c>
      <c r="AE518" s="7" t="s">
        <v>715</v>
      </c>
      <c r="AF518" s="7" t="s">
        <v>716</v>
      </c>
      <c r="AG518" s="7" t="s">
        <v>2350</v>
      </c>
      <c r="AH518" s="7" t="s">
        <v>2351</v>
      </c>
      <c r="AI518" s="7" t="s">
        <v>2352</v>
      </c>
      <c r="AJ518" s="7" t="s">
        <v>2353</v>
      </c>
      <c r="AK518" s="7" t="s">
        <v>2354</v>
      </c>
      <c r="AL518" s="7" t="s">
        <v>2355</v>
      </c>
      <c r="AM518" s="7" t="s">
        <v>2356</v>
      </c>
      <c r="AN518" s="7" t="s">
        <v>2357</v>
      </c>
      <c r="AO518" s="7" t="s">
        <v>2358</v>
      </c>
      <c r="AP518" s="7" t="s">
        <v>2359</v>
      </c>
      <c r="AQ518" s="7" t="s">
        <v>2360</v>
      </c>
      <c r="AR518" s="7" t="s">
        <v>2361</v>
      </c>
      <c r="AS518" s="7" t="s">
        <v>2362</v>
      </c>
      <c r="AT518" s="7" t="s">
        <v>2363</v>
      </c>
      <c r="AU518" s="7" t="s">
        <v>2364</v>
      </c>
    </row>
    <row r="519" spans="1:61" ht="78" customHeight="1" x14ac:dyDescent="0.4">
      <c r="A519" s="67">
        <v>8721001271955</v>
      </c>
      <c r="B519" t="e">
        <f>_xlfn.XLOOKUP(A519,'Product info'!A:A,'Product info'!C:C,,2)</f>
        <v>#N/A</v>
      </c>
      <c r="C519" s="69" t="s">
        <v>688</v>
      </c>
      <c r="D519" s="7" t="s">
        <v>689</v>
      </c>
      <c r="E519" s="7" t="s">
        <v>690</v>
      </c>
      <c r="F519" s="7" t="s">
        <v>691</v>
      </c>
      <c r="G519" s="7" t="s">
        <v>692</v>
      </c>
      <c r="H519" s="7" t="s">
        <v>693</v>
      </c>
      <c r="I519" s="7" t="s">
        <v>694</v>
      </c>
      <c r="J519" s="7" t="s">
        <v>695</v>
      </c>
      <c r="K519" s="7" t="s">
        <v>696</v>
      </c>
      <c r="L519" s="7" t="s">
        <v>697</v>
      </c>
      <c r="M519" s="7" t="s">
        <v>698</v>
      </c>
      <c r="N519" s="7" t="s">
        <v>699</v>
      </c>
      <c r="O519" s="7" t="s">
        <v>700</v>
      </c>
      <c r="P519" s="7" t="s">
        <v>701</v>
      </c>
      <c r="Q519" s="7" t="s">
        <v>702</v>
      </c>
      <c r="R519" s="7" t="s">
        <v>703</v>
      </c>
      <c r="S519" s="7" t="s">
        <v>704</v>
      </c>
      <c r="T519" s="7" t="s">
        <v>705</v>
      </c>
      <c r="U519" s="7" t="s">
        <v>706</v>
      </c>
      <c r="V519" s="7" t="s">
        <v>707</v>
      </c>
      <c r="W519" s="7" t="s">
        <v>708</v>
      </c>
      <c r="X519" s="7" t="s">
        <v>709</v>
      </c>
      <c r="Y519" s="7" t="s">
        <v>710</v>
      </c>
      <c r="Z519" s="7" t="s">
        <v>711</v>
      </c>
      <c r="AA519" s="7" t="s">
        <v>712</v>
      </c>
      <c r="AB519" s="7" t="s">
        <v>694</v>
      </c>
      <c r="AC519" s="7" t="s">
        <v>713</v>
      </c>
      <c r="AD519" s="7" t="s">
        <v>714</v>
      </c>
      <c r="AE519" s="7" t="s">
        <v>715</v>
      </c>
      <c r="AF519" s="7" t="s">
        <v>716</v>
      </c>
      <c r="AG519" s="7" t="s">
        <v>688</v>
      </c>
      <c r="AH519" s="7" t="s">
        <v>689</v>
      </c>
      <c r="AI519" s="7" t="s">
        <v>747</v>
      </c>
      <c r="AJ519" s="7" t="s">
        <v>696</v>
      </c>
      <c r="AK519" s="7" t="s">
        <v>1143</v>
      </c>
      <c r="AL519" s="7" t="s">
        <v>2406</v>
      </c>
      <c r="AM519" s="7" t="s">
        <v>813</v>
      </c>
      <c r="AN519" s="7" t="s">
        <v>1338</v>
      </c>
      <c r="AO519" s="7" t="s">
        <v>2407</v>
      </c>
      <c r="AP519" s="7" t="s">
        <v>2408</v>
      </c>
      <c r="AQ519" s="7" t="s">
        <v>2409</v>
      </c>
      <c r="AR519" s="7" t="s">
        <v>2410</v>
      </c>
    </row>
    <row r="520" spans="1:61" ht="78" customHeight="1" x14ac:dyDescent="0.4">
      <c r="A520" s="67">
        <v>8721001271962</v>
      </c>
      <c r="B520" t="e">
        <f>_xlfn.XLOOKUP(A520,'Product info'!A:A,'Product info'!C:C,,2)</f>
        <v>#N/A</v>
      </c>
      <c r="C520" s="69" t="s">
        <v>688</v>
      </c>
      <c r="D520" s="7" t="s">
        <v>689</v>
      </c>
      <c r="E520" s="7" t="s">
        <v>690</v>
      </c>
      <c r="F520" s="7" t="s">
        <v>691</v>
      </c>
      <c r="G520" s="7" t="s">
        <v>692</v>
      </c>
      <c r="H520" s="7" t="s">
        <v>693</v>
      </c>
      <c r="I520" s="7" t="s">
        <v>694</v>
      </c>
      <c r="J520" s="7" t="s">
        <v>695</v>
      </c>
      <c r="K520" s="7" t="s">
        <v>696</v>
      </c>
      <c r="L520" s="7" t="s">
        <v>697</v>
      </c>
      <c r="M520" s="7" t="s">
        <v>698</v>
      </c>
      <c r="N520" s="7" t="s">
        <v>699</v>
      </c>
      <c r="O520" s="7" t="s">
        <v>700</v>
      </c>
      <c r="P520" s="7" t="s">
        <v>701</v>
      </c>
      <c r="Q520" s="7" t="s">
        <v>702</v>
      </c>
      <c r="R520" s="7" t="s">
        <v>703</v>
      </c>
      <c r="S520" s="7" t="s">
        <v>704</v>
      </c>
      <c r="T520" s="7" t="s">
        <v>705</v>
      </c>
      <c r="U520" s="7" t="s">
        <v>706</v>
      </c>
      <c r="V520" s="7" t="s">
        <v>707</v>
      </c>
      <c r="W520" s="7" t="s">
        <v>708</v>
      </c>
      <c r="X520" s="7" t="s">
        <v>709</v>
      </c>
      <c r="Y520" s="7" t="s">
        <v>710</v>
      </c>
      <c r="Z520" s="7" t="s">
        <v>711</v>
      </c>
      <c r="AA520" s="7" t="s">
        <v>712</v>
      </c>
      <c r="AB520" s="7" t="s">
        <v>694</v>
      </c>
      <c r="AC520" s="7" t="s">
        <v>713</v>
      </c>
      <c r="AD520" s="7" t="s">
        <v>714</v>
      </c>
      <c r="AE520" s="7" t="s">
        <v>715</v>
      </c>
      <c r="AF520" s="7" t="s">
        <v>716</v>
      </c>
      <c r="AG520" s="7" t="s">
        <v>1338</v>
      </c>
      <c r="AH520" s="7" t="s">
        <v>1339</v>
      </c>
      <c r="AI520" s="7" t="s">
        <v>1172</v>
      </c>
      <c r="AJ520" s="7" t="s">
        <v>1340</v>
      </c>
      <c r="AK520" s="7" t="s">
        <v>1341</v>
      </c>
      <c r="AL520" s="7" t="s">
        <v>1342</v>
      </c>
      <c r="AM520" s="7" t="s">
        <v>1343</v>
      </c>
      <c r="AN520" s="7" t="s">
        <v>1344</v>
      </c>
      <c r="AO520" s="7" t="s">
        <v>1345</v>
      </c>
      <c r="AP520" s="7" t="s">
        <v>1346</v>
      </c>
      <c r="AQ520" s="7" t="s">
        <v>1347</v>
      </c>
      <c r="AR520" s="7" t="s">
        <v>1348</v>
      </c>
      <c r="AS520" s="7" t="s">
        <v>1349</v>
      </c>
      <c r="AT520" s="7" t="s">
        <v>1179</v>
      </c>
      <c r="AU520" s="7" t="s">
        <v>1350</v>
      </c>
      <c r="AV520" s="7" t="s">
        <v>1351</v>
      </c>
      <c r="AW520" s="7" t="s">
        <v>1182</v>
      </c>
      <c r="AX520" s="7" t="s">
        <v>688</v>
      </c>
      <c r="AY520" s="7" t="s">
        <v>689</v>
      </c>
      <c r="AZ520" s="7" t="s">
        <v>747</v>
      </c>
      <c r="BA520" s="7" t="s">
        <v>696</v>
      </c>
      <c r="BB520" s="7" t="s">
        <v>773</v>
      </c>
    </row>
    <row r="521" spans="1:61" ht="78" customHeight="1" x14ac:dyDescent="0.4">
      <c r="A521" s="67">
        <v>8721001272440</v>
      </c>
      <c r="B521" t="e">
        <f>_xlfn.XLOOKUP(A521,'Product info'!A:A,'Product info'!C:C,,2)</f>
        <v>#N/A</v>
      </c>
      <c r="C521" s="69" t="s">
        <v>688</v>
      </c>
      <c r="D521" s="7" t="s">
        <v>689</v>
      </c>
      <c r="E521" s="7" t="s">
        <v>690</v>
      </c>
      <c r="F521" s="7" t="s">
        <v>691</v>
      </c>
      <c r="G521" s="7" t="s">
        <v>692</v>
      </c>
      <c r="H521" s="7" t="s">
        <v>693</v>
      </c>
      <c r="I521" s="7" t="s">
        <v>694</v>
      </c>
      <c r="J521" s="7" t="s">
        <v>695</v>
      </c>
      <c r="K521" s="7" t="s">
        <v>696</v>
      </c>
      <c r="L521" s="7" t="s">
        <v>697</v>
      </c>
      <c r="M521" s="7" t="s">
        <v>698</v>
      </c>
      <c r="N521" s="7" t="s">
        <v>699</v>
      </c>
      <c r="O521" s="7" t="s">
        <v>700</v>
      </c>
      <c r="P521" s="7" t="s">
        <v>701</v>
      </c>
      <c r="Q521" s="7" t="s">
        <v>702</v>
      </c>
      <c r="R521" s="7" t="s">
        <v>703</v>
      </c>
      <c r="S521" s="7" t="s">
        <v>704</v>
      </c>
      <c r="T521" s="7" t="s">
        <v>705</v>
      </c>
      <c r="U521" s="7" t="s">
        <v>706</v>
      </c>
      <c r="V521" s="7" t="s">
        <v>707</v>
      </c>
      <c r="W521" s="7" t="s">
        <v>708</v>
      </c>
      <c r="X521" s="7" t="s">
        <v>709</v>
      </c>
      <c r="Y521" s="7" t="s">
        <v>710</v>
      </c>
      <c r="Z521" s="7" t="s">
        <v>711</v>
      </c>
      <c r="AA521" s="7" t="s">
        <v>712</v>
      </c>
      <c r="AB521" s="7" t="s">
        <v>694</v>
      </c>
      <c r="AC521" s="7" t="s">
        <v>713</v>
      </c>
      <c r="AD521" s="7" t="s">
        <v>714</v>
      </c>
      <c r="AE521" s="7" t="s">
        <v>715</v>
      </c>
      <c r="AF521" s="7" t="s">
        <v>716</v>
      </c>
      <c r="AG521" s="7" t="s">
        <v>2448</v>
      </c>
      <c r="AH521" s="7" t="s">
        <v>2449</v>
      </c>
      <c r="AI521" s="7" t="s">
        <v>2450</v>
      </c>
      <c r="AJ521" s="7" t="s">
        <v>2451</v>
      </c>
      <c r="AK521" s="7" t="s">
        <v>2452</v>
      </c>
      <c r="AL521" s="7" t="s">
        <v>2453</v>
      </c>
      <c r="AM521" s="7" t="s">
        <v>2454</v>
      </c>
      <c r="AN521" s="7" t="s">
        <v>2455</v>
      </c>
    </row>
    <row r="522" spans="1:61" ht="78" customHeight="1" x14ac:dyDescent="0.4">
      <c r="A522" s="67">
        <v>8721001273256</v>
      </c>
      <c r="B522" t="e">
        <f>_xlfn.XLOOKUP(A522,'Product info'!A:A,'Product info'!C:C,,2)</f>
        <v>#N/A</v>
      </c>
      <c r="C522" s="69" t="s">
        <v>688</v>
      </c>
      <c r="D522" s="7" t="s">
        <v>689</v>
      </c>
      <c r="E522" s="7" t="s">
        <v>690</v>
      </c>
      <c r="F522" s="7" t="s">
        <v>691</v>
      </c>
      <c r="G522" s="7" t="s">
        <v>692</v>
      </c>
      <c r="H522" s="7" t="s">
        <v>693</v>
      </c>
      <c r="I522" s="7" t="s">
        <v>694</v>
      </c>
      <c r="J522" s="7" t="s">
        <v>695</v>
      </c>
      <c r="K522" s="7" t="s">
        <v>696</v>
      </c>
      <c r="L522" s="7" t="s">
        <v>697</v>
      </c>
      <c r="M522" s="7" t="s">
        <v>698</v>
      </c>
      <c r="N522" s="7" t="s">
        <v>699</v>
      </c>
      <c r="O522" s="7" t="s">
        <v>700</v>
      </c>
      <c r="P522" s="7" t="s">
        <v>701</v>
      </c>
      <c r="Q522" s="7" t="s">
        <v>702</v>
      </c>
      <c r="R522" s="7" t="s">
        <v>703</v>
      </c>
      <c r="S522" s="7" t="s">
        <v>704</v>
      </c>
      <c r="T522" s="7" t="s">
        <v>705</v>
      </c>
      <c r="U522" s="7" t="s">
        <v>706</v>
      </c>
      <c r="V522" s="7" t="s">
        <v>707</v>
      </c>
      <c r="W522" s="7" t="s">
        <v>708</v>
      </c>
      <c r="X522" s="7" t="s">
        <v>709</v>
      </c>
      <c r="Y522" s="7" t="s">
        <v>710</v>
      </c>
      <c r="Z522" s="7" t="s">
        <v>711</v>
      </c>
      <c r="AA522" s="7" t="s">
        <v>712</v>
      </c>
      <c r="AB522" s="7" t="s">
        <v>694</v>
      </c>
      <c r="AC522" s="7" t="s">
        <v>713</v>
      </c>
      <c r="AD522" s="7" t="s">
        <v>714</v>
      </c>
      <c r="AE522" s="7" t="s">
        <v>715</v>
      </c>
      <c r="AF522" s="7" t="s">
        <v>716</v>
      </c>
      <c r="AG522" s="7" t="s">
        <v>2471</v>
      </c>
      <c r="AH522" s="7" t="s">
        <v>2472</v>
      </c>
      <c r="AI522" s="7" t="s">
        <v>2473</v>
      </c>
      <c r="AJ522" s="7" t="s">
        <v>2474</v>
      </c>
      <c r="AK522" s="7" t="s">
        <v>2475</v>
      </c>
      <c r="AL522" s="7" t="s">
        <v>2476</v>
      </c>
      <c r="AM522" s="7" t="s">
        <v>2477</v>
      </c>
      <c r="AN522" s="7" t="s">
        <v>2478</v>
      </c>
      <c r="AO522" s="7" t="s">
        <v>2479</v>
      </c>
      <c r="AP522" s="7" t="s">
        <v>2480</v>
      </c>
      <c r="AQ522" s="7" t="s">
        <v>2481</v>
      </c>
      <c r="AR522" s="7" t="s">
        <v>2482</v>
      </c>
    </row>
    <row r="523" spans="1:61" ht="78" customHeight="1" x14ac:dyDescent="0.4">
      <c r="A523" s="67">
        <v>8721001273263</v>
      </c>
      <c r="B523" t="e">
        <f>_xlfn.XLOOKUP(A523,'Product info'!A:A,'Product info'!C:C,,2)</f>
        <v>#N/A</v>
      </c>
      <c r="C523" s="69" t="s">
        <v>688</v>
      </c>
      <c r="D523" s="7" t="s">
        <v>689</v>
      </c>
      <c r="E523" s="7" t="s">
        <v>690</v>
      </c>
      <c r="F523" s="7" t="s">
        <v>691</v>
      </c>
      <c r="G523" s="7" t="s">
        <v>692</v>
      </c>
      <c r="H523" s="7" t="s">
        <v>693</v>
      </c>
      <c r="I523" s="7" t="s">
        <v>694</v>
      </c>
      <c r="J523" s="7" t="s">
        <v>695</v>
      </c>
      <c r="K523" s="7" t="s">
        <v>696</v>
      </c>
      <c r="L523" s="7" t="s">
        <v>697</v>
      </c>
      <c r="M523" s="7" t="s">
        <v>698</v>
      </c>
      <c r="N523" s="7" t="s">
        <v>699</v>
      </c>
      <c r="O523" s="7" t="s">
        <v>700</v>
      </c>
      <c r="P523" s="7" t="s">
        <v>701</v>
      </c>
      <c r="Q523" s="7" t="s">
        <v>702</v>
      </c>
      <c r="R523" s="7" t="s">
        <v>703</v>
      </c>
      <c r="S523" s="7" t="s">
        <v>704</v>
      </c>
      <c r="T523" s="7" t="s">
        <v>705</v>
      </c>
      <c r="U523" s="7" t="s">
        <v>706</v>
      </c>
      <c r="V523" s="7" t="s">
        <v>707</v>
      </c>
      <c r="W523" s="7" t="s">
        <v>708</v>
      </c>
      <c r="X523" s="7" t="s">
        <v>709</v>
      </c>
      <c r="Y523" s="7" t="s">
        <v>710</v>
      </c>
      <c r="Z523" s="7" t="s">
        <v>711</v>
      </c>
      <c r="AA523" s="7" t="s">
        <v>712</v>
      </c>
      <c r="AB523" s="7" t="s">
        <v>694</v>
      </c>
      <c r="AC523" s="7" t="s">
        <v>713</v>
      </c>
      <c r="AD523" s="7" t="s">
        <v>714</v>
      </c>
      <c r="AE523" s="7" t="s">
        <v>715</v>
      </c>
      <c r="AF523" s="7" t="s">
        <v>716</v>
      </c>
      <c r="AG523" s="7" t="s">
        <v>2471</v>
      </c>
      <c r="AH523" s="7" t="s">
        <v>2472</v>
      </c>
      <c r="AI523" s="7" t="s">
        <v>2473</v>
      </c>
      <c r="AJ523" s="7" t="s">
        <v>2474</v>
      </c>
      <c r="AK523" s="7" t="s">
        <v>2475</v>
      </c>
      <c r="AL523" s="7" t="s">
        <v>2476</v>
      </c>
      <c r="AM523" s="7" t="s">
        <v>2477</v>
      </c>
      <c r="AN523" s="7" t="s">
        <v>2478</v>
      </c>
      <c r="AO523" s="7" t="s">
        <v>2479</v>
      </c>
      <c r="AP523" s="7" t="s">
        <v>2480</v>
      </c>
      <c r="AQ523" s="7" t="s">
        <v>2481</v>
      </c>
      <c r="AR523" s="7" t="s">
        <v>2482</v>
      </c>
    </row>
    <row r="524" spans="1:61" ht="78" customHeight="1" x14ac:dyDescent="0.4">
      <c r="A524" s="67">
        <v>8721001273270</v>
      </c>
      <c r="B524" t="e">
        <f>_xlfn.XLOOKUP(A524,'Product info'!A:A,'Product info'!C:C,,2)</f>
        <v>#N/A</v>
      </c>
      <c r="C524" s="69" t="s">
        <v>688</v>
      </c>
      <c r="D524" s="7" t="s">
        <v>689</v>
      </c>
      <c r="E524" s="7" t="s">
        <v>690</v>
      </c>
      <c r="F524" s="7" t="s">
        <v>691</v>
      </c>
      <c r="G524" s="7" t="s">
        <v>692</v>
      </c>
      <c r="H524" s="7" t="s">
        <v>693</v>
      </c>
      <c r="I524" s="7" t="s">
        <v>694</v>
      </c>
      <c r="J524" s="7" t="s">
        <v>695</v>
      </c>
      <c r="K524" s="7" t="s">
        <v>696</v>
      </c>
      <c r="L524" s="7" t="s">
        <v>697</v>
      </c>
      <c r="M524" s="7" t="s">
        <v>698</v>
      </c>
      <c r="N524" s="7" t="s">
        <v>699</v>
      </c>
      <c r="O524" s="7" t="s">
        <v>700</v>
      </c>
      <c r="P524" s="7" t="s">
        <v>701</v>
      </c>
      <c r="Q524" s="7" t="s">
        <v>702</v>
      </c>
      <c r="R524" s="7" t="s">
        <v>703</v>
      </c>
      <c r="S524" s="7" t="s">
        <v>704</v>
      </c>
      <c r="T524" s="7" t="s">
        <v>705</v>
      </c>
      <c r="U524" s="7" t="s">
        <v>706</v>
      </c>
      <c r="V524" s="7" t="s">
        <v>707</v>
      </c>
      <c r="W524" s="7" t="s">
        <v>708</v>
      </c>
      <c r="X524" s="7" t="s">
        <v>709</v>
      </c>
      <c r="Y524" s="7" t="s">
        <v>710</v>
      </c>
      <c r="Z524" s="7" t="s">
        <v>711</v>
      </c>
      <c r="AA524" s="7" t="s">
        <v>712</v>
      </c>
      <c r="AB524" s="7" t="s">
        <v>694</v>
      </c>
      <c r="AC524" s="7" t="s">
        <v>713</v>
      </c>
      <c r="AD524" s="7" t="s">
        <v>714</v>
      </c>
      <c r="AE524" s="7" t="s">
        <v>715</v>
      </c>
      <c r="AF524" s="7" t="s">
        <v>716</v>
      </c>
      <c r="AG524" s="7" t="s">
        <v>2471</v>
      </c>
      <c r="AH524" s="7" t="s">
        <v>2472</v>
      </c>
      <c r="AI524" s="7" t="s">
        <v>2473</v>
      </c>
      <c r="AJ524" s="7" t="s">
        <v>2474</v>
      </c>
      <c r="AK524" s="7" t="s">
        <v>2475</v>
      </c>
      <c r="AL524" s="7" t="s">
        <v>2476</v>
      </c>
      <c r="AM524" s="7" t="s">
        <v>2477</v>
      </c>
      <c r="AN524" s="7" t="s">
        <v>2478</v>
      </c>
      <c r="AO524" s="7" t="s">
        <v>2479</v>
      </c>
      <c r="AP524" s="7" t="s">
        <v>2480</v>
      </c>
      <c r="AQ524" s="7" t="s">
        <v>2481</v>
      </c>
      <c r="AR524" s="7" t="s">
        <v>2482</v>
      </c>
    </row>
    <row r="525" spans="1:61" ht="78" customHeight="1" x14ac:dyDescent="0.4">
      <c r="A525" s="67" t="s">
        <v>2627</v>
      </c>
      <c r="B525" t="e">
        <f>_xlfn.XLOOKUP(A525,'Product info'!A:A,'Product info'!C:C,,2)</f>
        <v>#N/A</v>
      </c>
      <c r="C525" s="69" t="s">
        <v>688</v>
      </c>
      <c r="D525" s="7" t="s">
        <v>689</v>
      </c>
      <c r="E525" s="7" t="s">
        <v>690</v>
      </c>
      <c r="F525" s="7" t="s">
        <v>691</v>
      </c>
      <c r="G525" s="7" t="s">
        <v>692</v>
      </c>
      <c r="H525" s="7" t="s">
        <v>693</v>
      </c>
      <c r="I525" s="7" t="s">
        <v>694</v>
      </c>
      <c r="J525" s="7" t="s">
        <v>695</v>
      </c>
      <c r="K525" s="7" t="s">
        <v>696</v>
      </c>
      <c r="L525" s="7" t="s">
        <v>697</v>
      </c>
      <c r="M525" s="7" t="s">
        <v>698</v>
      </c>
      <c r="N525" s="7" t="s">
        <v>699</v>
      </c>
      <c r="O525" s="7" t="s">
        <v>700</v>
      </c>
      <c r="P525" s="7" t="s">
        <v>701</v>
      </c>
      <c r="Q525" s="7" t="s">
        <v>702</v>
      </c>
      <c r="R525" s="7" t="s">
        <v>703</v>
      </c>
      <c r="S525" s="7" t="s">
        <v>704</v>
      </c>
      <c r="T525" s="7" t="s">
        <v>705</v>
      </c>
      <c r="U525" s="7" t="s">
        <v>706</v>
      </c>
      <c r="V525" s="7" t="s">
        <v>707</v>
      </c>
      <c r="W525" s="7" t="s">
        <v>708</v>
      </c>
      <c r="X525" s="7" t="s">
        <v>709</v>
      </c>
      <c r="Y525" s="7" t="s">
        <v>710</v>
      </c>
      <c r="Z525" s="7" t="s">
        <v>711</v>
      </c>
      <c r="AA525" s="7" t="s">
        <v>712</v>
      </c>
      <c r="AB525" s="7" t="s">
        <v>694</v>
      </c>
      <c r="AC525" s="7" t="s">
        <v>713</v>
      </c>
      <c r="AD525" s="7" t="s">
        <v>714</v>
      </c>
      <c r="AE525" s="7" t="s">
        <v>715</v>
      </c>
      <c r="AF525" s="7" t="s">
        <v>716</v>
      </c>
      <c r="AG525" s="7" t="s">
        <v>2471</v>
      </c>
      <c r="AH525" s="7" t="s">
        <v>2472</v>
      </c>
      <c r="AI525" s="7" t="s">
        <v>2473</v>
      </c>
      <c r="AJ525" s="7" t="s">
        <v>2474</v>
      </c>
      <c r="AK525" s="7" t="s">
        <v>2475</v>
      </c>
      <c r="AL525" s="7" t="s">
        <v>2476</v>
      </c>
      <c r="AM525" s="7" t="s">
        <v>2477</v>
      </c>
      <c r="AN525" s="7" t="s">
        <v>2478</v>
      </c>
      <c r="AO525" s="7" t="s">
        <v>2479</v>
      </c>
      <c r="AP525" s="7" t="s">
        <v>2480</v>
      </c>
      <c r="AQ525" s="7" t="s">
        <v>2481</v>
      </c>
      <c r="AR525" s="7" t="s">
        <v>2482</v>
      </c>
    </row>
    <row r="526" spans="1:61" ht="78" customHeight="1" x14ac:dyDescent="0.4">
      <c r="A526" s="67" t="s">
        <v>507</v>
      </c>
      <c r="B526" t="e">
        <f>_xlfn.XLOOKUP(A526,'Product info'!A:A,'Product info'!C:C,,2)</f>
        <v>#N/A</v>
      </c>
      <c r="C526" s="69" t="s">
        <v>688</v>
      </c>
      <c r="D526" s="7" t="s">
        <v>689</v>
      </c>
      <c r="E526" s="7" t="s">
        <v>690</v>
      </c>
      <c r="F526" s="7" t="s">
        <v>691</v>
      </c>
      <c r="G526" s="7" t="s">
        <v>692</v>
      </c>
      <c r="H526" s="7" t="s">
        <v>693</v>
      </c>
      <c r="I526" s="7" t="s">
        <v>694</v>
      </c>
      <c r="J526" s="7" t="s">
        <v>695</v>
      </c>
      <c r="K526" s="7" t="s">
        <v>696</v>
      </c>
      <c r="L526" s="7" t="s">
        <v>697</v>
      </c>
      <c r="M526" s="7" t="s">
        <v>698</v>
      </c>
      <c r="N526" s="7" t="s">
        <v>699</v>
      </c>
      <c r="O526" s="7" t="s">
        <v>700</v>
      </c>
      <c r="P526" s="7" t="s">
        <v>701</v>
      </c>
      <c r="Q526" s="7" t="s">
        <v>702</v>
      </c>
      <c r="R526" s="7" t="s">
        <v>703</v>
      </c>
      <c r="S526" s="7" t="s">
        <v>704</v>
      </c>
      <c r="T526" s="7" t="s">
        <v>705</v>
      </c>
      <c r="U526" s="7" t="s">
        <v>706</v>
      </c>
      <c r="V526" s="7" t="s">
        <v>707</v>
      </c>
      <c r="W526" s="7" t="s">
        <v>708</v>
      </c>
      <c r="X526" s="7" t="s">
        <v>709</v>
      </c>
      <c r="Y526" s="7" t="s">
        <v>710</v>
      </c>
      <c r="Z526" s="7" t="s">
        <v>711</v>
      </c>
      <c r="AA526" s="7" t="s">
        <v>712</v>
      </c>
      <c r="AB526" s="7" t="s">
        <v>694</v>
      </c>
      <c r="AC526" s="7" t="s">
        <v>713</v>
      </c>
      <c r="AD526" s="7" t="s">
        <v>714</v>
      </c>
      <c r="AE526" s="7" t="s">
        <v>715</v>
      </c>
      <c r="AF526" s="7" t="s">
        <v>716</v>
      </c>
      <c r="AG526" s="7" t="s">
        <v>2628</v>
      </c>
      <c r="AH526" s="7" t="s">
        <v>2629</v>
      </c>
      <c r="AI526" s="7" t="s">
        <v>2630</v>
      </c>
      <c r="AJ526" s="7" t="s">
        <v>2631</v>
      </c>
      <c r="AK526" s="7" t="s">
        <v>2632</v>
      </c>
      <c r="AL526" s="7" t="s">
        <v>2633</v>
      </c>
      <c r="AM526" s="7" t="s">
        <v>2634</v>
      </c>
      <c r="AN526" s="7" t="s">
        <v>2635</v>
      </c>
    </row>
    <row r="527" spans="1:61" ht="78" customHeight="1" x14ac:dyDescent="0.4">
      <c r="A527" s="67" t="s">
        <v>463</v>
      </c>
      <c r="B527" t="e">
        <f>_xlfn.XLOOKUP(A527,'Product info'!A:A,'Product info'!C:C,,2)</f>
        <v>#N/A</v>
      </c>
      <c r="C527" s="69" t="s">
        <v>688</v>
      </c>
      <c r="D527" s="7" t="s">
        <v>689</v>
      </c>
      <c r="E527" s="7" t="s">
        <v>690</v>
      </c>
      <c r="F527" s="7" t="s">
        <v>691</v>
      </c>
      <c r="G527" s="7" t="s">
        <v>692</v>
      </c>
      <c r="H527" s="7" t="s">
        <v>693</v>
      </c>
      <c r="I527" s="7" t="s">
        <v>694</v>
      </c>
      <c r="J527" s="7" t="s">
        <v>695</v>
      </c>
      <c r="K527" s="7" t="s">
        <v>696</v>
      </c>
      <c r="L527" s="7" t="s">
        <v>697</v>
      </c>
      <c r="M527" s="7" t="s">
        <v>698</v>
      </c>
      <c r="N527" s="7" t="s">
        <v>699</v>
      </c>
      <c r="O527" s="7" t="s">
        <v>700</v>
      </c>
      <c r="P527" s="7" t="s">
        <v>701</v>
      </c>
      <c r="Q527" s="7" t="s">
        <v>702</v>
      </c>
      <c r="R527" s="7" t="s">
        <v>703</v>
      </c>
      <c r="S527" s="7" t="s">
        <v>704</v>
      </c>
      <c r="T527" s="7" t="s">
        <v>705</v>
      </c>
      <c r="U527" s="7" t="s">
        <v>706</v>
      </c>
      <c r="V527" s="7" t="s">
        <v>707</v>
      </c>
      <c r="W527" s="7" t="s">
        <v>708</v>
      </c>
      <c r="X527" s="7" t="s">
        <v>709</v>
      </c>
      <c r="Y527" s="7" t="s">
        <v>710</v>
      </c>
      <c r="Z527" s="7" t="s">
        <v>711</v>
      </c>
      <c r="AA527" s="7" t="s">
        <v>712</v>
      </c>
      <c r="AB527" s="7" t="s">
        <v>694</v>
      </c>
      <c r="AC527" s="7" t="s">
        <v>713</v>
      </c>
      <c r="AD527" s="7" t="s">
        <v>714</v>
      </c>
      <c r="AE527" s="7" t="s">
        <v>715</v>
      </c>
      <c r="AF527" s="7" t="s">
        <v>716</v>
      </c>
      <c r="AG527" s="7" t="s">
        <v>2636</v>
      </c>
      <c r="AH527" s="7" t="s">
        <v>2637</v>
      </c>
      <c r="AI527" s="7" t="s">
        <v>2638</v>
      </c>
      <c r="AJ527" s="7" t="s">
        <v>2639</v>
      </c>
      <c r="AK527" s="7" t="s">
        <v>2640</v>
      </c>
      <c r="AL527" s="7" t="s">
        <v>2641</v>
      </c>
      <c r="AM527" s="7" t="s">
        <v>2642</v>
      </c>
      <c r="AN527" s="7" t="s">
        <v>2643</v>
      </c>
      <c r="AO527" s="7" t="s">
        <v>2644</v>
      </c>
      <c r="AP527" s="7" t="s">
        <v>2645</v>
      </c>
    </row>
    <row r="528" spans="1:61" ht="78" customHeight="1" x14ac:dyDescent="0.4">
      <c r="A528" s="67" t="s">
        <v>464</v>
      </c>
      <c r="B528" t="e">
        <f>_xlfn.XLOOKUP(A528,'Product info'!A:A,'Product info'!C:C,,2)</f>
        <v>#N/A</v>
      </c>
      <c r="C528" s="69" t="s">
        <v>688</v>
      </c>
      <c r="D528" s="7" t="s">
        <v>689</v>
      </c>
      <c r="E528" s="7" t="s">
        <v>690</v>
      </c>
      <c r="F528" s="7" t="s">
        <v>691</v>
      </c>
      <c r="G528" s="7" t="s">
        <v>692</v>
      </c>
      <c r="H528" s="7" t="s">
        <v>693</v>
      </c>
      <c r="I528" s="7" t="s">
        <v>694</v>
      </c>
      <c r="J528" s="7" t="s">
        <v>695</v>
      </c>
      <c r="K528" s="7" t="s">
        <v>696</v>
      </c>
      <c r="L528" s="7" t="s">
        <v>697</v>
      </c>
      <c r="M528" s="7" t="s">
        <v>698</v>
      </c>
      <c r="N528" s="7" t="s">
        <v>699</v>
      </c>
      <c r="O528" s="7" t="s">
        <v>700</v>
      </c>
      <c r="P528" s="7" t="s">
        <v>701</v>
      </c>
      <c r="Q528" s="7" t="s">
        <v>702</v>
      </c>
      <c r="R528" s="7" t="s">
        <v>703</v>
      </c>
      <c r="S528" s="7" t="s">
        <v>704</v>
      </c>
      <c r="T528" s="7" t="s">
        <v>705</v>
      </c>
      <c r="U528" s="7" t="s">
        <v>706</v>
      </c>
      <c r="V528" s="7" t="s">
        <v>707</v>
      </c>
      <c r="W528" s="7" t="s">
        <v>708</v>
      </c>
      <c r="X528" s="7" t="s">
        <v>709</v>
      </c>
      <c r="Y528" s="7" t="s">
        <v>710</v>
      </c>
      <c r="Z528" s="7" t="s">
        <v>711</v>
      </c>
      <c r="AA528" s="7" t="s">
        <v>712</v>
      </c>
      <c r="AB528" s="7" t="s">
        <v>694</v>
      </c>
      <c r="AC528" s="7" t="s">
        <v>713</v>
      </c>
      <c r="AD528" s="7" t="s">
        <v>714</v>
      </c>
      <c r="AE528" s="7" t="s">
        <v>715</v>
      </c>
      <c r="AF528" s="7" t="s">
        <v>716</v>
      </c>
      <c r="AG528" s="7" t="s">
        <v>2636</v>
      </c>
      <c r="AH528" s="7" t="s">
        <v>2637</v>
      </c>
      <c r="AI528" s="7" t="s">
        <v>2639</v>
      </c>
      <c r="AJ528" s="7" t="s">
        <v>2646</v>
      </c>
      <c r="AK528" s="7" t="s">
        <v>2647</v>
      </c>
      <c r="AL528" s="7" t="s">
        <v>2640</v>
      </c>
      <c r="AM528" s="7" t="s">
        <v>2648</v>
      </c>
      <c r="AN528" s="7" t="s">
        <v>2641</v>
      </c>
      <c r="AO528" s="7" t="s">
        <v>2645</v>
      </c>
      <c r="AP528" s="7" t="s">
        <v>2649</v>
      </c>
      <c r="AQ528" s="7" t="s">
        <v>2650</v>
      </c>
      <c r="AR528" s="7" t="s">
        <v>2651</v>
      </c>
    </row>
    <row r="529" spans="1:48" ht="78" customHeight="1" x14ac:dyDescent="0.4">
      <c r="A529" s="67" t="s">
        <v>462</v>
      </c>
      <c r="B529" t="e">
        <f>_xlfn.XLOOKUP(A529,'Product info'!A:A,'Product info'!C:C,,2)</f>
        <v>#N/A</v>
      </c>
      <c r="C529" s="69" t="s">
        <v>688</v>
      </c>
      <c r="D529" s="7" t="s">
        <v>689</v>
      </c>
      <c r="E529" s="7" t="s">
        <v>690</v>
      </c>
      <c r="F529" s="7" t="s">
        <v>691</v>
      </c>
      <c r="G529" s="7" t="s">
        <v>692</v>
      </c>
      <c r="H529" s="7" t="s">
        <v>693</v>
      </c>
      <c r="I529" s="7" t="s">
        <v>694</v>
      </c>
      <c r="J529" s="7" t="s">
        <v>695</v>
      </c>
      <c r="K529" s="7" t="s">
        <v>696</v>
      </c>
      <c r="L529" s="7" t="s">
        <v>697</v>
      </c>
      <c r="M529" s="7" t="s">
        <v>698</v>
      </c>
      <c r="N529" s="7" t="s">
        <v>699</v>
      </c>
      <c r="O529" s="7" t="s">
        <v>700</v>
      </c>
      <c r="P529" s="7" t="s">
        <v>701</v>
      </c>
      <c r="Q529" s="7" t="s">
        <v>702</v>
      </c>
      <c r="R529" s="7" t="s">
        <v>703</v>
      </c>
      <c r="S529" s="7" t="s">
        <v>704</v>
      </c>
      <c r="T529" s="7" t="s">
        <v>705</v>
      </c>
      <c r="U529" s="7" t="s">
        <v>706</v>
      </c>
      <c r="V529" s="7" t="s">
        <v>707</v>
      </c>
      <c r="W529" s="7" t="s">
        <v>708</v>
      </c>
      <c r="X529" s="7" t="s">
        <v>709</v>
      </c>
      <c r="Y529" s="7" t="s">
        <v>710</v>
      </c>
      <c r="Z529" s="7" t="s">
        <v>711</v>
      </c>
      <c r="AA529" s="7" t="s">
        <v>712</v>
      </c>
      <c r="AB529" s="7" t="s">
        <v>694</v>
      </c>
      <c r="AC529" s="7" t="s">
        <v>713</v>
      </c>
      <c r="AD529" s="7" t="s">
        <v>714</v>
      </c>
      <c r="AE529" s="7" t="s">
        <v>715</v>
      </c>
      <c r="AF529" s="7" t="s">
        <v>716</v>
      </c>
      <c r="AG529" s="7" t="s">
        <v>2636</v>
      </c>
      <c r="AH529" s="7" t="s">
        <v>2637</v>
      </c>
      <c r="AI529" s="7" t="s">
        <v>2639</v>
      </c>
      <c r="AJ529" s="7" t="s">
        <v>2652</v>
      </c>
      <c r="AK529" s="7" t="s">
        <v>2653</v>
      </c>
      <c r="AL529" s="7" t="s">
        <v>2654</v>
      </c>
      <c r="AM529" s="7" t="s">
        <v>2645</v>
      </c>
    </row>
    <row r="530" spans="1:48" ht="78" customHeight="1" x14ac:dyDescent="0.4">
      <c r="A530" s="67" t="s">
        <v>2655</v>
      </c>
      <c r="B530" t="e">
        <f>_xlfn.XLOOKUP(A530,'Product info'!A:A,'Product info'!C:C,,2)</f>
        <v>#N/A</v>
      </c>
      <c r="C530" s="69" t="s">
        <v>688</v>
      </c>
      <c r="D530" s="7" t="s">
        <v>689</v>
      </c>
      <c r="E530" s="7" t="s">
        <v>690</v>
      </c>
      <c r="F530" s="7" t="s">
        <v>691</v>
      </c>
      <c r="G530" s="7" t="s">
        <v>692</v>
      </c>
      <c r="H530" s="7" t="s">
        <v>693</v>
      </c>
      <c r="I530" s="7" t="s">
        <v>694</v>
      </c>
      <c r="J530" s="7" t="s">
        <v>695</v>
      </c>
      <c r="K530" s="7" t="s">
        <v>696</v>
      </c>
      <c r="L530" s="7" t="s">
        <v>697</v>
      </c>
      <c r="M530" s="7" t="s">
        <v>698</v>
      </c>
      <c r="N530" s="7" t="s">
        <v>699</v>
      </c>
      <c r="O530" s="7" t="s">
        <v>700</v>
      </c>
      <c r="P530" s="7" t="s">
        <v>701</v>
      </c>
      <c r="Q530" s="7" t="s">
        <v>702</v>
      </c>
      <c r="R530" s="7" t="s">
        <v>703</v>
      </c>
      <c r="S530" s="7" t="s">
        <v>704</v>
      </c>
      <c r="T530" s="7" t="s">
        <v>705</v>
      </c>
      <c r="U530" s="7" t="s">
        <v>706</v>
      </c>
      <c r="V530" s="7" t="s">
        <v>707</v>
      </c>
      <c r="W530" s="7" t="s">
        <v>708</v>
      </c>
      <c r="X530" s="7" t="s">
        <v>709</v>
      </c>
      <c r="Y530" s="7" t="s">
        <v>710</v>
      </c>
      <c r="Z530" s="7" t="s">
        <v>711</v>
      </c>
      <c r="AA530" s="7" t="s">
        <v>712</v>
      </c>
      <c r="AB530" s="7" t="s">
        <v>694</v>
      </c>
      <c r="AC530" s="7" t="s">
        <v>713</v>
      </c>
      <c r="AD530" s="7" t="s">
        <v>714</v>
      </c>
      <c r="AE530" s="7" t="s">
        <v>715</v>
      </c>
      <c r="AF530" s="7" t="s">
        <v>716</v>
      </c>
      <c r="AG530" s="7" t="s">
        <v>2350</v>
      </c>
      <c r="AH530" s="7" t="s">
        <v>2351</v>
      </c>
      <c r="AI530" s="7" t="s">
        <v>2352</v>
      </c>
      <c r="AJ530" s="7" t="s">
        <v>2353</v>
      </c>
      <c r="AK530" s="7" t="s">
        <v>2354</v>
      </c>
      <c r="AL530" s="7" t="s">
        <v>2355</v>
      </c>
      <c r="AM530" s="7" t="s">
        <v>2356</v>
      </c>
      <c r="AN530" s="7" t="s">
        <v>2357</v>
      </c>
      <c r="AO530" s="7" t="s">
        <v>2358</v>
      </c>
      <c r="AP530" s="7" t="s">
        <v>2359</v>
      </c>
      <c r="AQ530" s="7" t="s">
        <v>2360</v>
      </c>
      <c r="AR530" s="7" t="s">
        <v>2361</v>
      </c>
      <c r="AS530" s="7" t="s">
        <v>2362</v>
      </c>
      <c r="AT530" s="7" t="s">
        <v>2363</v>
      </c>
      <c r="AU530" s="7" t="s">
        <v>2364</v>
      </c>
    </row>
    <row r="531" spans="1:48" ht="78" customHeight="1" x14ac:dyDescent="0.4">
      <c r="A531" s="67" t="s">
        <v>275</v>
      </c>
      <c r="B531" t="e">
        <f>_xlfn.XLOOKUP(A531,'Product info'!A:A,'Product info'!C:C,,2)</f>
        <v>#N/A</v>
      </c>
      <c r="C531" s="69" t="s">
        <v>688</v>
      </c>
      <c r="D531" s="7" t="s">
        <v>689</v>
      </c>
      <c r="E531" s="7" t="s">
        <v>690</v>
      </c>
      <c r="F531" s="7" t="s">
        <v>691</v>
      </c>
      <c r="G531" s="7" t="s">
        <v>692</v>
      </c>
      <c r="H531" s="7" t="s">
        <v>693</v>
      </c>
      <c r="I531" s="7" t="s">
        <v>694</v>
      </c>
      <c r="J531" s="7" t="s">
        <v>695</v>
      </c>
      <c r="K531" s="7" t="s">
        <v>696</v>
      </c>
      <c r="L531" s="7" t="s">
        <v>697</v>
      </c>
      <c r="M531" s="7" t="s">
        <v>698</v>
      </c>
      <c r="N531" s="7" t="s">
        <v>699</v>
      </c>
      <c r="O531" s="7" t="s">
        <v>700</v>
      </c>
      <c r="P531" s="7" t="s">
        <v>701</v>
      </c>
      <c r="Q531" s="7" t="s">
        <v>702</v>
      </c>
      <c r="R531" s="7" t="s">
        <v>703</v>
      </c>
      <c r="S531" s="7" t="s">
        <v>704</v>
      </c>
      <c r="T531" s="7" t="s">
        <v>705</v>
      </c>
      <c r="U531" s="7" t="s">
        <v>706</v>
      </c>
      <c r="V531" s="7" t="s">
        <v>707</v>
      </c>
      <c r="W531" s="7" t="s">
        <v>708</v>
      </c>
      <c r="X531" s="7" t="s">
        <v>709</v>
      </c>
      <c r="Y531" s="7" t="s">
        <v>710</v>
      </c>
      <c r="Z531" s="7" t="s">
        <v>711</v>
      </c>
      <c r="AA531" s="7" t="s">
        <v>712</v>
      </c>
      <c r="AB531" s="7" t="s">
        <v>694</v>
      </c>
      <c r="AC531" s="7" t="s">
        <v>713</v>
      </c>
      <c r="AD531" s="7" t="s">
        <v>714</v>
      </c>
      <c r="AE531" s="7" t="s">
        <v>715</v>
      </c>
      <c r="AF531" s="7" t="s">
        <v>716</v>
      </c>
      <c r="AG531" s="7" t="s">
        <v>2059</v>
      </c>
      <c r="AH531" s="7" t="s">
        <v>2060</v>
      </c>
      <c r="AI531" s="7" t="s">
        <v>2061</v>
      </c>
      <c r="AJ531" s="7" t="s">
        <v>2062</v>
      </c>
      <c r="AK531" s="7" t="s">
        <v>2063</v>
      </c>
      <c r="AL531" s="7" t="s">
        <v>2064</v>
      </c>
      <c r="AM531" s="7" t="s">
        <v>2065</v>
      </c>
      <c r="AN531" s="7" t="s">
        <v>2066</v>
      </c>
      <c r="AO531" s="7" t="s">
        <v>714</v>
      </c>
      <c r="AP531" s="7" t="s">
        <v>715</v>
      </c>
      <c r="AQ531" s="7" t="s">
        <v>716</v>
      </c>
      <c r="AR531" s="7" t="s">
        <v>2067</v>
      </c>
      <c r="AS531" s="7" t="s">
        <v>2068</v>
      </c>
      <c r="AT531" s="7" t="s">
        <v>2069</v>
      </c>
      <c r="AU531" s="7" t="s">
        <v>2656</v>
      </c>
      <c r="AV531" s="7" t="s">
        <v>2657</v>
      </c>
    </row>
    <row r="532" spans="1:48" ht="78" customHeight="1" x14ac:dyDescent="0.4">
      <c r="A532" s="67" t="s">
        <v>264</v>
      </c>
      <c r="B532" t="e">
        <f>_xlfn.XLOOKUP(A532,'Product info'!A:A,'Product info'!C:C,,2)</f>
        <v>#N/A</v>
      </c>
      <c r="C532" s="69" t="s">
        <v>688</v>
      </c>
      <c r="D532" s="7" t="s">
        <v>689</v>
      </c>
      <c r="E532" s="7" t="s">
        <v>690</v>
      </c>
      <c r="F532" s="7" t="s">
        <v>691</v>
      </c>
      <c r="G532" s="7" t="s">
        <v>692</v>
      </c>
      <c r="H532" s="7" t="s">
        <v>693</v>
      </c>
      <c r="I532" s="7" t="s">
        <v>694</v>
      </c>
      <c r="J532" s="7" t="s">
        <v>695</v>
      </c>
      <c r="K532" s="7" t="s">
        <v>696</v>
      </c>
      <c r="L532" s="7" t="s">
        <v>697</v>
      </c>
      <c r="M532" s="7" t="s">
        <v>698</v>
      </c>
      <c r="N532" s="7" t="s">
        <v>699</v>
      </c>
      <c r="O532" s="7" t="s">
        <v>700</v>
      </c>
      <c r="P532" s="7" t="s">
        <v>701</v>
      </c>
      <c r="Q532" s="7" t="s">
        <v>702</v>
      </c>
      <c r="R532" s="7" t="s">
        <v>703</v>
      </c>
      <c r="S532" s="7" t="s">
        <v>704</v>
      </c>
      <c r="T532" s="7" t="s">
        <v>705</v>
      </c>
      <c r="U532" s="7" t="s">
        <v>706</v>
      </c>
      <c r="V532" s="7" t="s">
        <v>707</v>
      </c>
      <c r="W532" s="7" t="s">
        <v>708</v>
      </c>
      <c r="X532" s="7" t="s">
        <v>709</v>
      </c>
      <c r="Y532" s="7" t="s">
        <v>710</v>
      </c>
      <c r="Z532" s="7" t="s">
        <v>711</v>
      </c>
      <c r="AA532" s="7" t="s">
        <v>712</v>
      </c>
      <c r="AB532" s="7" t="s">
        <v>694</v>
      </c>
      <c r="AC532" s="7" t="s">
        <v>713</v>
      </c>
      <c r="AD532" s="7" t="s">
        <v>714</v>
      </c>
      <c r="AE532" s="7" t="s">
        <v>715</v>
      </c>
      <c r="AF532" s="7" t="s">
        <v>716</v>
      </c>
      <c r="AG532" s="7" t="s">
        <v>2059</v>
      </c>
      <c r="AH532" s="7" t="s">
        <v>2060</v>
      </c>
      <c r="AI532" s="7" t="s">
        <v>2061</v>
      </c>
      <c r="AJ532" s="7" t="s">
        <v>2062</v>
      </c>
      <c r="AK532" s="7" t="s">
        <v>2063</v>
      </c>
      <c r="AL532" s="7" t="s">
        <v>2064</v>
      </c>
      <c r="AM532" s="7" t="s">
        <v>2065</v>
      </c>
      <c r="AN532" s="7" t="s">
        <v>2066</v>
      </c>
      <c r="AO532" s="7" t="s">
        <v>714</v>
      </c>
      <c r="AP532" s="7" t="s">
        <v>715</v>
      </c>
      <c r="AQ532" s="7" t="s">
        <v>716</v>
      </c>
      <c r="AR532" s="7" t="s">
        <v>2067</v>
      </c>
      <c r="AS532" s="7" t="s">
        <v>2068</v>
      </c>
      <c r="AT532" s="7" t="s">
        <v>2069</v>
      </c>
      <c r="AU532" s="7" t="s">
        <v>2656</v>
      </c>
      <c r="AV532" s="7" t="s">
        <v>2657</v>
      </c>
    </row>
    <row r="533" spans="1:48" ht="78" customHeight="1" x14ac:dyDescent="0.4">
      <c r="A533" s="67" t="s">
        <v>276</v>
      </c>
      <c r="B533" t="e">
        <f>_xlfn.XLOOKUP(A533,'Product info'!A:A,'Product info'!C:C,,2)</f>
        <v>#N/A</v>
      </c>
      <c r="C533" s="69" t="s">
        <v>688</v>
      </c>
      <c r="D533" s="7" t="s">
        <v>689</v>
      </c>
      <c r="E533" s="7" t="s">
        <v>690</v>
      </c>
      <c r="F533" s="7" t="s">
        <v>691</v>
      </c>
      <c r="G533" s="7" t="s">
        <v>692</v>
      </c>
      <c r="H533" s="7" t="s">
        <v>693</v>
      </c>
      <c r="I533" s="7" t="s">
        <v>694</v>
      </c>
      <c r="J533" s="7" t="s">
        <v>695</v>
      </c>
      <c r="K533" s="7" t="s">
        <v>696</v>
      </c>
      <c r="L533" s="7" t="s">
        <v>697</v>
      </c>
      <c r="M533" s="7" t="s">
        <v>698</v>
      </c>
      <c r="N533" s="7" t="s">
        <v>699</v>
      </c>
      <c r="O533" s="7" t="s">
        <v>700</v>
      </c>
      <c r="P533" s="7" t="s">
        <v>701</v>
      </c>
      <c r="Q533" s="7" t="s">
        <v>702</v>
      </c>
      <c r="R533" s="7" t="s">
        <v>703</v>
      </c>
      <c r="S533" s="7" t="s">
        <v>704</v>
      </c>
      <c r="T533" s="7" t="s">
        <v>705</v>
      </c>
      <c r="U533" s="7" t="s">
        <v>706</v>
      </c>
      <c r="V533" s="7" t="s">
        <v>707</v>
      </c>
      <c r="W533" s="7" t="s">
        <v>708</v>
      </c>
      <c r="X533" s="7" t="s">
        <v>709</v>
      </c>
      <c r="Y533" s="7" t="s">
        <v>710</v>
      </c>
      <c r="Z533" s="7" t="s">
        <v>711</v>
      </c>
      <c r="AA533" s="7" t="s">
        <v>712</v>
      </c>
      <c r="AB533" s="7" t="s">
        <v>694</v>
      </c>
      <c r="AC533" s="7" t="s">
        <v>713</v>
      </c>
      <c r="AD533" s="7" t="s">
        <v>714</v>
      </c>
      <c r="AE533" s="7" t="s">
        <v>715</v>
      </c>
      <c r="AF533" s="7" t="s">
        <v>716</v>
      </c>
      <c r="AG533" s="7" t="s">
        <v>2059</v>
      </c>
      <c r="AH533" s="7" t="s">
        <v>2060</v>
      </c>
      <c r="AI533" s="7" t="s">
        <v>2061</v>
      </c>
      <c r="AJ533" s="7" t="s">
        <v>2062</v>
      </c>
      <c r="AK533" s="7" t="s">
        <v>2063</v>
      </c>
      <c r="AL533" s="7" t="s">
        <v>2064</v>
      </c>
      <c r="AM533" s="7" t="s">
        <v>2065</v>
      </c>
      <c r="AN533" s="7" t="s">
        <v>2066</v>
      </c>
      <c r="AO533" s="7" t="s">
        <v>714</v>
      </c>
      <c r="AP533" s="7" t="s">
        <v>715</v>
      </c>
      <c r="AQ533" s="7" t="s">
        <v>716</v>
      </c>
      <c r="AR533" s="7" t="s">
        <v>2067</v>
      </c>
      <c r="AS533" s="7" t="s">
        <v>2068</v>
      </c>
      <c r="AT533" s="7" t="s">
        <v>2069</v>
      </c>
      <c r="AU533" s="7" t="s">
        <v>2656</v>
      </c>
      <c r="AV533" s="7" t="s">
        <v>2657</v>
      </c>
    </row>
    <row r="534" spans="1:48" ht="78" customHeight="1" x14ac:dyDescent="0.4">
      <c r="A534" s="67" t="s">
        <v>277</v>
      </c>
      <c r="B534" t="e">
        <f>_xlfn.XLOOKUP(A534,'Product info'!A:A,'Product info'!C:C,,2)</f>
        <v>#N/A</v>
      </c>
      <c r="C534" s="69" t="s">
        <v>688</v>
      </c>
      <c r="D534" s="7" t="s">
        <v>689</v>
      </c>
      <c r="E534" s="7" t="s">
        <v>690</v>
      </c>
      <c r="F534" s="7" t="s">
        <v>691</v>
      </c>
      <c r="G534" s="7" t="s">
        <v>692</v>
      </c>
      <c r="H534" s="7" t="s">
        <v>693</v>
      </c>
      <c r="I534" s="7" t="s">
        <v>694</v>
      </c>
      <c r="J534" s="7" t="s">
        <v>695</v>
      </c>
      <c r="K534" s="7" t="s">
        <v>696</v>
      </c>
      <c r="L534" s="7" t="s">
        <v>697</v>
      </c>
      <c r="M534" s="7" t="s">
        <v>698</v>
      </c>
      <c r="N534" s="7" t="s">
        <v>699</v>
      </c>
      <c r="O534" s="7" t="s">
        <v>700</v>
      </c>
      <c r="P534" s="7" t="s">
        <v>701</v>
      </c>
      <c r="Q534" s="7" t="s">
        <v>702</v>
      </c>
      <c r="R534" s="7" t="s">
        <v>703</v>
      </c>
      <c r="S534" s="7" t="s">
        <v>704</v>
      </c>
      <c r="T534" s="7" t="s">
        <v>705</v>
      </c>
      <c r="U534" s="7" t="s">
        <v>706</v>
      </c>
      <c r="V534" s="7" t="s">
        <v>707</v>
      </c>
      <c r="W534" s="7" t="s">
        <v>708</v>
      </c>
      <c r="X534" s="7" t="s">
        <v>709</v>
      </c>
      <c r="Y534" s="7" t="s">
        <v>710</v>
      </c>
      <c r="Z534" s="7" t="s">
        <v>711</v>
      </c>
      <c r="AA534" s="7" t="s">
        <v>712</v>
      </c>
      <c r="AB534" s="7" t="s">
        <v>694</v>
      </c>
      <c r="AC534" s="7" t="s">
        <v>713</v>
      </c>
      <c r="AD534" s="7" t="s">
        <v>714</v>
      </c>
      <c r="AE534" s="7" t="s">
        <v>715</v>
      </c>
      <c r="AF534" s="7" t="s">
        <v>716</v>
      </c>
      <c r="AG534" s="7" t="s">
        <v>2059</v>
      </c>
      <c r="AH534" s="7" t="s">
        <v>2060</v>
      </c>
      <c r="AI534" s="7" t="s">
        <v>2061</v>
      </c>
      <c r="AJ534" s="7" t="s">
        <v>2062</v>
      </c>
      <c r="AK534" s="7" t="s">
        <v>2063</v>
      </c>
      <c r="AL534" s="7" t="s">
        <v>2064</v>
      </c>
      <c r="AM534" s="7" t="s">
        <v>2065</v>
      </c>
      <c r="AN534" s="7" t="s">
        <v>2066</v>
      </c>
      <c r="AO534" s="7" t="s">
        <v>714</v>
      </c>
      <c r="AP534" s="7" t="s">
        <v>715</v>
      </c>
      <c r="AQ534" s="7" t="s">
        <v>716</v>
      </c>
      <c r="AR534" s="7" t="s">
        <v>2067</v>
      </c>
      <c r="AS534" s="7" t="s">
        <v>2068</v>
      </c>
      <c r="AT534" s="7" t="s">
        <v>2069</v>
      </c>
      <c r="AU534" s="7" t="s">
        <v>2656</v>
      </c>
      <c r="AV534" s="7" t="s">
        <v>2657</v>
      </c>
    </row>
    <row r="535" spans="1:48" ht="78" customHeight="1" x14ac:dyDescent="0.4">
      <c r="A535" s="67" t="s">
        <v>278</v>
      </c>
      <c r="B535" t="e">
        <f>_xlfn.XLOOKUP(A535,'Product info'!A:A,'Product info'!C:C,,2)</f>
        <v>#N/A</v>
      </c>
      <c r="C535" s="69" t="s">
        <v>688</v>
      </c>
      <c r="D535" s="7" t="s">
        <v>689</v>
      </c>
      <c r="E535" s="7" t="s">
        <v>690</v>
      </c>
      <c r="F535" s="7" t="s">
        <v>691</v>
      </c>
      <c r="G535" s="7" t="s">
        <v>692</v>
      </c>
      <c r="H535" s="7" t="s">
        <v>693</v>
      </c>
      <c r="I535" s="7" t="s">
        <v>694</v>
      </c>
      <c r="J535" s="7" t="s">
        <v>695</v>
      </c>
      <c r="K535" s="7" t="s">
        <v>696</v>
      </c>
      <c r="L535" s="7" t="s">
        <v>697</v>
      </c>
      <c r="M535" s="7" t="s">
        <v>698</v>
      </c>
      <c r="N535" s="7" t="s">
        <v>699</v>
      </c>
      <c r="O535" s="7" t="s">
        <v>700</v>
      </c>
      <c r="P535" s="7" t="s">
        <v>701</v>
      </c>
      <c r="Q535" s="7" t="s">
        <v>702</v>
      </c>
      <c r="R535" s="7" t="s">
        <v>703</v>
      </c>
      <c r="S535" s="7" t="s">
        <v>704</v>
      </c>
      <c r="T535" s="7" t="s">
        <v>705</v>
      </c>
      <c r="U535" s="7" t="s">
        <v>706</v>
      </c>
      <c r="V535" s="7" t="s">
        <v>707</v>
      </c>
      <c r="W535" s="7" t="s">
        <v>708</v>
      </c>
      <c r="X535" s="7" t="s">
        <v>709</v>
      </c>
      <c r="Y535" s="7" t="s">
        <v>710</v>
      </c>
      <c r="Z535" s="7" t="s">
        <v>711</v>
      </c>
      <c r="AA535" s="7" t="s">
        <v>712</v>
      </c>
      <c r="AB535" s="7" t="s">
        <v>694</v>
      </c>
      <c r="AC535" s="7" t="s">
        <v>713</v>
      </c>
      <c r="AD535" s="7" t="s">
        <v>714</v>
      </c>
      <c r="AE535" s="7" t="s">
        <v>715</v>
      </c>
      <c r="AF535" s="7" t="s">
        <v>716</v>
      </c>
      <c r="AG535" s="7" t="s">
        <v>2059</v>
      </c>
      <c r="AH535" s="7" t="s">
        <v>2060</v>
      </c>
      <c r="AI535" s="7" t="s">
        <v>2061</v>
      </c>
      <c r="AJ535" s="7" t="s">
        <v>2062</v>
      </c>
      <c r="AK535" s="7" t="s">
        <v>2063</v>
      </c>
      <c r="AL535" s="7" t="s">
        <v>2064</v>
      </c>
      <c r="AM535" s="7" t="s">
        <v>2065</v>
      </c>
      <c r="AN535" s="7" t="s">
        <v>2066</v>
      </c>
      <c r="AO535" s="7" t="s">
        <v>714</v>
      </c>
      <c r="AP535" s="7" t="s">
        <v>715</v>
      </c>
      <c r="AQ535" s="7" t="s">
        <v>716</v>
      </c>
      <c r="AR535" s="7" t="s">
        <v>2067</v>
      </c>
      <c r="AS535" s="7" t="s">
        <v>2068</v>
      </c>
      <c r="AT535" s="7" t="s">
        <v>2069</v>
      </c>
      <c r="AU535" s="7" t="s">
        <v>2656</v>
      </c>
      <c r="AV535" s="7" t="s">
        <v>2657</v>
      </c>
    </row>
    <row r="536" spans="1:48" ht="78" customHeight="1" x14ac:dyDescent="0.4">
      <c r="A536" s="67" t="s">
        <v>279</v>
      </c>
      <c r="B536" t="e">
        <f>_xlfn.XLOOKUP(A536,'Product info'!A:A,'Product info'!C:C,,2)</f>
        <v>#N/A</v>
      </c>
      <c r="C536" s="69" t="s">
        <v>688</v>
      </c>
      <c r="D536" s="7" t="s">
        <v>689</v>
      </c>
      <c r="E536" s="7" t="s">
        <v>690</v>
      </c>
      <c r="F536" s="7" t="s">
        <v>691</v>
      </c>
      <c r="G536" s="7" t="s">
        <v>692</v>
      </c>
      <c r="H536" s="7" t="s">
        <v>693</v>
      </c>
      <c r="I536" s="7" t="s">
        <v>694</v>
      </c>
      <c r="J536" s="7" t="s">
        <v>695</v>
      </c>
      <c r="K536" s="7" t="s">
        <v>696</v>
      </c>
      <c r="L536" s="7" t="s">
        <v>697</v>
      </c>
      <c r="M536" s="7" t="s">
        <v>698</v>
      </c>
      <c r="N536" s="7" t="s">
        <v>699</v>
      </c>
      <c r="O536" s="7" t="s">
        <v>700</v>
      </c>
      <c r="P536" s="7" t="s">
        <v>701</v>
      </c>
      <c r="Q536" s="7" t="s">
        <v>702</v>
      </c>
      <c r="R536" s="7" t="s">
        <v>703</v>
      </c>
      <c r="S536" s="7" t="s">
        <v>704</v>
      </c>
      <c r="T536" s="7" t="s">
        <v>705</v>
      </c>
      <c r="U536" s="7" t="s">
        <v>706</v>
      </c>
      <c r="V536" s="7" t="s">
        <v>707</v>
      </c>
      <c r="W536" s="7" t="s">
        <v>708</v>
      </c>
      <c r="X536" s="7" t="s">
        <v>709</v>
      </c>
      <c r="Y536" s="7" t="s">
        <v>710</v>
      </c>
      <c r="Z536" s="7" t="s">
        <v>711</v>
      </c>
      <c r="AA536" s="7" t="s">
        <v>712</v>
      </c>
      <c r="AB536" s="7" t="s">
        <v>694</v>
      </c>
      <c r="AC536" s="7" t="s">
        <v>713</v>
      </c>
      <c r="AD536" s="7" t="s">
        <v>714</v>
      </c>
      <c r="AE536" s="7" t="s">
        <v>715</v>
      </c>
      <c r="AF536" s="7" t="s">
        <v>716</v>
      </c>
      <c r="AG536" s="7" t="s">
        <v>2059</v>
      </c>
      <c r="AH536" s="7" t="s">
        <v>2060</v>
      </c>
      <c r="AI536" s="7" t="s">
        <v>2061</v>
      </c>
      <c r="AJ536" s="7" t="s">
        <v>2062</v>
      </c>
      <c r="AK536" s="7" t="s">
        <v>2063</v>
      </c>
      <c r="AL536" s="7" t="s">
        <v>2064</v>
      </c>
      <c r="AM536" s="7" t="s">
        <v>2065</v>
      </c>
      <c r="AN536" s="7" t="s">
        <v>2066</v>
      </c>
      <c r="AO536" s="7" t="s">
        <v>714</v>
      </c>
      <c r="AP536" s="7" t="s">
        <v>715</v>
      </c>
      <c r="AQ536" s="7" t="s">
        <v>716</v>
      </c>
      <c r="AR536" s="7" t="s">
        <v>2067</v>
      </c>
      <c r="AS536" s="7" t="s">
        <v>2068</v>
      </c>
      <c r="AT536" s="7" t="s">
        <v>2069</v>
      </c>
      <c r="AU536" s="7" t="s">
        <v>2656</v>
      </c>
      <c r="AV536" s="7" t="s">
        <v>2657</v>
      </c>
    </row>
    <row r="537" spans="1:48" ht="78" customHeight="1" x14ac:dyDescent="0.4">
      <c r="A537" s="67" t="s">
        <v>499</v>
      </c>
      <c r="B537" t="e">
        <f>_xlfn.XLOOKUP(A537,'Product info'!A:A,'Product info'!C:C,,2)</f>
        <v>#N/A</v>
      </c>
      <c r="C537" s="69" t="s">
        <v>688</v>
      </c>
      <c r="D537" s="7" t="s">
        <v>689</v>
      </c>
      <c r="E537" s="7" t="s">
        <v>690</v>
      </c>
      <c r="F537" s="7" t="s">
        <v>691</v>
      </c>
      <c r="G537" s="7" t="s">
        <v>692</v>
      </c>
      <c r="H537" s="7" t="s">
        <v>693</v>
      </c>
      <c r="I537" s="7" t="s">
        <v>694</v>
      </c>
      <c r="J537" s="7" t="s">
        <v>695</v>
      </c>
      <c r="K537" s="7" t="s">
        <v>696</v>
      </c>
      <c r="L537" s="7" t="s">
        <v>697</v>
      </c>
      <c r="M537" s="7" t="s">
        <v>698</v>
      </c>
      <c r="N537" s="7" t="s">
        <v>699</v>
      </c>
      <c r="O537" s="7" t="s">
        <v>700</v>
      </c>
      <c r="P537" s="7" t="s">
        <v>701</v>
      </c>
      <c r="Q537" s="7" t="s">
        <v>702</v>
      </c>
      <c r="R537" s="7" t="s">
        <v>703</v>
      </c>
      <c r="S537" s="7" t="s">
        <v>704</v>
      </c>
      <c r="T537" s="7" t="s">
        <v>705</v>
      </c>
      <c r="U537" s="7" t="s">
        <v>706</v>
      </c>
      <c r="V537" s="7" t="s">
        <v>707</v>
      </c>
      <c r="W537" s="7" t="s">
        <v>708</v>
      </c>
      <c r="X537" s="7" t="s">
        <v>709</v>
      </c>
      <c r="Y537" s="7" t="s">
        <v>710</v>
      </c>
      <c r="Z537" s="7" t="s">
        <v>711</v>
      </c>
      <c r="AA537" s="7" t="s">
        <v>712</v>
      </c>
      <c r="AB537" s="7" t="s">
        <v>694</v>
      </c>
      <c r="AC537" s="7" t="s">
        <v>713</v>
      </c>
      <c r="AD537" s="7" t="s">
        <v>714</v>
      </c>
      <c r="AE537" s="7" t="s">
        <v>715</v>
      </c>
      <c r="AF537" s="7" t="s">
        <v>716</v>
      </c>
      <c r="AG537" s="7" t="s">
        <v>1701</v>
      </c>
      <c r="AH537" s="7" t="s">
        <v>1702</v>
      </c>
      <c r="AI537" s="7" t="s">
        <v>1703</v>
      </c>
      <c r="AJ537" s="7" t="s">
        <v>1704</v>
      </c>
      <c r="AK537" s="7" t="s">
        <v>2658</v>
      </c>
      <c r="AL537" s="7" t="s">
        <v>1706</v>
      </c>
      <c r="AM537" s="7" t="s">
        <v>2659</v>
      </c>
      <c r="AN537" s="7" t="s">
        <v>2660</v>
      </c>
      <c r="AO537" s="7" t="s">
        <v>2661</v>
      </c>
      <c r="AP537" s="7" t="s">
        <v>2662</v>
      </c>
    </row>
    <row r="538" spans="1:48" ht="78" customHeight="1" x14ac:dyDescent="0.4">
      <c r="A538" s="67" t="s">
        <v>500</v>
      </c>
      <c r="B538" t="e">
        <f>_xlfn.XLOOKUP(A538,'Product info'!A:A,'Product info'!C:C,,2)</f>
        <v>#N/A</v>
      </c>
      <c r="C538" s="69" t="s">
        <v>688</v>
      </c>
      <c r="D538" s="7" t="s">
        <v>689</v>
      </c>
      <c r="E538" s="7" t="s">
        <v>690</v>
      </c>
      <c r="F538" s="7" t="s">
        <v>691</v>
      </c>
      <c r="G538" s="7" t="s">
        <v>692</v>
      </c>
      <c r="H538" s="7" t="s">
        <v>693</v>
      </c>
      <c r="I538" s="7" t="s">
        <v>694</v>
      </c>
      <c r="J538" s="7" t="s">
        <v>695</v>
      </c>
      <c r="K538" s="7" t="s">
        <v>696</v>
      </c>
      <c r="L538" s="7" t="s">
        <v>697</v>
      </c>
      <c r="M538" s="7" t="s">
        <v>698</v>
      </c>
      <c r="N538" s="7" t="s">
        <v>699</v>
      </c>
      <c r="O538" s="7" t="s">
        <v>700</v>
      </c>
      <c r="P538" s="7" t="s">
        <v>701</v>
      </c>
      <c r="Q538" s="7" t="s">
        <v>702</v>
      </c>
      <c r="R538" s="7" t="s">
        <v>703</v>
      </c>
      <c r="S538" s="7" t="s">
        <v>704</v>
      </c>
      <c r="T538" s="7" t="s">
        <v>705</v>
      </c>
      <c r="U538" s="7" t="s">
        <v>706</v>
      </c>
      <c r="V538" s="7" t="s">
        <v>707</v>
      </c>
      <c r="W538" s="7" t="s">
        <v>708</v>
      </c>
      <c r="X538" s="7" t="s">
        <v>709</v>
      </c>
      <c r="Y538" s="7" t="s">
        <v>710</v>
      </c>
      <c r="Z538" s="7" t="s">
        <v>711</v>
      </c>
      <c r="AA538" s="7" t="s">
        <v>712</v>
      </c>
      <c r="AB538" s="7" t="s">
        <v>694</v>
      </c>
      <c r="AC538" s="7" t="s">
        <v>713</v>
      </c>
      <c r="AD538" s="7" t="s">
        <v>714</v>
      </c>
      <c r="AE538" s="7" t="s">
        <v>715</v>
      </c>
      <c r="AF538" s="7" t="s">
        <v>716</v>
      </c>
      <c r="AG538" s="7" t="s">
        <v>1701</v>
      </c>
      <c r="AH538" s="7" t="s">
        <v>1702</v>
      </c>
      <c r="AI538" s="7" t="s">
        <v>1703</v>
      </c>
      <c r="AJ538" s="7" t="s">
        <v>1704</v>
      </c>
      <c r="AK538" s="7" t="s">
        <v>2658</v>
      </c>
      <c r="AL538" s="7" t="s">
        <v>1706</v>
      </c>
      <c r="AM538" s="7" t="s">
        <v>2659</v>
      </c>
      <c r="AN538" s="7" t="s">
        <v>2660</v>
      </c>
      <c r="AO538" s="7" t="s">
        <v>2661</v>
      </c>
      <c r="AP538" s="7" t="s">
        <v>2662</v>
      </c>
    </row>
    <row r="539" spans="1:48" ht="78" customHeight="1" x14ac:dyDescent="0.4">
      <c r="A539" s="67" t="s">
        <v>501</v>
      </c>
      <c r="B539" t="e">
        <f>_xlfn.XLOOKUP(A539,'Product info'!A:A,'Product info'!C:C,,2)</f>
        <v>#N/A</v>
      </c>
      <c r="C539" s="69" t="s">
        <v>688</v>
      </c>
      <c r="D539" s="7" t="s">
        <v>689</v>
      </c>
      <c r="E539" s="7" t="s">
        <v>690</v>
      </c>
      <c r="F539" s="7" t="s">
        <v>691</v>
      </c>
      <c r="G539" s="7" t="s">
        <v>692</v>
      </c>
      <c r="H539" s="7" t="s">
        <v>693</v>
      </c>
      <c r="I539" s="7" t="s">
        <v>694</v>
      </c>
      <c r="J539" s="7" t="s">
        <v>695</v>
      </c>
      <c r="K539" s="7" t="s">
        <v>696</v>
      </c>
      <c r="L539" s="7" t="s">
        <v>697</v>
      </c>
      <c r="M539" s="7" t="s">
        <v>698</v>
      </c>
      <c r="N539" s="7" t="s">
        <v>699</v>
      </c>
      <c r="O539" s="7" t="s">
        <v>700</v>
      </c>
      <c r="P539" s="7" t="s">
        <v>701</v>
      </c>
      <c r="Q539" s="7" t="s">
        <v>702</v>
      </c>
      <c r="R539" s="7" t="s">
        <v>703</v>
      </c>
      <c r="S539" s="7" t="s">
        <v>704</v>
      </c>
      <c r="T539" s="7" t="s">
        <v>705</v>
      </c>
      <c r="U539" s="7" t="s">
        <v>706</v>
      </c>
      <c r="V539" s="7" t="s">
        <v>707</v>
      </c>
      <c r="W539" s="7" t="s">
        <v>708</v>
      </c>
      <c r="X539" s="7" t="s">
        <v>709</v>
      </c>
      <c r="Y539" s="7" t="s">
        <v>710</v>
      </c>
      <c r="Z539" s="7" t="s">
        <v>711</v>
      </c>
      <c r="AA539" s="7" t="s">
        <v>712</v>
      </c>
      <c r="AB539" s="7" t="s">
        <v>694</v>
      </c>
      <c r="AC539" s="7" t="s">
        <v>713</v>
      </c>
      <c r="AD539" s="7" t="s">
        <v>714</v>
      </c>
      <c r="AE539" s="7" t="s">
        <v>715</v>
      </c>
      <c r="AF539" s="7" t="s">
        <v>716</v>
      </c>
      <c r="AG539" s="7" t="s">
        <v>2663</v>
      </c>
      <c r="AH539" s="7" t="s">
        <v>2664</v>
      </c>
      <c r="AI539" s="7" t="s">
        <v>2660</v>
      </c>
      <c r="AJ539" s="7" t="s">
        <v>2665</v>
      </c>
      <c r="AK539" s="7" t="s">
        <v>2666</v>
      </c>
      <c r="AL539" s="7" t="s">
        <v>2661</v>
      </c>
      <c r="AM539" s="7" t="s">
        <v>2667</v>
      </c>
      <c r="AN539" s="7" t="s">
        <v>2662</v>
      </c>
    </row>
    <row r="540" spans="1:48" ht="78" customHeight="1" x14ac:dyDescent="0.4">
      <c r="A540" s="67" t="s">
        <v>273</v>
      </c>
      <c r="B540" t="e">
        <f>_xlfn.XLOOKUP(A540,'Product info'!A:A,'Product info'!C:C,,2)</f>
        <v>#N/A</v>
      </c>
      <c r="C540" s="69" t="s">
        <v>688</v>
      </c>
      <c r="D540" s="7" t="s">
        <v>689</v>
      </c>
      <c r="E540" s="7" t="s">
        <v>690</v>
      </c>
      <c r="F540" s="7" t="s">
        <v>691</v>
      </c>
      <c r="G540" s="7" t="s">
        <v>692</v>
      </c>
      <c r="H540" s="7" t="s">
        <v>693</v>
      </c>
      <c r="I540" s="7" t="s">
        <v>694</v>
      </c>
      <c r="J540" s="7" t="s">
        <v>695</v>
      </c>
      <c r="K540" s="7" t="s">
        <v>696</v>
      </c>
      <c r="L540" s="7" t="s">
        <v>697</v>
      </c>
      <c r="M540" s="7" t="s">
        <v>698</v>
      </c>
      <c r="N540" s="7" t="s">
        <v>699</v>
      </c>
      <c r="O540" s="7" t="s">
        <v>700</v>
      </c>
      <c r="P540" s="7" t="s">
        <v>701</v>
      </c>
      <c r="Q540" s="7" t="s">
        <v>702</v>
      </c>
      <c r="R540" s="7" t="s">
        <v>703</v>
      </c>
      <c r="S540" s="7" t="s">
        <v>704</v>
      </c>
      <c r="T540" s="7" t="s">
        <v>705</v>
      </c>
      <c r="U540" s="7" t="s">
        <v>706</v>
      </c>
      <c r="V540" s="7" t="s">
        <v>707</v>
      </c>
      <c r="W540" s="7" t="s">
        <v>708</v>
      </c>
      <c r="X540" s="7" t="s">
        <v>709</v>
      </c>
      <c r="Y540" s="7" t="s">
        <v>710</v>
      </c>
      <c r="Z540" s="7" t="s">
        <v>711</v>
      </c>
      <c r="AA540" s="7" t="s">
        <v>712</v>
      </c>
      <c r="AB540" s="7" t="s">
        <v>694</v>
      </c>
      <c r="AC540" s="7" t="s">
        <v>713</v>
      </c>
      <c r="AD540" s="7" t="s">
        <v>714</v>
      </c>
      <c r="AE540" s="7" t="s">
        <v>715</v>
      </c>
      <c r="AF540" s="7" t="s">
        <v>716</v>
      </c>
      <c r="AG540" s="7" t="s">
        <v>2059</v>
      </c>
      <c r="AH540" s="7" t="s">
        <v>2060</v>
      </c>
      <c r="AI540" s="7" t="s">
        <v>2061</v>
      </c>
      <c r="AJ540" s="7" t="s">
        <v>2062</v>
      </c>
      <c r="AK540" s="7" t="s">
        <v>2063</v>
      </c>
      <c r="AL540" s="7" t="s">
        <v>2064</v>
      </c>
      <c r="AM540" s="7" t="s">
        <v>2065</v>
      </c>
      <c r="AN540" s="7" t="s">
        <v>2066</v>
      </c>
      <c r="AO540" s="7" t="s">
        <v>714</v>
      </c>
      <c r="AP540" s="7" t="s">
        <v>715</v>
      </c>
      <c r="AQ540" s="7" t="s">
        <v>716</v>
      </c>
      <c r="AR540" s="7" t="s">
        <v>2067</v>
      </c>
      <c r="AS540" s="7" t="s">
        <v>2068</v>
      </c>
      <c r="AT540" s="7" t="s">
        <v>2069</v>
      </c>
    </row>
    <row r="541" spans="1:48" ht="78" customHeight="1" x14ac:dyDescent="0.4">
      <c r="A541" s="67" t="s">
        <v>274</v>
      </c>
      <c r="B541" t="e">
        <f>_xlfn.XLOOKUP(A541,'Product info'!A:A,'Product info'!C:C,,2)</f>
        <v>#N/A</v>
      </c>
      <c r="C541" s="69" t="s">
        <v>688</v>
      </c>
      <c r="D541" s="7" t="s">
        <v>689</v>
      </c>
      <c r="E541" s="7" t="s">
        <v>690</v>
      </c>
      <c r="F541" s="7" t="s">
        <v>691</v>
      </c>
      <c r="G541" s="7" t="s">
        <v>692</v>
      </c>
      <c r="H541" s="7" t="s">
        <v>693</v>
      </c>
      <c r="I541" s="7" t="s">
        <v>694</v>
      </c>
      <c r="J541" s="7" t="s">
        <v>695</v>
      </c>
      <c r="K541" s="7" t="s">
        <v>696</v>
      </c>
      <c r="L541" s="7" t="s">
        <v>697</v>
      </c>
      <c r="M541" s="7" t="s">
        <v>698</v>
      </c>
      <c r="N541" s="7" t="s">
        <v>699</v>
      </c>
      <c r="O541" s="7" t="s">
        <v>700</v>
      </c>
      <c r="P541" s="7" t="s">
        <v>701</v>
      </c>
      <c r="Q541" s="7" t="s">
        <v>702</v>
      </c>
      <c r="R541" s="7" t="s">
        <v>703</v>
      </c>
      <c r="S541" s="7" t="s">
        <v>704</v>
      </c>
      <c r="T541" s="7" t="s">
        <v>705</v>
      </c>
      <c r="U541" s="7" t="s">
        <v>706</v>
      </c>
      <c r="V541" s="7" t="s">
        <v>707</v>
      </c>
      <c r="W541" s="7" t="s">
        <v>708</v>
      </c>
      <c r="X541" s="7" t="s">
        <v>709</v>
      </c>
      <c r="Y541" s="7" t="s">
        <v>710</v>
      </c>
      <c r="Z541" s="7" t="s">
        <v>711</v>
      </c>
      <c r="AA541" s="7" t="s">
        <v>712</v>
      </c>
      <c r="AB541" s="7" t="s">
        <v>694</v>
      </c>
      <c r="AC541" s="7" t="s">
        <v>713</v>
      </c>
      <c r="AD541" s="7" t="s">
        <v>714</v>
      </c>
      <c r="AE541" s="7" t="s">
        <v>715</v>
      </c>
      <c r="AF541" s="7" t="s">
        <v>716</v>
      </c>
      <c r="AG541" s="7" t="s">
        <v>2059</v>
      </c>
      <c r="AH541" s="7" t="s">
        <v>2060</v>
      </c>
      <c r="AI541" s="7" t="s">
        <v>2061</v>
      </c>
      <c r="AJ541" s="7" t="s">
        <v>2062</v>
      </c>
      <c r="AK541" s="7" t="s">
        <v>2063</v>
      </c>
      <c r="AL541" s="7" t="s">
        <v>2064</v>
      </c>
      <c r="AM541" s="7" t="s">
        <v>2065</v>
      </c>
      <c r="AN541" s="7" t="s">
        <v>2066</v>
      </c>
      <c r="AO541" s="7" t="s">
        <v>714</v>
      </c>
      <c r="AP541" s="7" t="s">
        <v>715</v>
      </c>
      <c r="AQ541" s="7" t="s">
        <v>716</v>
      </c>
      <c r="AR541" s="7" t="s">
        <v>2067</v>
      </c>
      <c r="AS541" s="7" t="s">
        <v>2068</v>
      </c>
      <c r="AT541" s="7" t="s">
        <v>2069</v>
      </c>
    </row>
    <row r="542" spans="1:48" ht="78" customHeight="1" x14ac:dyDescent="0.4">
      <c r="A542" s="67" t="s">
        <v>285</v>
      </c>
      <c r="B542" t="e">
        <f>_xlfn.XLOOKUP(A542,'Product info'!A:A,'Product info'!C:C,,2)</f>
        <v>#N/A</v>
      </c>
      <c r="C542" s="69" t="s">
        <v>688</v>
      </c>
      <c r="D542" s="7" t="s">
        <v>689</v>
      </c>
      <c r="E542" s="7" t="s">
        <v>690</v>
      </c>
      <c r="F542" s="7" t="s">
        <v>691</v>
      </c>
      <c r="G542" s="7" t="s">
        <v>692</v>
      </c>
      <c r="H542" s="7" t="s">
        <v>693</v>
      </c>
      <c r="I542" s="7" t="s">
        <v>694</v>
      </c>
      <c r="J542" s="7" t="s">
        <v>695</v>
      </c>
      <c r="K542" s="7" t="s">
        <v>696</v>
      </c>
      <c r="L542" s="7" t="s">
        <v>697</v>
      </c>
      <c r="M542" s="7" t="s">
        <v>698</v>
      </c>
      <c r="N542" s="7" t="s">
        <v>699</v>
      </c>
      <c r="O542" s="7" t="s">
        <v>700</v>
      </c>
      <c r="P542" s="7" t="s">
        <v>701</v>
      </c>
      <c r="Q542" s="7" t="s">
        <v>702</v>
      </c>
      <c r="R542" s="7" t="s">
        <v>703</v>
      </c>
      <c r="S542" s="7" t="s">
        <v>704</v>
      </c>
      <c r="T542" s="7" t="s">
        <v>705</v>
      </c>
      <c r="U542" s="7" t="s">
        <v>706</v>
      </c>
      <c r="V542" s="7" t="s">
        <v>707</v>
      </c>
      <c r="W542" s="7" t="s">
        <v>708</v>
      </c>
      <c r="X542" s="7" t="s">
        <v>709</v>
      </c>
      <c r="Y542" s="7" t="s">
        <v>710</v>
      </c>
      <c r="Z542" s="7" t="s">
        <v>711</v>
      </c>
      <c r="AA542" s="7" t="s">
        <v>712</v>
      </c>
      <c r="AB542" s="7" t="s">
        <v>694</v>
      </c>
      <c r="AC542" s="7" t="s">
        <v>713</v>
      </c>
      <c r="AD542" s="7" t="s">
        <v>714</v>
      </c>
      <c r="AE542" s="7" t="s">
        <v>715</v>
      </c>
      <c r="AF542" s="7" t="s">
        <v>716</v>
      </c>
      <c r="AG542" s="7" t="s">
        <v>2668</v>
      </c>
      <c r="AH542" s="7" t="s">
        <v>2669</v>
      </c>
      <c r="AI542" s="7" t="s">
        <v>2670</v>
      </c>
      <c r="AJ542" s="7" t="s">
        <v>2671</v>
      </c>
      <c r="AK542" s="7" t="s">
        <v>2672</v>
      </c>
      <c r="AL542" s="7" t="s">
        <v>2673</v>
      </c>
      <c r="AM542" s="7" t="s">
        <v>2674</v>
      </c>
      <c r="AN542" s="7" t="s">
        <v>2675</v>
      </c>
    </row>
    <row r="543" spans="1:48" ht="78" customHeight="1" x14ac:dyDescent="0.4">
      <c r="A543" s="67" t="s">
        <v>544</v>
      </c>
      <c r="B543" t="e">
        <f>_xlfn.XLOOKUP(A543,'Product info'!A:A,'Product info'!C:C,,2)</f>
        <v>#N/A</v>
      </c>
      <c r="C543" s="69" t="s">
        <v>688</v>
      </c>
      <c r="D543" s="7" t="s">
        <v>689</v>
      </c>
      <c r="E543" s="7" t="s">
        <v>690</v>
      </c>
      <c r="F543" s="7" t="s">
        <v>691</v>
      </c>
      <c r="G543" s="7" t="s">
        <v>692</v>
      </c>
      <c r="H543" s="7" t="s">
        <v>693</v>
      </c>
      <c r="I543" s="7" t="s">
        <v>694</v>
      </c>
      <c r="J543" s="7" t="s">
        <v>695</v>
      </c>
      <c r="K543" s="7" t="s">
        <v>696</v>
      </c>
      <c r="L543" s="7" t="s">
        <v>697</v>
      </c>
      <c r="M543" s="7" t="s">
        <v>698</v>
      </c>
      <c r="N543" s="7" t="s">
        <v>699</v>
      </c>
      <c r="O543" s="7" t="s">
        <v>700</v>
      </c>
      <c r="P543" s="7" t="s">
        <v>701</v>
      </c>
      <c r="Q543" s="7" t="s">
        <v>702</v>
      </c>
      <c r="R543" s="7" t="s">
        <v>703</v>
      </c>
      <c r="S543" s="7" t="s">
        <v>704</v>
      </c>
      <c r="T543" s="7" t="s">
        <v>705</v>
      </c>
      <c r="U543" s="7" t="s">
        <v>706</v>
      </c>
      <c r="V543" s="7" t="s">
        <v>707</v>
      </c>
      <c r="W543" s="7" t="s">
        <v>708</v>
      </c>
      <c r="X543" s="7" t="s">
        <v>709</v>
      </c>
      <c r="Y543" s="7" t="s">
        <v>710</v>
      </c>
      <c r="Z543" s="7" t="s">
        <v>711</v>
      </c>
      <c r="AA543" s="7" t="s">
        <v>712</v>
      </c>
      <c r="AB543" s="7" t="s">
        <v>694</v>
      </c>
      <c r="AC543" s="7" t="s">
        <v>713</v>
      </c>
      <c r="AD543" s="7" t="s">
        <v>714</v>
      </c>
      <c r="AE543" s="7" t="s">
        <v>715</v>
      </c>
      <c r="AF543" s="7" t="s">
        <v>716</v>
      </c>
      <c r="AG543" s="7" t="s">
        <v>2676</v>
      </c>
      <c r="AH543" s="7" t="s">
        <v>2677</v>
      </c>
      <c r="AI543" s="7" t="s">
        <v>2678</v>
      </c>
      <c r="AJ543" s="7" t="s">
        <v>2679</v>
      </c>
      <c r="AK543" s="7" t="s">
        <v>2680</v>
      </c>
      <c r="AL543" s="7" t="s">
        <v>2681</v>
      </c>
      <c r="AM543" s="7" t="s">
        <v>2682</v>
      </c>
      <c r="AN543" s="7" t="s">
        <v>2683</v>
      </c>
    </row>
    <row r="544" spans="1:48" ht="78" customHeight="1" x14ac:dyDescent="0.4">
      <c r="A544" s="67">
        <v>8721001273522</v>
      </c>
      <c r="B544" t="e">
        <f>_xlfn.XLOOKUP(A544,'Product info'!A:A,'Product info'!C:C,,2)</f>
        <v>#N/A</v>
      </c>
      <c r="C544" s="69" t="s">
        <v>688</v>
      </c>
      <c r="D544" s="7" t="s">
        <v>689</v>
      </c>
      <c r="E544" s="7" t="s">
        <v>690</v>
      </c>
      <c r="F544" s="7" t="s">
        <v>691</v>
      </c>
      <c r="G544" s="7" t="s">
        <v>692</v>
      </c>
      <c r="H544" s="7" t="s">
        <v>693</v>
      </c>
      <c r="I544" s="7" t="s">
        <v>694</v>
      </c>
      <c r="J544" s="7" t="s">
        <v>695</v>
      </c>
      <c r="K544" s="7" t="s">
        <v>696</v>
      </c>
      <c r="L544" s="7" t="s">
        <v>697</v>
      </c>
      <c r="M544" s="7" t="s">
        <v>698</v>
      </c>
      <c r="N544" s="7" t="s">
        <v>699</v>
      </c>
      <c r="O544" s="7" t="s">
        <v>700</v>
      </c>
      <c r="P544" s="7" t="s">
        <v>701</v>
      </c>
      <c r="Q544" s="7" t="s">
        <v>702</v>
      </c>
      <c r="R544" s="7" t="s">
        <v>703</v>
      </c>
      <c r="S544" s="7" t="s">
        <v>704</v>
      </c>
      <c r="T544" s="7" t="s">
        <v>705</v>
      </c>
      <c r="U544" s="7" t="s">
        <v>706</v>
      </c>
      <c r="V544" s="7" t="s">
        <v>707</v>
      </c>
      <c r="W544" s="7" t="s">
        <v>708</v>
      </c>
      <c r="X544" s="7" t="s">
        <v>709</v>
      </c>
      <c r="Y544" s="7" t="s">
        <v>710</v>
      </c>
      <c r="Z544" s="7" t="s">
        <v>711</v>
      </c>
      <c r="AA544" s="7" t="s">
        <v>712</v>
      </c>
      <c r="AB544" s="7" t="s">
        <v>694</v>
      </c>
      <c r="AC544" s="7" t="s">
        <v>713</v>
      </c>
      <c r="AD544" s="7" t="s">
        <v>714</v>
      </c>
      <c r="AE544" s="7" t="s">
        <v>715</v>
      </c>
      <c r="AF544" s="7" t="s">
        <v>716</v>
      </c>
      <c r="AG544" s="7" t="s">
        <v>2676</v>
      </c>
      <c r="AH544" s="7" t="s">
        <v>2677</v>
      </c>
      <c r="AI544" s="7" t="s">
        <v>2678</v>
      </c>
      <c r="AJ544" s="7" t="s">
        <v>2679</v>
      </c>
      <c r="AK544" s="7" t="s">
        <v>2680</v>
      </c>
      <c r="AL544" s="7" t="s">
        <v>2681</v>
      </c>
      <c r="AM544" s="7" t="s">
        <v>2682</v>
      </c>
      <c r="AN544" s="7" t="s">
        <v>2683</v>
      </c>
    </row>
    <row r="545" spans="1:85" ht="78" customHeight="1" x14ac:dyDescent="0.4">
      <c r="A545" s="67">
        <v>8719992661015</v>
      </c>
      <c r="B545" t="e">
        <f>_xlfn.XLOOKUP(A545,'Product info'!A:A,'Product info'!C:C,,2)</f>
        <v>#N/A</v>
      </c>
      <c r="C545" s="69" t="s">
        <v>688</v>
      </c>
      <c r="D545" s="7" t="s">
        <v>689</v>
      </c>
      <c r="E545" s="7" t="s">
        <v>747</v>
      </c>
      <c r="F545" s="7" t="s">
        <v>748</v>
      </c>
      <c r="G545" s="7" t="s">
        <v>749</v>
      </c>
      <c r="H545" s="7" t="s">
        <v>1380</v>
      </c>
      <c r="I545" s="7" t="s">
        <v>751</v>
      </c>
      <c r="J545" s="7" t="s">
        <v>752</v>
      </c>
      <c r="K545" s="7" t="s">
        <v>862</v>
      </c>
      <c r="L545" s="7" t="s">
        <v>754</v>
      </c>
      <c r="M545" s="7" t="s">
        <v>755</v>
      </c>
      <c r="N545" s="7" t="s">
        <v>863</v>
      </c>
      <c r="O545" s="7" t="s">
        <v>1381</v>
      </c>
      <c r="P545" s="7" t="s">
        <v>1382</v>
      </c>
      <c r="Q545" s="7" t="s">
        <v>758</v>
      </c>
      <c r="R545" s="7" t="s">
        <v>759</v>
      </c>
      <c r="S545" s="7" t="s">
        <v>760</v>
      </c>
      <c r="T545" s="7" t="s">
        <v>1386</v>
      </c>
      <c r="U545" s="7" t="s">
        <v>867</v>
      </c>
      <c r="V545" s="7" t="s">
        <v>1387</v>
      </c>
      <c r="W545" s="7" t="s">
        <v>1388</v>
      </c>
      <c r="X545" s="7" t="s">
        <v>1389</v>
      </c>
      <c r="Y545" s="7" t="s">
        <v>1390</v>
      </c>
      <c r="Z545" s="7" t="s">
        <v>1391</v>
      </c>
      <c r="AA545" s="7" t="s">
        <v>1392</v>
      </c>
    </row>
    <row r="546" spans="1:85" ht="78" customHeight="1" x14ac:dyDescent="0.4">
      <c r="A546" s="67">
        <v>8719992661008</v>
      </c>
      <c r="B546" t="e">
        <f>_xlfn.XLOOKUP(A546,'Product info'!A:A,'Product info'!C:C,,2)</f>
        <v>#N/A</v>
      </c>
      <c r="C546" s="69" t="s">
        <v>688</v>
      </c>
      <c r="D546" s="7" t="s">
        <v>689</v>
      </c>
      <c r="E546" s="7" t="s">
        <v>747</v>
      </c>
      <c r="F546" s="7" t="s">
        <v>748</v>
      </c>
      <c r="G546" s="7" t="s">
        <v>749</v>
      </c>
      <c r="H546" s="7" t="s">
        <v>1380</v>
      </c>
      <c r="I546" s="7" t="s">
        <v>751</v>
      </c>
      <c r="J546" s="7" t="s">
        <v>752</v>
      </c>
      <c r="K546" s="7" t="s">
        <v>862</v>
      </c>
      <c r="L546" s="7" t="s">
        <v>754</v>
      </c>
      <c r="M546" s="7" t="s">
        <v>755</v>
      </c>
      <c r="N546" s="7" t="s">
        <v>863</v>
      </c>
      <c r="O546" s="7" t="s">
        <v>1381</v>
      </c>
      <c r="P546" s="7" t="s">
        <v>1382</v>
      </c>
      <c r="Q546" s="7" t="s">
        <v>758</v>
      </c>
      <c r="R546" s="7" t="s">
        <v>759</v>
      </c>
      <c r="S546" s="7" t="s">
        <v>760</v>
      </c>
      <c r="T546" s="7" t="s">
        <v>1386</v>
      </c>
      <c r="U546" s="7" t="s">
        <v>867</v>
      </c>
      <c r="V546" s="7" t="s">
        <v>1387</v>
      </c>
      <c r="W546" s="7" t="s">
        <v>1388</v>
      </c>
      <c r="X546" s="7" t="s">
        <v>1389</v>
      </c>
      <c r="Y546" s="7" t="s">
        <v>1390</v>
      </c>
      <c r="Z546" s="7" t="s">
        <v>1391</v>
      </c>
      <c r="AA546" s="7" t="s">
        <v>1392</v>
      </c>
    </row>
    <row r="547" spans="1:85" ht="78" customHeight="1" x14ac:dyDescent="0.4">
      <c r="A547" s="67">
        <v>8721001271061</v>
      </c>
      <c r="B547" t="e">
        <f>_xlfn.XLOOKUP(A547,'Product info'!A:A,'Product info'!C:C,,2)</f>
        <v>#N/A</v>
      </c>
      <c r="C547" s="69" t="s">
        <v>688</v>
      </c>
      <c r="D547" s="7" t="s">
        <v>689</v>
      </c>
      <c r="E547" s="7" t="s">
        <v>690</v>
      </c>
      <c r="F547" s="7" t="s">
        <v>691</v>
      </c>
      <c r="G547" s="7" t="s">
        <v>692</v>
      </c>
      <c r="H547" s="7" t="s">
        <v>693</v>
      </c>
      <c r="I547" s="7" t="s">
        <v>694</v>
      </c>
      <c r="J547" s="7" t="s">
        <v>695</v>
      </c>
      <c r="K547" s="7" t="s">
        <v>696</v>
      </c>
      <c r="L547" s="7" t="s">
        <v>697</v>
      </c>
      <c r="M547" s="7" t="s">
        <v>698</v>
      </c>
      <c r="N547" s="7" t="s">
        <v>699</v>
      </c>
      <c r="O547" s="7" t="s">
        <v>700</v>
      </c>
      <c r="P547" s="7" t="s">
        <v>701</v>
      </c>
      <c r="Q547" s="7" t="s">
        <v>702</v>
      </c>
      <c r="R547" s="7" t="s">
        <v>703</v>
      </c>
      <c r="S547" s="7" t="s">
        <v>704</v>
      </c>
      <c r="T547" s="7" t="s">
        <v>705</v>
      </c>
      <c r="U547" s="7" t="s">
        <v>706</v>
      </c>
      <c r="V547" s="7" t="s">
        <v>707</v>
      </c>
      <c r="W547" s="7" t="s">
        <v>708</v>
      </c>
      <c r="X547" s="7" t="s">
        <v>709</v>
      </c>
      <c r="Y547" s="7" t="s">
        <v>710</v>
      </c>
      <c r="Z547" s="7" t="s">
        <v>711</v>
      </c>
      <c r="AA547" s="7" t="s">
        <v>712</v>
      </c>
      <c r="AB547" s="7" t="s">
        <v>694</v>
      </c>
      <c r="AC547" s="7" t="s">
        <v>713</v>
      </c>
      <c r="AD547" s="7" t="s">
        <v>714</v>
      </c>
      <c r="AE547" s="7" t="s">
        <v>715</v>
      </c>
      <c r="AF547" s="7" t="s">
        <v>716</v>
      </c>
      <c r="AG547" s="7" t="s">
        <v>688</v>
      </c>
      <c r="AH547" s="7" t="s">
        <v>689</v>
      </c>
      <c r="AI547" s="7" t="s">
        <v>747</v>
      </c>
      <c r="AJ547" s="7" t="s">
        <v>696</v>
      </c>
      <c r="AK547" s="7" t="s">
        <v>773</v>
      </c>
      <c r="AL547" s="7" t="s">
        <v>940</v>
      </c>
      <c r="AM547" s="7" t="s">
        <v>941</v>
      </c>
      <c r="AN547" s="7" t="s">
        <v>942</v>
      </c>
      <c r="AO547" s="7" t="s">
        <v>877</v>
      </c>
      <c r="AP547" s="7" t="s">
        <v>878</v>
      </c>
      <c r="AQ547" s="7" t="s">
        <v>879</v>
      </c>
      <c r="AR547" s="7" t="s">
        <v>1067</v>
      </c>
      <c r="AS547" s="7" t="s">
        <v>1068</v>
      </c>
      <c r="AT547" s="7" t="s">
        <v>1069</v>
      </c>
      <c r="AU547" s="7" t="s">
        <v>1070</v>
      </c>
    </row>
    <row r="548" spans="1:85" ht="78" customHeight="1" x14ac:dyDescent="0.4">
      <c r="A548" s="67">
        <v>8721001270392</v>
      </c>
      <c r="B548" t="e">
        <f>_xlfn.XLOOKUP(A548,'Product info'!A:A,'Product info'!C:C,,2)</f>
        <v>#N/A</v>
      </c>
      <c r="C548" s="69" t="s">
        <v>688</v>
      </c>
      <c r="D548" s="7" t="s">
        <v>689</v>
      </c>
      <c r="E548" s="7" t="s">
        <v>690</v>
      </c>
      <c r="F548" s="7" t="s">
        <v>691</v>
      </c>
      <c r="G548" s="7" t="s">
        <v>692</v>
      </c>
      <c r="H548" s="7" t="s">
        <v>693</v>
      </c>
      <c r="I548" s="7" t="s">
        <v>694</v>
      </c>
      <c r="J548" s="7" t="s">
        <v>695</v>
      </c>
      <c r="K548" s="7" t="s">
        <v>696</v>
      </c>
      <c r="L548" s="7" t="s">
        <v>697</v>
      </c>
      <c r="M548" s="7" t="s">
        <v>698</v>
      </c>
      <c r="N548" s="7" t="s">
        <v>699</v>
      </c>
      <c r="O548" s="7" t="s">
        <v>700</v>
      </c>
      <c r="P548" s="7" t="s">
        <v>701</v>
      </c>
      <c r="Q548" s="7" t="s">
        <v>702</v>
      </c>
      <c r="R548" s="7" t="s">
        <v>703</v>
      </c>
      <c r="S548" s="7" t="s">
        <v>704</v>
      </c>
      <c r="T548" s="7" t="s">
        <v>705</v>
      </c>
      <c r="U548" s="7" t="s">
        <v>706</v>
      </c>
      <c r="V548" s="7" t="s">
        <v>707</v>
      </c>
      <c r="W548" s="7" t="s">
        <v>708</v>
      </c>
      <c r="X548" s="7" t="s">
        <v>709</v>
      </c>
      <c r="Y548" s="7" t="s">
        <v>710</v>
      </c>
      <c r="Z548" s="7" t="s">
        <v>711</v>
      </c>
      <c r="AA548" s="7" t="s">
        <v>712</v>
      </c>
      <c r="AB548" s="7" t="s">
        <v>694</v>
      </c>
      <c r="AC548" s="7" t="s">
        <v>713</v>
      </c>
      <c r="AD548" s="7" t="s">
        <v>714</v>
      </c>
      <c r="AE548" s="7" t="s">
        <v>715</v>
      </c>
      <c r="AF548" s="7" t="s">
        <v>716</v>
      </c>
      <c r="AG548" s="7" t="s">
        <v>688</v>
      </c>
      <c r="AH548" s="7" t="s">
        <v>689</v>
      </c>
      <c r="AI548" s="7" t="s">
        <v>747</v>
      </c>
      <c r="AJ548" s="7" t="s">
        <v>696</v>
      </c>
      <c r="AK548" s="7" t="s">
        <v>773</v>
      </c>
      <c r="AL548" s="7" t="s">
        <v>877</v>
      </c>
      <c r="AM548" s="7" t="s">
        <v>878</v>
      </c>
      <c r="AN548" s="7" t="s">
        <v>879</v>
      </c>
      <c r="AO548" s="7" t="s">
        <v>880</v>
      </c>
      <c r="AP548" s="7" t="s">
        <v>881</v>
      </c>
      <c r="AQ548" s="7" t="s">
        <v>882</v>
      </c>
      <c r="AR548" s="7" t="s">
        <v>883</v>
      </c>
    </row>
    <row r="549" spans="1:85" ht="78" customHeight="1" x14ac:dyDescent="0.4">
      <c r="A549" s="67">
        <v>8720828495155</v>
      </c>
      <c r="B549" t="e">
        <f>_xlfn.XLOOKUP(A549,'Product info'!A:A,'Product info'!C:C,,2)</f>
        <v>#N/A</v>
      </c>
      <c r="C549" s="69" t="s">
        <v>688</v>
      </c>
      <c r="D549" s="7" t="s">
        <v>689</v>
      </c>
      <c r="E549" s="7" t="s">
        <v>690</v>
      </c>
      <c r="F549" s="7" t="s">
        <v>691</v>
      </c>
      <c r="G549" s="7" t="s">
        <v>692</v>
      </c>
      <c r="H549" s="7" t="s">
        <v>693</v>
      </c>
      <c r="I549" s="7" t="s">
        <v>694</v>
      </c>
      <c r="J549" s="7" t="s">
        <v>695</v>
      </c>
      <c r="K549" s="7" t="s">
        <v>696</v>
      </c>
      <c r="L549" s="7" t="s">
        <v>697</v>
      </c>
      <c r="M549" s="7" t="s">
        <v>698</v>
      </c>
      <c r="N549" s="7" t="s">
        <v>699</v>
      </c>
      <c r="O549" s="7" t="s">
        <v>700</v>
      </c>
      <c r="P549" s="7" t="s">
        <v>701</v>
      </c>
      <c r="Q549" s="7" t="s">
        <v>702</v>
      </c>
      <c r="R549" s="7" t="s">
        <v>703</v>
      </c>
      <c r="S549" s="7" t="s">
        <v>704</v>
      </c>
      <c r="T549" s="7" t="s">
        <v>705</v>
      </c>
      <c r="U549" s="7" t="s">
        <v>706</v>
      </c>
      <c r="V549" s="7" t="s">
        <v>707</v>
      </c>
      <c r="W549" s="7" t="s">
        <v>708</v>
      </c>
      <c r="X549" s="7" t="s">
        <v>709</v>
      </c>
      <c r="Y549" s="7" t="s">
        <v>710</v>
      </c>
      <c r="Z549" s="7" t="s">
        <v>711</v>
      </c>
      <c r="AA549" s="7" t="s">
        <v>712</v>
      </c>
      <c r="AB549" s="7" t="s">
        <v>694</v>
      </c>
      <c r="AC549" s="7" t="s">
        <v>713</v>
      </c>
      <c r="AD549" s="7" t="s">
        <v>714</v>
      </c>
      <c r="AE549" s="7" t="s">
        <v>715</v>
      </c>
      <c r="AF549" s="7" t="s">
        <v>716</v>
      </c>
      <c r="AG549" s="7" t="s">
        <v>688</v>
      </c>
      <c r="AH549" s="7" t="s">
        <v>689</v>
      </c>
      <c r="AI549" s="7" t="s">
        <v>747</v>
      </c>
      <c r="AJ549" s="7" t="s">
        <v>696</v>
      </c>
      <c r="AK549" s="7" t="s">
        <v>773</v>
      </c>
      <c r="AL549" s="7" t="s">
        <v>940</v>
      </c>
      <c r="AM549" s="7" t="s">
        <v>941</v>
      </c>
      <c r="AN549" s="7" t="s">
        <v>942</v>
      </c>
      <c r="AO549" s="7" t="s">
        <v>1085</v>
      </c>
      <c r="AP549" s="7" t="s">
        <v>1086</v>
      </c>
      <c r="AQ549" s="7" t="s">
        <v>1087</v>
      </c>
      <c r="AR549" s="7" t="s">
        <v>1088</v>
      </c>
      <c r="AS549" s="7" t="s">
        <v>1089</v>
      </c>
      <c r="AT549" s="7" t="s">
        <v>1090</v>
      </c>
      <c r="AU549" s="7" t="s">
        <v>1091</v>
      </c>
      <c r="AV549" s="7" t="s">
        <v>1092</v>
      </c>
      <c r="AW549" s="7" t="s">
        <v>1080</v>
      </c>
      <c r="AX549" s="7" t="s">
        <v>1079</v>
      </c>
      <c r="AY549" s="7" t="s">
        <v>1083</v>
      </c>
      <c r="AZ549" s="7" t="s">
        <v>1093</v>
      </c>
      <c r="BA549" s="7" t="s">
        <v>1094</v>
      </c>
    </row>
    <row r="550" spans="1:85" ht="78" customHeight="1" x14ac:dyDescent="0.4">
      <c r="A550" s="67">
        <v>8720828495551</v>
      </c>
      <c r="B550" t="e">
        <f>_xlfn.XLOOKUP(A550,'Product info'!A:A,'Product info'!C:C,,2)</f>
        <v>#N/A</v>
      </c>
      <c r="C550" s="69" t="s">
        <v>688</v>
      </c>
      <c r="D550" s="7" t="s">
        <v>689</v>
      </c>
      <c r="E550" s="7" t="s">
        <v>690</v>
      </c>
      <c r="F550" s="7" t="s">
        <v>691</v>
      </c>
      <c r="G550" s="7" t="s">
        <v>692</v>
      </c>
      <c r="H550" s="7" t="s">
        <v>693</v>
      </c>
      <c r="I550" s="7" t="s">
        <v>694</v>
      </c>
      <c r="J550" s="7" t="s">
        <v>695</v>
      </c>
      <c r="K550" s="7" t="s">
        <v>696</v>
      </c>
      <c r="L550" s="7" t="s">
        <v>697</v>
      </c>
      <c r="M550" s="7" t="s">
        <v>698</v>
      </c>
      <c r="N550" s="7" t="s">
        <v>699</v>
      </c>
      <c r="O550" s="7" t="s">
        <v>700</v>
      </c>
      <c r="P550" s="7" t="s">
        <v>701</v>
      </c>
      <c r="Q550" s="7" t="s">
        <v>702</v>
      </c>
      <c r="R550" s="7" t="s">
        <v>703</v>
      </c>
      <c r="S550" s="7" t="s">
        <v>704</v>
      </c>
      <c r="T550" s="7" t="s">
        <v>705</v>
      </c>
      <c r="U550" s="7" t="s">
        <v>706</v>
      </c>
      <c r="V550" s="7" t="s">
        <v>707</v>
      </c>
      <c r="W550" s="7" t="s">
        <v>708</v>
      </c>
      <c r="X550" s="7" t="s">
        <v>709</v>
      </c>
      <c r="Y550" s="7" t="s">
        <v>710</v>
      </c>
      <c r="Z550" s="7" t="s">
        <v>711</v>
      </c>
      <c r="AA550" s="7" t="s">
        <v>712</v>
      </c>
      <c r="AB550" s="7" t="s">
        <v>694</v>
      </c>
      <c r="AC550" s="7" t="s">
        <v>713</v>
      </c>
      <c r="AD550" s="7" t="s">
        <v>714</v>
      </c>
      <c r="AE550" s="7" t="s">
        <v>715</v>
      </c>
      <c r="AF550" s="7" t="s">
        <v>716</v>
      </c>
      <c r="AG550" s="7" t="s">
        <v>688</v>
      </c>
      <c r="AH550" s="7" t="s">
        <v>689</v>
      </c>
      <c r="AI550" s="7" t="s">
        <v>747</v>
      </c>
      <c r="AJ550" s="7" t="s">
        <v>696</v>
      </c>
      <c r="AK550" s="7" t="s">
        <v>773</v>
      </c>
      <c r="AL550" s="7" t="s">
        <v>940</v>
      </c>
      <c r="AM550" s="7" t="s">
        <v>941</v>
      </c>
      <c r="AN550" s="7" t="s">
        <v>942</v>
      </c>
      <c r="AO550" s="7" t="s">
        <v>695</v>
      </c>
      <c r="AP550" s="7" t="s">
        <v>694</v>
      </c>
      <c r="AQ550" s="7" t="s">
        <v>1427</v>
      </c>
    </row>
    <row r="551" spans="1:85" ht="78" customHeight="1" x14ac:dyDescent="0.4">
      <c r="A551" s="67">
        <v>8721001272464</v>
      </c>
      <c r="B551" t="e">
        <f>_xlfn.XLOOKUP(A551,'Product info'!A:A,'Product info'!C:C,,2)</f>
        <v>#N/A</v>
      </c>
      <c r="C551" s="69" t="s">
        <v>688</v>
      </c>
      <c r="D551" s="7" t="s">
        <v>689</v>
      </c>
      <c r="E551" s="7" t="s">
        <v>747</v>
      </c>
      <c r="F551" s="7" t="s">
        <v>696</v>
      </c>
      <c r="G551" s="7" t="s">
        <v>773</v>
      </c>
      <c r="H551" s="7" t="s">
        <v>940</v>
      </c>
      <c r="I551" s="7" t="s">
        <v>941</v>
      </c>
      <c r="J551" s="7" t="s">
        <v>942</v>
      </c>
      <c r="K551" s="7" t="s">
        <v>1110</v>
      </c>
      <c r="L551" s="7" t="s">
        <v>1113</v>
      </c>
      <c r="M551" s="7" t="s">
        <v>1279</v>
      </c>
      <c r="N551" s="7" t="s">
        <v>1280</v>
      </c>
      <c r="O551" s="7" t="s">
        <v>1281</v>
      </c>
      <c r="P551" s="7" t="s">
        <v>1282</v>
      </c>
      <c r="Q551" s="7" t="s">
        <v>1283</v>
      </c>
      <c r="R551" s="7" t="s">
        <v>1284</v>
      </c>
      <c r="S551" s="7" t="s">
        <v>1285</v>
      </c>
      <c r="T551" s="7" t="s">
        <v>1286</v>
      </c>
      <c r="U551" s="7" t="s">
        <v>1428</v>
      </c>
      <c r="V551" s="7" t="s">
        <v>1110</v>
      </c>
      <c r="W551" s="7" t="s">
        <v>1113</v>
      </c>
      <c r="X551" s="7" t="s">
        <v>1279</v>
      </c>
      <c r="Y551" s="7" t="s">
        <v>1280</v>
      </c>
      <c r="Z551" s="7" t="s">
        <v>1281</v>
      </c>
      <c r="AA551" s="7" t="s">
        <v>1282</v>
      </c>
      <c r="AB551" s="7" t="s">
        <v>1283</v>
      </c>
      <c r="AC551" s="7" t="s">
        <v>1284</v>
      </c>
      <c r="AD551" s="7" t="s">
        <v>1285</v>
      </c>
      <c r="AE551" s="7" t="s">
        <v>1286</v>
      </c>
      <c r="AF551" s="7" t="s">
        <v>1428</v>
      </c>
    </row>
    <row r="552" spans="1:85" ht="78" customHeight="1" x14ac:dyDescent="0.4">
      <c r="A552" s="67">
        <v>8721001273607</v>
      </c>
      <c r="B552" t="e">
        <f>_xlfn.XLOOKUP(A552,'Product info'!A:A,'Product info'!C:C,,2)</f>
        <v>#N/A</v>
      </c>
      <c r="C552" s="69" t="s">
        <v>688</v>
      </c>
      <c r="D552" s="7" t="s">
        <v>689</v>
      </c>
      <c r="E552" s="7" t="s">
        <v>690</v>
      </c>
      <c r="F552" s="7" t="s">
        <v>691</v>
      </c>
      <c r="G552" s="7" t="s">
        <v>692</v>
      </c>
      <c r="H552" s="7" t="s">
        <v>693</v>
      </c>
      <c r="I552" s="7" t="s">
        <v>694</v>
      </c>
      <c r="J552" s="7" t="s">
        <v>695</v>
      </c>
      <c r="K552" s="7" t="s">
        <v>696</v>
      </c>
      <c r="L552" s="7" t="s">
        <v>697</v>
      </c>
      <c r="M552" s="7" t="s">
        <v>698</v>
      </c>
      <c r="N552" s="7" t="s">
        <v>699</v>
      </c>
      <c r="O552" s="7" t="s">
        <v>700</v>
      </c>
      <c r="P552" s="7" t="s">
        <v>701</v>
      </c>
      <c r="Q552" s="7" t="s">
        <v>702</v>
      </c>
      <c r="R552" s="7" t="s">
        <v>703</v>
      </c>
      <c r="S552" s="7" t="s">
        <v>704</v>
      </c>
      <c r="T552" s="7" t="s">
        <v>705</v>
      </c>
      <c r="U552" s="7" t="s">
        <v>706</v>
      </c>
      <c r="V552" s="7" t="s">
        <v>707</v>
      </c>
      <c r="W552" s="7" t="s">
        <v>708</v>
      </c>
      <c r="X552" s="7" t="s">
        <v>709</v>
      </c>
      <c r="Y552" s="7" t="s">
        <v>710</v>
      </c>
      <c r="Z552" s="7" t="s">
        <v>711</v>
      </c>
      <c r="AA552" s="7" t="s">
        <v>712</v>
      </c>
      <c r="AB552" s="7" t="s">
        <v>694</v>
      </c>
      <c r="AC552" s="7" t="s">
        <v>713</v>
      </c>
      <c r="AD552" s="7" t="s">
        <v>714</v>
      </c>
      <c r="AE552" s="7" t="s">
        <v>715</v>
      </c>
      <c r="AF552" s="7" t="s">
        <v>716</v>
      </c>
      <c r="AG552" s="7" t="s">
        <v>2384</v>
      </c>
      <c r="AH552" s="7" t="s">
        <v>2385</v>
      </c>
      <c r="AI552" s="7" t="s">
        <v>2386</v>
      </c>
      <c r="AJ552" s="7" t="s">
        <v>2387</v>
      </c>
      <c r="AK552" s="7" t="s">
        <v>2388</v>
      </c>
      <c r="AL552" s="7" t="s">
        <v>2389</v>
      </c>
      <c r="AM552" s="7" t="s">
        <v>2390</v>
      </c>
      <c r="AN552" s="7" t="s">
        <v>2391</v>
      </c>
      <c r="AO552" s="7" t="s">
        <v>2392</v>
      </c>
      <c r="AP552" s="7" t="s">
        <v>2393</v>
      </c>
      <c r="AQ552" s="7" t="s">
        <v>2394</v>
      </c>
      <c r="AR552" s="7" t="s">
        <v>2395</v>
      </c>
      <c r="AS552" s="7" t="s">
        <v>2396</v>
      </c>
      <c r="AT552" s="7" t="s">
        <v>2397</v>
      </c>
      <c r="AU552" s="7" t="s">
        <v>2398</v>
      </c>
      <c r="AV552" s="7" t="s">
        <v>2399</v>
      </c>
      <c r="AW552" s="7" t="s">
        <v>2400</v>
      </c>
    </row>
    <row r="553" spans="1:85" ht="78" customHeight="1" x14ac:dyDescent="0.4">
      <c r="A553" s="67">
        <v>8721001273614</v>
      </c>
      <c r="B553" t="e">
        <f>_xlfn.XLOOKUP(A553,'Product info'!A:A,'Product info'!C:C,,2)</f>
        <v>#N/A</v>
      </c>
      <c r="C553" s="69" t="s">
        <v>688</v>
      </c>
      <c r="D553" s="7" t="s">
        <v>689</v>
      </c>
      <c r="E553" s="7" t="s">
        <v>690</v>
      </c>
      <c r="F553" s="7" t="s">
        <v>691</v>
      </c>
      <c r="G553" s="7" t="s">
        <v>692</v>
      </c>
      <c r="H553" s="7" t="s">
        <v>693</v>
      </c>
      <c r="I553" s="7" t="s">
        <v>694</v>
      </c>
      <c r="J553" s="7" t="s">
        <v>695</v>
      </c>
      <c r="K553" s="7" t="s">
        <v>696</v>
      </c>
      <c r="L553" s="7" t="s">
        <v>697</v>
      </c>
      <c r="M553" s="7" t="s">
        <v>698</v>
      </c>
      <c r="N553" s="7" t="s">
        <v>699</v>
      </c>
      <c r="O553" s="7" t="s">
        <v>700</v>
      </c>
      <c r="P553" s="7" t="s">
        <v>701</v>
      </c>
      <c r="Q553" s="7" t="s">
        <v>702</v>
      </c>
      <c r="R553" s="7" t="s">
        <v>703</v>
      </c>
      <c r="S553" s="7" t="s">
        <v>704</v>
      </c>
      <c r="T553" s="7" t="s">
        <v>705</v>
      </c>
      <c r="U553" s="7" t="s">
        <v>706</v>
      </c>
      <c r="V553" s="7" t="s">
        <v>707</v>
      </c>
      <c r="W553" s="7" t="s">
        <v>708</v>
      </c>
      <c r="X553" s="7" t="s">
        <v>709</v>
      </c>
      <c r="Y553" s="7" t="s">
        <v>710</v>
      </c>
      <c r="Z553" s="7" t="s">
        <v>711</v>
      </c>
      <c r="AA553" s="7" t="s">
        <v>712</v>
      </c>
      <c r="AB553" s="7" t="s">
        <v>694</v>
      </c>
      <c r="AC553" s="7" t="s">
        <v>713</v>
      </c>
      <c r="AD553" s="7" t="s">
        <v>714</v>
      </c>
      <c r="AE553" s="7" t="s">
        <v>715</v>
      </c>
      <c r="AF553" s="7" t="s">
        <v>716</v>
      </c>
      <c r="AG553" s="7" t="s">
        <v>2365</v>
      </c>
      <c r="AH553" s="7" t="s">
        <v>2366</v>
      </c>
      <c r="AI553" s="7" t="s">
        <v>2367</v>
      </c>
      <c r="AJ553" s="7" t="s">
        <v>2368</v>
      </c>
      <c r="AK553" s="7" t="s">
        <v>2369</v>
      </c>
      <c r="AL553" s="7" t="s">
        <v>2370</v>
      </c>
      <c r="AM553" s="7" t="s">
        <v>2371</v>
      </c>
      <c r="AN553" s="7" t="s">
        <v>2372</v>
      </c>
      <c r="AO553" s="7" t="s">
        <v>2373</v>
      </c>
      <c r="AP553" s="7" t="s">
        <v>2374</v>
      </c>
      <c r="AQ553" s="7" t="s">
        <v>2375</v>
      </c>
      <c r="AR553" s="7" t="s">
        <v>941</v>
      </c>
      <c r="AS553" s="7" t="s">
        <v>942</v>
      </c>
      <c r="AT553" s="7" t="s">
        <v>974</v>
      </c>
      <c r="AU553" s="7" t="s">
        <v>975</v>
      </c>
      <c r="AV553" s="7" t="s">
        <v>2376</v>
      </c>
      <c r="AW553" s="7" t="s">
        <v>2377</v>
      </c>
      <c r="AX553" s="7" t="s">
        <v>2378</v>
      </c>
      <c r="AY553" s="7" t="s">
        <v>2379</v>
      </c>
      <c r="AZ553" s="7" t="s">
        <v>2380</v>
      </c>
      <c r="BA553" s="7" t="s">
        <v>2381</v>
      </c>
      <c r="BB553" s="7" t="s">
        <v>2382</v>
      </c>
      <c r="BC553" s="7" t="s">
        <v>2383</v>
      </c>
    </row>
    <row r="554" spans="1:85" ht="78" customHeight="1" x14ac:dyDescent="0.4">
      <c r="A554" s="67" t="s">
        <v>566</v>
      </c>
      <c r="B554" t="e">
        <f>_xlfn.XLOOKUP(A554,'Product info'!A:A,'Product info'!C:C,,2)</f>
        <v>#N/A</v>
      </c>
      <c r="C554" s="69" t="s">
        <v>688</v>
      </c>
      <c r="D554" s="7" t="s">
        <v>689</v>
      </c>
      <c r="E554" s="7" t="s">
        <v>690</v>
      </c>
      <c r="F554" s="7" t="s">
        <v>691</v>
      </c>
      <c r="G554" s="7" t="s">
        <v>692</v>
      </c>
      <c r="H554" s="7" t="s">
        <v>693</v>
      </c>
      <c r="I554" s="7" t="s">
        <v>694</v>
      </c>
      <c r="J554" s="7" t="s">
        <v>695</v>
      </c>
      <c r="K554" s="7" t="s">
        <v>696</v>
      </c>
      <c r="L554" s="7" t="s">
        <v>697</v>
      </c>
      <c r="M554" s="7" t="s">
        <v>698</v>
      </c>
      <c r="N554" s="7" t="s">
        <v>699</v>
      </c>
      <c r="O554" s="7" t="s">
        <v>700</v>
      </c>
      <c r="P554" s="7" t="s">
        <v>701</v>
      </c>
      <c r="Q554" s="7" t="s">
        <v>702</v>
      </c>
      <c r="R554" s="7" t="s">
        <v>703</v>
      </c>
      <c r="S554" s="7" t="s">
        <v>704</v>
      </c>
      <c r="T554" s="7" t="s">
        <v>705</v>
      </c>
      <c r="U554" s="7" t="s">
        <v>706</v>
      </c>
      <c r="V554" s="7" t="s">
        <v>707</v>
      </c>
      <c r="W554" s="7" t="s">
        <v>708</v>
      </c>
      <c r="X554" s="7" t="s">
        <v>709</v>
      </c>
      <c r="Y554" s="7" t="s">
        <v>710</v>
      </c>
      <c r="Z554" s="7" t="s">
        <v>711</v>
      </c>
      <c r="AA554" s="7" t="s">
        <v>712</v>
      </c>
      <c r="AB554" s="7" t="s">
        <v>694</v>
      </c>
      <c r="AC554" s="7" t="s">
        <v>713</v>
      </c>
      <c r="AD554" s="7" t="s">
        <v>714</v>
      </c>
      <c r="AE554" s="7" t="s">
        <v>715</v>
      </c>
      <c r="AF554" s="7" t="s">
        <v>716</v>
      </c>
      <c r="AG554" s="7" t="s">
        <v>688</v>
      </c>
      <c r="AH554" s="7" t="s">
        <v>689</v>
      </c>
      <c r="AI554" s="7" t="s">
        <v>747</v>
      </c>
      <c r="AJ554" s="7" t="s">
        <v>696</v>
      </c>
      <c r="AK554" s="7" t="s">
        <v>773</v>
      </c>
      <c r="AL554" s="7" t="s">
        <v>940</v>
      </c>
      <c r="AM554" s="7" t="s">
        <v>941</v>
      </c>
      <c r="AN554" s="7" t="s">
        <v>942</v>
      </c>
      <c r="AO554" s="9" t="s">
        <v>2684</v>
      </c>
      <c r="AP554" s="7" t="s">
        <v>2685</v>
      </c>
      <c r="AQ554" s="7" t="s">
        <v>2686</v>
      </c>
      <c r="AR554" s="7" t="s">
        <v>2687</v>
      </c>
      <c r="AS554" s="7" t="s">
        <v>2688</v>
      </c>
      <c r="AT554" s="7" t="s">
        <v>2689</v>
      </c>
      <c r="AU554" s="7" t="s">
        <v>2690</v>
      </c>
      <c r="AV554" s="7" t="s">
        <v>2199</v>
      </c>
    </row>
    <row r="555" spans="1:85" ht="78" customHeight="1" x14ac:dyDescent="0.4">
      <c r="A555" s="67" t="s">
        <v>568</v>
      </c>
      <c r="B555" t="e">
        <f>_xlfn.XLOOKUP(A555,'Product info'!A:A,'Product info'!C:C,,2)</f>
        <v>#N/A</v>
      </c>
      <c r="C555" s="69" t="s">
        <v>688</v>
      </c>
      <c r="D555" s="7" t="s">
        <v>689</v>
      </c>
      <c r="E555" s="7" t="s">
        <v>690</v>
      </c>
      <c r="F555" s="7" t="s">
        <v>691</v>
      </c>
      <c r="G555" s="7" t="s">
        <v>692</v>
      </c>
      <c r="H555" s="7" t="s">
        <v>693</v>
      </c>
      <c r="I555" s="7" t="s">
        <v>694</v>
      </c>
      <c r="J555" s="7" t="s">
        <v>695</v>
      </c>
      <c r="K555" s="7" t="s">
        <v>696</v>
      </c>
      <c r="L555" s="7" t="s">
        <v>697</v>
      </c>
      <c r="M555" s="7" t="s">
        <v>698</v>
      </c>
      <c r="N555" s="7" t="s">
        <v>699</v>
      </c>
      <c r="O555" s="7" t="s">
        <v>700</v>
      </c>
      <c r="P555" s="7" t="s">
        <v>701</v>
      </c>
      <c r="Q555" s="7" t="s">
        <v>702</v>
      </c>
      <c r="R555" s="7" t="s">
        <v>703</v>
      </c>
      <c r="S555" s="7" t="s">
        <v>704</v>
      </c>
      <c r="T555" s="7" t="s">
        <v>705</v>
      </c>
      <c r="U555" s="7" t="s">
        <v>706</v>
      </c>
      <c r="V555" s="7" t="s">
        <v>707</v>
      </c>
      <c r="W555" s="7" t="s">
        <v>708</v>
      </c>
      <c r="X555" s="7" t="s">
        <v>709</v>
      </c>
      <c r="Y555" s="7" t="s">
        <v>710</v>
      </c>
      <c r="Z555" s="7" t="s">
        <v>711</v>
      </c>
      <c r="AA555" s="7" t="s">
        <v>712</v>
      </c>
      <c r="AB555" s="7" t="s">
        <v>694</v>
      </c>
      <c r="AC555" s="7" t="s">
        <v>713</v>
      </c>
      <c r="AD555" s="7" t="s">
        <v>714</v>
      </c>
      <c r="AE555" s="7" t="s">
        <v>715</v>
      </c>
      <c r="AF555" s="7" t="s">
        <v>716</v>
      </c>
      <c r="AG555" s="7" t="s">
        <v>688</v>
      </c>
      <c r="AH555" s="7" t="s">
        <v>689</v>
      </c>
      <c r="AI555" s="7" t="s">
        <v>747</v>
      </c>
      <c r="AJ555" s="7" t="s">
        <v>696</v>
      </c>
      <c r="AK555" s="7" t="s">
        <v>773</v>
      </c>
      <c r="AL555" s="7" t="s">
        <v>940</v>
      </c>
      <c r="AM555" s="7" t="s">
        <v>941</v>
      </c>
      <c r="AN555" s="7" t="s">
        <v>942</v>
      </c>
      <c r="AO555" s="9" t="s">
        <v>567</v>
      </c>
    </row>
    <row r="556" spans="1:85" ht="78" customHeight="1" x14ac:dyDescent="0.4">
      <c r="A556" s="67" t="s">
        <v>569</v>
      </c>
      <c r="B556" t="e">
        <f>_xlfn.XLOOKUP(A556,'Product info'!A:A,'Product info'!C:C,,2)</f>
        <v>#N/A</v>
      </c>
      <c r="C556" s="69" t="s">
        <v>688</v>
      </c>
      <c r="D556" s="7" t="s">
        <v>689</v>
      </c>
      <c r="E556" s="7" t="s">
        <v>690</v>
      </c>
      <c r="F556" s="7" t="s">
        <v>691</v>
      </c>
      <c r="G556" s="7" t="s">
        <v>692</v>
      </c>
      <c r="H556" s="7" t="s">
        <v>693</v>
      </c>
      <c r="I556" s="7" t="s">
        <v>694</v>
      </c>
      <c r="J556" s="7" t="s">
        <v>695</v>
      </c>
      <c r="K556" s="7" t="s">
        <v>696</v>
      </c>
      <c r="L556" s="7" t="s">
        <v>697</v>
      </c>
      <c r="M556" s="7" t="s">
        <v>698</v>
      </c>
      <c r="N556" s="7" t="s">
        <v>699</v>
      </c>
      <c r="O556" s="7" t="s">
        <v>700</v>
      </c>
      <c r="P556" s="7" t="s">
        <v>701</v>
      </c>
      <c r="Q556" s="7" t="s">
        <v>702</v>
      </c>
      <c r="R556" s="7" t="s">
        <v>703</v>
      </c>
      <c r="S556" s="7" t="s">
        <v>704</v>
      </c>
      <c r="T556" s="7" t="s">
        <v>705</v>
      </c>
      <c r="U556" s="7" t="s">
        <v>706</v>
      </c>
      <c r="V556" s="7" t="s">
        <v>707</v>
      </c>
      <c r="W556" s="7" t="s">
        <v>708</v>
      </c>
      <c r="X556" s="7" t="s">
        <v>709</v>
      </c>
      <c r="Y556" s="7" t="s">
        <v>710</v>
      </c>
      <c r="Z556" s="7" t="s">
        <v>711</v>
      </c>
      <c r="AA556" s="7" t="s">
        <v>712</v>
      </c>
      <c r="AB556" s="7" t="s">
        <v>694</v>
      </c>
      <c r="AC556" s="7" t="s">
        <v>713</v>
      </c>
      <c r="AD556" s="7" t="s">
        <v>714</v>
      </c>
      <c r="AE556" s="7" t="s">
        <v>715</v>
      </c>
      <c r="AF556" s="7" t="s">
        <v>716</v>
      </c>
      <c r="AG556" s="7" t="s">
        <v>688</v>
      </c>
      <c r="AH556" s="7" t="s">
        <v>689</v>
      </c>
      <c r="AI556" s="7" t="s">
        <v>747</v>
      </c>
      <c r="AJ556" s="7" t="s">
        <v>696</v>
      </c>
      <c r="AK556" s="7" t="s">
        <v>773</v>
      </c>
      <c r="AL556" s="7" t="s">
        <v>940</v>
      </c>
      <c r="AM556" s="7" t="s">
        <v>941</v>
      </c>
      <c r="AN556" s="7" t="s">
        <v>942</v>
      </c>
      <c r="AO556" s="7" t="s">
        <v>2691</v>
      </c>
      <c r="AP556" s="7" t="s">
        <v>2692</v>
      </c>
      <c r="AQ556" s="7" t="s">
        <v>2693</v>
      </c>
      <c r="AR556" s="7" t="s">
        <v>2694</v>
      </c>
      <c r="AS556" s="7" t="s">
        <v>2695</v>
      </c>
      <c r="AT556" s="7" t="s">
        <v>2696</v>
      </c>
      <c r="AU556" s="7" t="s">
        <v>2697</v>
      </c>
      <c r="AV556" s="7" t="s">
        <v>2698</v>
      </c>
      <c r="AW556" s="7" t="s">
        <v>2699</v>
      </c>
    </row>
    <row r="557" spans="1:85" ht="78" customHeight="1" x14ac:dyDescent="0.4">
      <c r="A557" s="67" t="s">
        <v>570</v>
      </c>
      <c r="B557" t="e">
        <f>_xlfn.XLOOKUP(A557,'Product info'!A:A,'Product info'!C:C,,2)</f>
        <v>#N/A</v>
      </c>
      <c r="C557" s="69" t="s">
        <v>688</v>
      </c>
      <c r="D557" s="7" t="s">
        <v>689</v>
      </c>
      <c r="E557" s="7" t="s">
        <v>690</v>
      </c>
      <c r="F557" s="7" t="s">
        <v>691</v>
      </c>
      <c r="G557" s="7" t="s">
        <v>692</v>
      </c>
      <c r="H557" s="7" t="s">
        <v>693</v>
      </c>
      <c r="I557" s="7" t="s">
        <v>694</v>
      </c>
      <c r="J557" s="7" t="s">
        <v>695</v>
      </c>
      <c r="K557" s="7" t="s">
        <v>696</v>
      </c>
      <c r="L557" s="7" t="s">
        <v>697</v>
      </c>
      <c r="M557" s="7" t="s">
        <v>698</v>
      </c>
      <c r="N557" s="7" t="s">
        <v>699</v>
      </c>
      <c r="O557" s="7" t="s">
        <v>700</v>
      </c>
      <c r="P557" s="7" t="s">
        <v>701</v>
      </c>
      <c r="Q557" s="7" t="s">
        <v>702</v>
      </c>
      <c r="R557" s="7" t="s">
        <v>703</v>
      </c>
      <c r="S557" s="7" t="s">
        <v>704</v>
      </c>
      <c r="T557" s="7" t="s">
        <v>705</v>
      </c>
      <c r="U557" s="7" t="s">
        <v>706</v>
      </c>
      <c r="V557" s="7" t="s">
        <v>707</v>
      </c>
      <c r="W557" s="7" t="s">
        <v>708</v>
      </c>
      <c r="X557" s="7" t="s">
        <v>709</v>
      </c>
      <c r="Y557" s="7" t="s">
        <v>710</v>
      </c>
      <c r="Z557" s="7" t="s">
        <v>711</v>
      </c>
      <c r="AA557" s="7" t="s">
        <v>712</v>
      </c>
      <c r="AB557" s="7" t="s">
        <v>694</v>
      </c>
      <c r="AC557" s="7" t="s">
        <v>713</v>
      </c>
      <c r="AD557" s="7" t="s">
        <v>714</v>
      </c>
      <c r="AE557" s="7" t="s">
        <v>715</v>
      </c>
      <c r="AF557" s="7" t="s">
        <v>716</v>
      </c>
      <c r="AG557" s="7" t="s">
        <v>688</v>
      </c>
      <c r="AH557" s="7" t="s">
        <v>689</v>
      </c>
      <c r="AI557" s="7" t="s">
        <v>747</v>
      </c>
      <c r="AJ557" s="7" t="s">
        <v>696</v>
      </c>
      <c r="AK557" s="7" t="s">
        <v>773</v>
      </c>
      <c r="AL557" s="7" t="s">
        <v>940</v>
      </c>
      <c r="AM557" s="7" t="s">
        <v>941</v>
      </c>
      <c r="AN557" s="7" t="s">
        <v>942</v>
      </c>
      <c r="AO557" s="9" t="s">
        <v>2700</v>
      </c>
      <c r="AP557" s="7" t="s">
        <v>2701</v>
      </c>
      <c r="AQ557" s="7" t="s">
        <v>2702</v>
      </c>
      <c r="AR557" s="7" t="s">
        <v>2703</v>
      </c>
      <c r="AS557" s="7" t="s">
        <v>2704</v>
      </c>
      <c r="AT557" s="7" t="s">
        <v>2705</v>
      </c>
      <c r="AU557" s="7" t="s">
        <v>2706</v>
      </c>
      <c r="AV557" s="7" t="s">
        <v>2707</v>
      </c>
      <c r="AW557" s="7" t="s">
        <v>2708</v>
      </c>
      <c r="AX557" s="7" t="s">
        <v>2709</v>
      </c>
      <c r="AY557" s="7" t="s">
        <v>2710</v>
      </c>
    </row>
    <row r="558" spans="1:85" ht="78" customHeight="1" x14ac:dyDescent="0.4">
      <c r="A558" s="67" t="s">
        <v>571</v>
      </c>
      <c r="B558" t="e">
        <f>_xlfn.XLOOKUP(A558,'Product info'!A:A,'Product info'!C:C,,2)</f>
        <v>#N/A</v>
      </c>
      <c r="C558" s="71" t="s">
        <v>688</v>
      </c>
      <c r="D558" s="60" t="s">
        <v>689</v>
      </c>
      <c r="E558" s="60" t="s">
        <v>690</v>
      </c>
      <c r="F558" s="60" t="s">
        <v>691</v>
      </c>
      <c r="G558" s="60" t="s">
        <v>692</v>
      </c>
      <c r="H558" s="60" t="s">
        <v>693</v>
      </c>
      <c r="I558" s="60" t="s">
        <v>694</v>
      </c>
      <c r="J558" s="60" t="s">
        <v>695</v>
      </c>
      <c r="K558" s="60" t="s">
        <v>1142</v>
      </c>
      <c r="L558" s="60" t="s">
        <v>697</v>
      </c>
      <c r="M558" s="60" t="s">
        <v>698</v>
      </c>
      <c r="N558" s="60" t="s">
        <v>699</v>
      </c>
      <c r="O558" s="60" t="s">
        <v>700</v>
      </c>
      <c r="P558" s="60" t="s">
        <v>701</v>
      </c>
      <c r="Q558" s="60" t="s">
        <v>702</v>
      </c>
      <c r="R558" s="60" t="s">
        <v>703</v>
      </c>
      <c r="S558" s="60" t="s">
        <v>704</v>
      </c>
      <c r="T558" s="60" t="s">
        <v>705</v>
      </c>
      <c r="U558" s="60" t="s">
        <v>706</v>
      </c>
      <c r="V558" s="60" t="s">
        <v>707</v>
      </c>
      <c r="W558" s="60" t="s">
        <v>708</v>
      </c>
      <c r="X558" s="60" t="s">
        <v>709</v>
      </c>
      <c r="Y558" s="60" t="s">
        <v>710</v>
      </c>
      <c r="Z558" s="60" t="s">
        <v>711</v>
      </c>
      <c r="AA558" s="60" t="s">
        <v>712</v>
      </c>
      <c r="AB558" s="60" t="s">
        <v>694</v>
      </c>
      <c r="AC558" s="60" t="s">
        <v>713</v>
      </c>
      <c r="AD558" s="60" t="s">
        <v>714</v>
      </c>
      <c r="AE558" s="60" t="s">
        <v>715</v>
      </c>
      <c r="AF558" s="60" t="s">
        <v>716</v>
      </c>
      <c r="AG558" s="60" t="s">
        <v>2431</v>
      </c>
      <c r="AH558" s="60" t="s">
        <v>2432</v>
      </c>
      <c r="AI558" s="60" t="s">
        <v>2433</v>
      </c>
      <c r="AJ558" s="60" t="s">
        <v>978</v>
      </c>
      <c r="AK558" s="60" t="s">
        <v>2434</v>
      </c>
      <c r="AL558" s="60" t="s">
        <v>2435</v>
      </c>
      <c r="AM558" s="60" t="s">
        <v>2436</v>
      </c>
      <c r="AN558" s="60" t="s">
        <v>2437</v>
      </c>
      <c r="AO558" s="60" t="s">
        <v>2438</v>
      </c>
      <c r="AP558" s="60" t="s">
        <v>2439</v>
      </c>
      <c r="AQ558" s="60" t="s">
        <v>2440</v>
      </c>
      <c r="AR558" s="60" t="s">
        <v>2441</v>
      </c>
      <c r="AS558" s="60" t="s">
        <v>2442</v>
      </c>
      <c r="AT558" s="60" t="s">
        <v>2441</v>
      </c>
      <c r="AU558" s="60" t="s">
        <v>2443</v>
      </c>
      <c r="AV558" s="60" t="s">
        <v>2444</v>
      </c>
      <c r="AW558" s="60" t="s">
        <v>2445</v>
      </c>
      <c r="AX558" s="60" t="s">
        <v>2446</v>
      </c>
      <c r="AY558" s="60" t="s">
        <v>2447</v>
      </c>
      <c r="AZ558" s="7" t="s">
        <v>2711</v>
      </c>
    </row>
    <row r="559" spans="1:85" ht="78" customHeight="1" x14ac:dyDescent="0.4">
      <c r="A559" s="67" t="s">
        <v>572</v>
      </c>
      <c r="B559" t="e">
        <f>_xlfn.XLOOKUP(A559,'Product info'!A:A,'Product info'!C:C,,2)</f>
        <v>#N/A</v>
      </c>
      <c r="C559" s="69" t="s">
        <v>688</v>
      </c>
      <c r="D559" s="7" t="s">
        <v>689</v>
      </c>
      <c r="E559" s="7" t="s">
        <v>690</v>
      </c>
      <c r="F559" s="7" t="s">
        <v>691</v>
      </c>
      <c r="G559" s="7" t="s">
        <v>692</v>
      </c>
      <c r="H559" s="7" t="s">
        <v>693</v>
      </c>
      <c r="I559" s="7" t="s">
        <v>694</v>
      </c>
      <c r="J559" s="7" t="s">
        <v>695</v>
      </c>
      <c r="K559" s="7" t="s">
        <v>696</v>
      </c>
      <c r="L559" s="7" t="s">
        <v>697</v>
      </c>
      <c r="M559" s="7" t="s">
        <v>698</v>
      </c>
      <c r="N559" s="7" t="s">
        <v>699</v>
      </c>
      <c r="O559" s="7" t="s">
        <v>700</v>
      </c>
      <c r="P559" s="7" t="s">
        <v>701</v>
      </c>
      <c r="Q559" s="7" t="s">
        <v>702</v>
      </c>
      <c r="R559" s="7" t="s">
        <v>703</v>
      </c>
      <c r="S559" s="7" t="s">
        <v>704</v>
      </c>
      <c r="T559" s="7" t="s">
        <v>705</v>
      </c>
      <c r="U559" s="7" t="s">
        <v>706</v>
      </c>
      <c r="V559" s="7" t="s">
        <v>707</v>
      </c>
      <c r="W559" s="7" t="s">
        <v>708</v>
      </c>
      <c r="X559" s="7" t="s">
        <v>709</v>
      </c>
      <c r="Y559" s="7" t="s">
        <v>710</v>
      </c>
      <c r="Z559" s="7" t="s">
        <v>711</v>
      </c>
      <c r="AA559" s="7" t="s">
        <v>712</v>
      </c>
      <c r="AB559" s="7" t="s">
        <v>694</v>
      </c>
      <c r="AC559" s="7" t="s">
        <v>713</v>
      </c>
      <c r="AD559" s="7" t="s">
        <v>714</v>
      </c>
      <c r="AE559" s="7" t="s">
        <v>715</v>
      </c>
      <c r="AF559" s="7" t="s">
        <v>716</v>
      </c>
      <c r="AG559" s="7" t="s">
        <v>688</v>
      </c>
      <c r="AH559" s="7" t="s">
        <v>689</v>
      </c>
      <c r="AI559" s="7" t="s">
        <v>747</v>
      </c>
      <c r="AJ559" s="7" t="s">
        <v>696</v>
      </c>
      <c r="AK559" s="7" t="s">
        <v>773</v>
      </c>
      <c r="AL559" s="7" t="s">
        <v>940</v>
      </c>
      <c r="AM559" s="7" t="s">
        <v>941</v>
      </c>
      <c r="AN559" s="7" t="s">
        <v>942</v>
      </c>
      <c r="AO559" s="9" t="s">
        <v>2700</v>
      </c>
      <c r="AP559" s="7" t="s">
        <v>2712</v>
      </c>
      <c r="AQ559" s="7" t="s">
        <v>2713</v>
      </c>
      <c r="AR559" s="7" t="s">
        <v>2714</v>
      </c>
      <c r="AS559" s="7" t="s">
        <v>2715</v>
      </c>
      <c r="AT559" s="7" t="s">
        <v>2716</v>
      </c>
      <c r="AU559" s="7" t="s">
        <v>2717</v>
      </c>
      <c r="AV559" s="7" t="s">
        <v>2718</v>
      </c>
      <c r="AW559" s="7" t="s">
        <v>2719</v>
      </c>
      <c r="AX559" s="7" t="s">
        <v>2720</v>
      </c>
      <c r="AY559" s="7" t="s">
        <v>2721</v>
      </c>
      <c r="AZ559" s="7" t="s">
        <v>2722</v>
      </c>
      <c r="BA559" s="7" t="s">
        <v>2723</v>
      </c>
    </row>
    <row r="560" spans="1:85" ht="78" customHeight="1" x14ac:dyDescent="0.4">
      <c r="A560" s="67" t="s">
        <v>573</v>
      </c>
      <c r="B560" t="e">
        <f>_xlfn.XLOOKUP(A560,'Product info'!A:A,'Product info'!C:C,,2)</f>
        <v>#N/A</v>
      </c>
      <c r="C560" s="69" t="s">
        <v>688</v>
      </c>
      <c r="D560" s="7" t="s">
        <v>689</v>
      </c>
      <c r="E560" s="7" t="s">
        <v>690</v>
      </c>
      <c r="F560" s="7" t="s">
        <v>691</v>
      </c>
      <c r="G560" s="7" t="s">
        <v>692</v>
      </c>
      <c r="H560" s="7" t="s">
        <v>693</v>
      </c>
      <c r="I560" s="7" t="s">
        <v>694</v>
      </c>
      <c r="J560" s="7" t="s">
        <v>695</v>
      </c>
      <c r="K560" s="7" t="s">
        <v>696</v>
      </c>
      <c r="L560" s="7" t="s">
        <v>697</v>
      </c>
      <c r="M560" s="7" t="s">
        <v>698</v>
      </c>
      <c r="N560" s="7" t="s">
        <v>699</v>
      </c>
      <c r="O560" s="7" t="s">
        <v>700</v>
      </c>
      <c r="P560" s="7" t="s">
        <v>701</v>
      </c>
      <c r="Q560" s="7" t="s">
        <v>702</v>
      </c>
      <c r="R560" s="7" t="s">
        <v>703</v>
      </c>
      <c r="S560" s="7" t="s">
        <v>704</v>
      </c>
      <c r="T560" s="7" t="s">
        <v>705</v>
      </c>
      <c r="U560" s="7" t="s">
        <v>706</v>
      </c>
      <c r="V560" s="7" t="s">
        <v>707</v>
      </c>
      <c r="W560" s="7" t="s">
        <v>708</v>
      </c>
      <c r="X560" s="7" t="s">
        <v>709</v>
      </c>
      <c r="Y560" s="7" t="s">
        <v>710</v>
      </c>
      <c r="Z560" s="7" t="s">
        <v>711</v>
      </c>
      <c r="AA560" s="7" t="s">
        <v>712</v>
      </c>
      <c r="AB560" s="7" t="s">
        <v>694</v>
      </c>
      <c r="AC560" s="7" t="s">
        <v>713</v>
      </c>
      <c r="AD560" s="7" t="s">
        <v>714</v>
      </c>
      <c r="AE560" s="7" t="s">
        <v>715</v>
      </c>
      <c r="AF560" s="7" t="s">
        <v>716</v>
      </c>
      <c r="AG560" s="7" t="s">
        <v>688</v>
      </c>
      <c r="AH560" s="7" t="s">
        <v>689</v>
      </c>
      <c r="AI560" s="7" t="s">
        <v>747</v>
      </c>
      <c r="AJ560" s="7" t="s">
        <v>696</v>
      </c>
      <c r="AK560" s="7" t="s">
        <v>773</v>
      </c>
      <c r="AL560" s="7" t="s">
        <v>940</v>
      </c>
      <c r="AM560" s="7" t="s">
        <v>941</v>
      </c>
      <c r="AN560" s="7" t="s">
        <v>942</v>
      </c>
      <c r="AO560" s="60" t="s">
        <v>688</v>
      </c>
      <c r="AP560" s="60" t="s">
        <v>689</v>
      </c>
      <c r="AQ560" s="60" t="s">
        <v>690</v>
      </c>
      <c r="AR560" s="60" t="s">
        <v>691</v>
      </c>
      <c r="AS560" s="60" t="s">
        <v>692</v>
      </c>
      <c r="AT560" s="60" t="s">
        <v>693</v>
      </c>
      <c r="AU560" s="60" t="s">
        <v>694</v>
      </c>
      <c r="AV560" s="60" t="s">
        <v>695</v>
      </c>
      <c r="AW560" s="60" t="s">
        <v>1142</v>
      </c>
      <c r="AX560" s="60" t="s">
        <v>697</v>
      </c>
      <c r="AY560" s="60" t="s">
        <v>698</v>
      </c>
      <c r="AZ560" s="60" t="s">
        <v>699</v>
      </c>
      <c r="BA560" s="60" t="s">
        <v>700</v>
      </c>
      <c r="BB560" s="60" t="s">
        <v>701</v>
      </c>
      <c r="BC560" s="60" t="s">
        <v>702</v>
      </c>
      <c r="BD560" s="60" t="s">
        <v>703</v>
      </c>
      <c r="BE560" s="60" t="s">
        <v>704</v>
      </c>
      <c r="BF560" s="60" t="s">
        <v>705</v>
      </c>
      <c r="BG560" s="60" t="s">
        <v>706</v>
      </c>
      <c r="BH560" s="60" t="s">
        <v>707</v>
      </c>
      <c r="BI560" s="60" t="s">
        <v>708</v>
      </c>
      <c r="BJ560" s="60" t="s">
        <v>709</v>
      </c>
      <c r="BK560" s="60" t="s">
        <v>710</v>
      </c>
      <c r="BL560" s="60" t="s">
        <v>711</v>
      </c>
      <c r="BM560" s="60" t="s">
        <v>712</v>
      </c>
      <c r="BN560" s="60" t="s">
        <v>694</v>
      </c>
      <c r="BO560" s="60" t="s">
        <v>713</v>
      </c>
      <c r="BP560" s="60" t="s">
        <v>714</v>
      </c>
      <c r="BQ560" s="60" t="s">
        <v>715</v>
      </c>
      <c r="BR560" s="60" t="s">
        <v>716</v>
      </c>
      <c r="BS560" s="60" t="s">
        <v>2059</v>
      </c>
      <c r="BT560" s="60" t="s">
        <v>2060</v>
      </c>
      <c r="BU560" s="60" t="s">
        <v>2061</v>
      </c>
      <c r="BV560" s="60" t="s">
        <v>2062</v>
      </c>
      <c r="BW560" s="60" t="s">
        <v>2063</v>
      </c>
      <c r="BX560" s="60" t="s">
        <v>2064</v>
      </c>
      <c r="BY560" s="60" t="s">
        <v>2065</v>
      </c>
      <c r="BZ560" s="60" t="s">
        <v>2066</v>
      </c>
      <c r="CA560" s="60" t="s">
        <v>714</v>
      </c>
      <c r="CB560" s="60" t="s">
        <v>715</v>
      </c>
      <c r="CC560" s="60" t="s">
        <v>716</v>
      </c>
      <c r="CD560" s="60" t="s">
        <v>2067</v>
      </c>
      <c r="CE560" s="60" t="s">
        <v>2068</v>
      </c>
      <c r="CF560" s="60" t="s">
        <v>2069</v>
      </c>
      <c r="CG560" s="60" t="s">
        <v>2656</v>
      </c>
    </row>
    <row r="561" spans="1:85" ht="78" customHeight="1" x14ac:dyDescent="0.4">
      <c r="A561" s="67" t="s">
        <v>574</v>
      </c>
      <c r="B561" t="e">
        <f>_xlfn.XLOOKUP(A561,'Product info'!A:A,'Product info'!C:C,,2)</f>
        <v>#N/A</v>
      </c>
      <c r="C561" s="69" t="s">
        <v>688</v>
      </c>
      <c r="D561" s="7" t="s">
        <v>689</v>
      </c>
      <c r="E561" s="7" t="s">
        <v>690</v>
      </c>
      <c r="F561" s="7" t="s">
        <v>691</v>
      </c>
      <c r="G561" s="7" t="s">
        <v>692</v>
      </c>
      <c r="H561" s="7" t="s">
        <v>693</v>
      </c>
      <c r="I561" s="7" t="s">
        <v>694</v>
      </c>
      <c r="J561" s="7" t="s">
        <v>695</v>
      </c>
      <c r="K561" s="7" t="s">
        <v>696</v>
      </c>
      <c r="L561" s="7" t="s">
        <v>697</v>
      </c>
      <c r="M561" s="7" t="s">
        <v>698</v>
      </c>
      <c r="N561" s="7" t="s">
        <v>699</v>
      </c>
      <c r="O561" s="7" t="s">
        <v>700</v>
      </c>
      <c r="P561" s="7" t="s">
        <v>701</v>
      </c>
      <c r="Q561" s="7" t="s">
        <v>702</v>
      </c>
      <c r="R561" s="7" t="s">
        <v>703</v>
      </c>
      <c r="S561" s="7" t="s">
        <v>704</v>
      </c>
      <c r="T561" s="7" t="s">
        <v>705</v>
      </c>
      <c r="U561" s="7" t="s">
        <v>706</v>
      </c>
      <c r="V561" s="7" t="s">
        <v>707</v>
      </c>
      <c r="W561" s="7" t="s">
        <v>708</v>
      </c>
      <c r="X561" s="7" t="s">
        <v>709</v>
      </c>
      <c r="Y561" s="7" t="s">
        <v>710</v>
      </c>
      <c r="Z561" s="7" t="s">
        <v>711</v>
      </c>
      <c r="AA561" s="7" t="s">
        <v>712</v>
      </c>
      <c r="AB561" s="7" t="s">
        <v>694</v>
      </c>
      <c r="AC561" s="7" t="s">
        <v>713</v>
      </c>
      <c r="AD561" s="7" t="s">
        <v>714</v>
      </c>
      <c r="AE561" s="7" t="s">
        <v>715</v>
      </c>
      <c r="AF561" s="7" t="s">
        <v>716</v>
      </c>
      <c r="AG561" s="7" t="s">
        <v>688</v>
      </c>
      <c r="AH561" s="7" t="s">
        <v>689</v>
      </c>
      <c r="AI561" s="7" t="s">
        <v>747</v>
      </c>
      <c r="AJ561" s="7" t="s">
        <v>696</v>
      </c>
      <c r="AK561" s="7" t="s">
        <v>773</v>
      </c>
      <c r="AL561" s="7" t="s">
        <v>940</v>
      </c>
      <c r="AM561" s="7" t="s">
        <v>941</v>
      </c>
      <c r="AN561" s="7" t="s">
        <v>942</v>
      </c>
      <c r="AO561" s="60" t="s">
        <v>688</v>
      </c>
      <c r="AP561" s="60" t="s">
        <v>689</v>
      </c>
      <c r="AQ561" s="60" t="s">
        <v>690</v>
      </c>
      <c r="AR561" s="60" t="s">
        <v>691</v>
      </c>
      <c r="AS561" s="60" t="s">
        <v>692</v>
      </c>
      <c r="AT561" s="60" t="s">
        <v>693</v>
      </c>
      <c r="AU561" s="60" t="s">
        <v>694</v>
      </c>
      <c r="AV561" s="60" t="s">
        <v>695</v>
      </c>
      <c r="AW561" s="60" t="s">
        <v>1142</v>
      </c>
      <c r="AX561" s="60" t="s">
        <v>697</v>
      </c>
      <c r="AY561" s="60" t="s">
        <v>698</v>
      </c>
      <c r="AZ561" s="60" t="s">
        <v>699</v>
      </c>
      <c r="BA561" s="60" t="s">
        <v>700</v>
      </c>
      <c r="BB561" s="60" t="s">
        <v>701</v>
      </c>
      <c r="BC561" s="60" t="s">
        <v>702</v>
      </c>
      <c r="BD561" s="60" t="s">
        <v>703</v>
      </c>
      <c r="BE561" s="60" t="s">
        <v>704</v>
      </c>
      <c r="BF561" s="60" t="s">
        <v>705</v>
      </c>
      <c r="BG561" s="60" t="s">
        <v>706</v>
      </c>
      <c r="BH561" s="60" t="s">
        <v>707</v>
      </c>
      <c r="BI561" s="60" t="s">
        <v>708</v>
      </c>
      <c r="BJ561" s="60" t="s">
        <v>709</v>
      </c>
      <c r="BK561" s="60" t="s">
        <v>710</v>
      </c>
      <c r="BL561" s="60" t="s">
        <v>711</v>
      </c>
      <c r="BM561" s="60" t="s">
        <v>712</v>
      </c>
      <c r="BN561" s="60" t="s">
        <v>694</v>
      </c>
      <c r="BO561" s="60" t="s">
        <v>713</v>
      </c>
      <c r="BP561" s="60" t="s">
        <v>714</v>
      </c>
      <c r="BQ561" s="60" t="s">
        <v>715</v>
      </c>
      <c r="BR561" s="60" t="s">
        <v>716</v>
      </c>
      <c r="BS561" s="60" t="s">
        <v>2059</v>
      </c>
      <c r="BT561" s="60" t="s">
        <v>2060</v>
      </c>
      <c r="BU561" s="60" t="s">
        <v>2061</v>
      </c>
      <c r="BV561" s="60" t="s">
        <v>2062</v>
      </c>
      <c r="BW561" s="60" t="s">
        <v>2063</v>
      </c>
      <c r="BX561" s="60" t="s">
        <v>2064</v>
      </c>
      <c r="BY561" s="60" t="s">
        <v>2065</v>
      </c>
      <c r="BZ561" s="60" t="s">
        <v>2066</v>
      </c>
      <c r="CA561" s="60" t="s">
        <v>714</v>
      </c>
      <c r="CB561" s="60" t="s">
        <v>715</v>
      </c>
      <c r="CC561" s="60" t="s">
        <v>716</v>
      </c>
      <c r="CD561" s="60" t="s">
        <v>2067</v>
      </c>
      <c r="CE561" s="60" t="s">
        <v>2068</v>
      </c>
      <c r="CF561" s="60" t="s">
        <v>2069</v>
      </c>
      <c r="CG561" s="60" t="s">
        <v>2656</v>
      </c>
    </row>
    <row r="562" spans="1:85" ht="78" customHeight="1" x14ac:dyDescent="0.4">
      <c r="A562" s="67" t="s">
        <v>575</v>
      </c>
      <c r="B562" t="e">
        <f>_xlfn.XLOOKUP(A562,'Product info'!A:A,'Product info'!C:C,,2)</f>
        <v>#N/A</v>
      </c>
      <c r="C562" s="69" t="s">
        <v>688</v>
      </c>
      <c r="D562" s="7" t="s">
        <v>689</v>
      </c>
      <c r="E562" s="7" t="s">
        <v>690</v>
      </c>
      <c r="F562" s="7" t="s">
        <v>691</v>
      </c>
      <c r="G562" s="7" t="s">
        <v>692</v>
      </c>
      <c r="H562" s="7" t="s">
        <v>693</v>
      </c>
      <c r="I562" s="7" t="s">
        <v>694</v>
      </c>
      <c r="J562" s="7" t="s">
        <v>695</v>
      </c>
      <c r="K562" s="7" t="s">
        <v>696</v>
      </c>
      <c r="L562" s="7" t="s">
        <v>697</v>
      </c>
      <c r="M562" s="7" t="s">
        <v>698</v>
      </c>
      <c r="N562" s="7" t="s">
        <v>699</v>
      </c>
      <c r="O562" s="7" t="s">
        <v>700</v>
      </c>
      <c r="P562" s="7" t="s">
        <v>701</v>
      </c>
      <c r="Q562" s="7" t="s">
        <v>702</v>
      </c>
      <c r="R562" s="7" t="s">
        <v>703</v>
      </c>
      <c r="S562" s="7" t="s">
        <v>704</v>
      </c>
      <c r="T562" s="7" t="s">
        <v>705</v>
      </c>
      <c r="U562" s="7" t="s">
        <v>706</v>
      </c>
      <c r="V562" s="7" t="s">
        <v>707</v>
      </c>
      <c r="W562" s="7" t="s">
        <v>708</v>
      </c>
      <c r="X562" s="7" t="s">
        <v>709</v>
      </c>
      <c r="Y562" s="7" t="s">
        <v>710</v>
      </c>
      <c r="Z562" s="7" t="s">
        <v>711</v>
      </c>
      <c r="AA562" s="7" t="s">
        <v>712</v>
      </c>
      <c r="AB562" s="7" t="s">
        <v>694</v>
      </c>
      <c r="AC562" s="7" t="s">
        <v>713</v>
      </c>
      <c r="AD562" s="7" t="s">
        <v>714</v>
      </c>
      <c r="AE562" s="7" t="s">
        <v>715</v>
      </c>
      <c r="AF562" s="7" t="s">
        <v>716</v>
      </c>
      <c r="AG562" s="7" t="s">
        <v>688</v>
      </c>
      <c r="AH562" s="7" t="s">
        <v>689</v>
      </c>
      <c r="AI562" s="7" t="s">
        <v>747</v>
      </c>
      <c r="AJ562" s="7" t="s">
        <v>696</v>
      </c>
      <c r="AK562" s="7" t="s">
        <v>773</v>
      </c>
      <c r="AL562" s="7" t="s">
        <v>940</v>
      </c>
      <c r="AM562" s="7" t="s">
        <v>941</v>
      </c>
      <c r="AN562" s="7" t="s">
        <v>942</v>
      </c>
      <c r="AO562" s="60" t="s">
        <v>688</v>
      </c>
      <c r="AP562" s="60" t="s">
        <v>689</v>
      </c>
      <c r="AQ562" s="60" t="s">
        <v>690</v>
      </c>
      <c r="AR562" s="60" t="s">
        <v>691</v>
      </c>
      <c r="AS562" s="60" t="s">
        <v>692</v>
      </c>
      <c r="AT562" s="60" t="s">
        <v>693</v>
      </c>
      <c r="AU562" s="60" t="s">
        <v>694</v>
      </c>
      <c r="AV562" s="60" t="s">
        <v>695</v>
      </c>
      <c r="AW562" s="60" t="s">
        <v>1142</v>
      </c>
      <c r="AX562" s="60" t="s">
        <v>697</v>
      </c>
      <c r="AY562" s="60" t="s">
        <v>698</v>
      </c>
      <c r="AZ562" s="60" t="s">
        <v>699</v>
      </c>
      <c r="BA562" s="60" t="s">
        <v>700</v>
      </c>
      <c r="BB562" s="60" t="s">
        <v>701</v>
      </c>
      <c r="BC562" s="60" t="s">
        <v>702</v>
      </c>
      <c r="BD562" s="60" t="s">
        <v>703</v>
      </c>
      <c r="BE562" s="60" t="s">
        <v>704</v>
      </c>
      <c r="BF562" s="60" t="s">
        <v>705</v>
      </c>
      <c r="BG562" s="60" t="s">
        <v>706</v>
      </c>
      <c r="BH562" s="60" t="s">
        <v>707</v>
      </c>
      <c r="BI562" s="60" t="s">
        <v>708</v>
      </c>
      <c r="BJ562" s="60" t="s">
        <v>709</v>
      </c>
      <c r="BK562" s="60" t="s">
        <v>710</v>
      </c>
      <c r="BL562" s="60" t="s">
        <v>711</v>
      </c>
      <c r="BM562" s="60" t="s">
        <v>712</v>
      </c>
      <c r="BN562" s="60" t="s">
        <v>694</v>
      </c>
      <c r="BO562" s="60" t="s">
        <v>713</v>
      </c>
      <c r="BP562" s="60" t="s">
        <v>714</v>
      </c>
      <c r="BQ562" s="60" t="s">
        <v>715</v>
      </c>
      <c r="BR562" s="60" t="s">
        <v>716</v>
      </c>
      <c r="BS562" s="60" t="s">
        <v>2059</v>
      </c>
      <c r="BT562" s="60" t="s">
        <v>2060</v>
      </c>
      <c r="BU562" s="60" t="s">
        <v>2061</v>
      </c>
      <c r="BV562" s="60" t="s">
        <v>2062</v>
      </c>
      <c r="BW562" s="60" t="s">
        <v>2063</v>
      </c>
      <c r="BX562" s="60" t="s">
        <v>2064</v>
      </c>
      <c r="BY562" s="60" t="s">
        <v>2065</v>
      </c>
      <c r="BZ562" s="60" t="s">
        <v>2066</v>
      </c>
      <c r="CA562" s="60" t="s">
        <v>714</v>
      </c>
      <c r="CB562" s="60" t="s">
        <v>715</v>
      </c>
      <c r="CC562" s="60" t="s">
        <v>716</v>
      </c>
      <c r="CD562" s="60" t="s">
        <v>2067</v>
      </c>
      <c r="CE562" s="60" t="s">
        <v>2068</v>
      </c>
      <c r="CF562" s="60" t="s">
        <v>2069</v>
      </c>
      <c r="CG562" s="60" t="s">
        <v>2656</v>
      </c>
    </row>
    <row r="563" spans="1:85" ht="78" customHeight="1" x14ac:dyDescent="0.4">
      <c r="A563" s="67" t="s">
        <v>576</v>
      </c>
      <c r="B563" t="e">
        <f>_xlfn.XLOOKUP(A563,'Product info'!A:A,'Product info'!C:C,,2)</f>
        <v>#N/A</v>
      </c>
      <c r="C563" s="69" t="s">
        <v>688</v>
      </c>
      <c r="D563" s="7" t="s">
        <v>689</v>
      </c>
      <c r="E563" s="7" t="s">
        <v>690</v>
      </c>
      <c r="F563" s="7" t="s">
        <v>691</v>
      </c>
      <c r="G563" s="7" t="s">
        <v>692</v>
      </c>
      <c r="H563" s="7" t="s">
        <v>693</v>
      </c>
      <c r="I563" s="7" t="s">
        <v>694</v>
      </c>
      <c r="J563" s="7" t="s">
        <v>695</v>
      </c>
      <c r="K563" s="7" t="s">
        <v>696</v>
      </c>
      <c r="L563" s="7" t="s">
        <v>697</v>
      </c>
      <c r="M563" s="7" t="s">
        <v>698</v>
      </c>
      <c r="N563" s="7" t="s">
        <v>699</v>
      </c>
      <c r="O563" s="7" t="s">
        <v>700</v>
      </c>
      <c r="P563" s="7" t="s">
        <v>701</v>
      </c>
      <c r="Q563" s="7" t="s">
        <v>702</v>
      </c>
      <c r="R563" s="7" t="s">
        <v>703</v>
      </c>
      <c r="S563" s="7" t="s">
        <v>704</v>
      </c>
      <c r="T563" s="7" t="s">
        <v>705</v>
      </c>
      <c r="U563" s="7" t="s">
        <v>706</v>
      </c>
      <c r="V563" s="7" t="s">
        <v>707</v>
      </c>
      <c r="W563" s="7" t="s">
        <v>708</v>
      </c>
      <c r="X563" s="7" t="s">
        <v>709</v>
      </c>
      <c r="Y563" s="7" t="s">
        <v>710</v>
      </c>
      <c r="Z563" s="7" t="s">
        <v>711</v>
      </c>
      <c r="AA563" s="7" t="s">
        <v>712</v>
      </c>
      <c r="AB563" s="7" t="s">
        <v>694</v>
      </c>
      <c r="AC563" s="7" t="s">
        <v>713</v>
      </c>
      <c r="AD563" s="7" t="s">
        <v>714</v>
      </c>
      <c r="AE563" s="7" t="s">
        <v>715</v>
      </c>
      <c r="AF563" s="7" t="s">
        <v>716</v>
      </c>
      <c r="AG563" s="7" t="s">
        <v>688</v>
      </c>
      <c r="AH563" s="7" t="s">
        <v>689</v>
      </c>
      <c r="AI563" s="7" t="s">
        <v>747</v>
      </c>
      <c r="AJ563" s="7" t="s">
        <v>696</v>
      </c>
      <c r="AK563" s="7" t="s">
        <v>773</v>
      </c>
      <c r="AL563" s="7" t="s">
        <v>940</v>
      </c>
      <c r="AM563" s="7" t="s">
        <v>941</v>
      </c>
      <c r="AN563" s="7" t="s">
        <v>942</v>
      </c>
      <c r="AO563" s="60" t="s">
        <v>688</v>
      </c>
      <c r="AP563" s="60" t="s">
        <v>689</v>
      </c>
      <c r="AQ563" s="60" t="s">
        <v>690</v>
      </c>
      <c r="AR563" s="60" t="s">
        <v>691</v>
      </c>
      <c r="AS563" s="60" t="s">
        <v>692</v>
      </c>
      <c r="AT563" s="60" t="s">
        <v>693</v>
      </c>
      <c r="AU563" s="60" t="s">
        <v>694</v>
      </c>
      <c r="AV563" s="60" t="s">
        <v>695</v>
      </c>
      <c r="AW563" s="60" t="s">
        <v>1142</v>
      </c>
      <c r="AX563" s="60" t="s">
        <v>697</v>
      </c>
      <c r="AY563" s="60" t="s">
        <v>698</v>
      </c>
      <c r="AZ563" s="60" t="s">
        <v>699</v>
      </c>
      <c r="BA563" s="60" t="s">
        <v>700</v>
      </c>
      <c r="BB563" s="60" t="s">
        <v>701</v>
      </c>
      <c r="BC563" s="60" t="s">
        <v>702</v>
      </c>
      <c r="BD563" s="60" t="s">
        <v>703</v>
      </c>
      <c r="BE563" s="60" t="s">
        <v>704</v>
      </c>
      <c r="BF563" s="60" t="s">
        <v>705</v>
      </c>
      <c r="BG563" s="60" t="s">
        <v>706</v>
      </c>
      <c r="BH563" s="60" t="s">
        <v>707</v>
      </c>
      <c r="BI563" s="60" t="s">
        <v>708</v>
      </c>
      <c r="BJ563" s="60" t="s">
        <v>709</v>
      </c>
      <c r="BK563" s="60" t="s">
        <v>710</v>
      </c>
      <c r="BL563" s="60" t="s">
        <v>711</v>
      </c>
      <c r="BM563" s="60" t="s">
        <v>712</v>
      </c>
      <c r="BN563" s="60" t="s">
        <v>694</v>
      </c>
      <c r="BO563" s="60" t="s">
        <v>713</v>
      </c>
      <c r="BP563" s="60" t="s">
        <v>714</v>
      </c>
      <c r="BQ563" s="60" t="s">
        <v>715</v>
      </c>
      <c r="BR563" s="60" t="s">
        <v>716</v>
      </c>
      <c r="BS563" s="60" t="s">
        <v>2059</v>
      </c>
      <c r="BT563" s="60" t="s">
        <v>2060</v>
      </c>
      <c r="BU563" s="60" t="s">
        <v>2061</v>
      </c>
      <c r="BV563" s="60" t="s">
        <v>2062</v>
      </c>
      <c r="BW563" s="60" t="s">
        <v>2063</v>
      </c>
      <c r="BX563" s="60" t="s">
        <v>2064</v>
      </c>
      <c r="BY563" s="60" t="s">
        <v>2065</v>
      </c>
      <c r="BZ563" s="60" t="s">
        <v>2066</v>
      </c>
      <c r="CA563" s="60" t="s">
        <v>714</v>
      </c>
      <c r="CB563" s="60" t="s">
        <v>715</v>
      </c>
      <c r="CC563" s="60" t="s">
        <v>716</v>
      </c>
      <c r="CD563" s="60" t="s">
        <v>2067</v>
      </c>
      <c r="CE563" s="60" t="s">
        <v>2068</v>
      </c>
      <c r="CF563" s="60" t="s">
        <v>2069</v>
      </c>
      <c r="CG563" s="60" t="s">
        <v>2656</v>
      </c>
    </row>
    <row r="564" spans="1:85" ht="78" customHeight="1" x14ac:dyDescent="0.4">
      <c r="A564" s="67" t="s">
        <v>577</v>
      </c>
      <c r="B564" t="e">
        <f>_xlfn.XLOOKUP(A564,'Product info'!A:A,'Product info'!C:C,,2)</f>
        <v>#N/A</v>
      </c>
      <c r="C564" s="69" t="s">
        <v>688</v>
      </c>
      <c r="D564" s="7" t="s">
        <v>689</v>
      </c>
      <c r="E564" s="7" t="s">
        <v>690</v>
      </c>
      <c r="F564" s="7" t="s">
        <v>691</v>
      </c>
      <c r="G564" s="7" t="s">
        <v>692</v>
      </c>
      <c r="H564" s="7" t="s">
        <v>693</v>
      </c>
      <c r="I564" s="7" t="s">
        <v>694</v>
      </c>
      <c r="J564" s="7" t="s">
        <v>695</v>
      </c>
      <c r="K564" s="7" t="s">
        <v>696</v>
      </c>
      <c r="L564" s="7" t="s">
        <v>697</v>
      </c>
      <c r="M564" s="7" t="s">
        <v>698</v>
      </c>
      <c r="N564" s="7" t="s">
        <v>699</v>
      </c>
      <c r="O564" s="7" t="s">
        <v>700</v>
      </c>
      <c r="P564" s="7" t="s">
        <v>701</v>
      </c>
      <c r="Q564" s="7" t="s">
        <v>702</v>
      </c>
      <c r="R564" s="7" t="s">
        <v>703</v>
      </c>
      <c r="S564" s="7" t="s">
        <v>704</v>
      </c>
      <c r="T564" s="7" t="s">
        <v>705</v>
      </c>
      <c r="U564" s="7" t="s">
        <v>706</v>
      </c>
      <c r="V564" s="7" t="s">
        <v>707</v>
      </c>
      <c r="W564" s="7" t="s">
        <v>708</v>
      </c>
      <c r="X564" s="7" t="s">
        <v>709</v>
      </c>
      <c r="Y564" s="7" t="s">
        <v>710</v>
      </c>
      <c r="Z564" s="7" t="s">
        <v>711</v>
      </c>
      <c r="AA564" s="7" t="s">
        <v>712</v>
      </c>
      <c r="AB564" s="7" t="s">
        <v>694</v>
      </c>
      <c r="AC564" s="7" t="s">
        <v>713</v>
      </c>
      <c r="AD564" s="7" t="s">
        <v>714</v>
      </c>
      <c r="AE564" s="7" t="s">
        <v>715</v>
      </c>
      <c r="AF564" s="7" t="s">
        <v>716</v>
      </c>
      <c r="AG564" s="7" t="s">
        <v>688</v>
      </c>
      <c r="AH564" s="7" t="s">
        <v>689</v>
      </c>
      <c r="AI564" s="7" t="s">
        <v>747</v>
      </c>
      <c r="AJ564" s="7" t="s">
        <v>696</v>
      </c>
      <c r="AK564" s="7" t="s">
        <v>773</v>
      </c>
      <c r="AL564" s="7" t="s">
        <v>940</v>
      </c>
      <c r="AM564" s="7" t="s">
        <v>941</v>
      </c>
      <c r="AN564" s="7" t="s">
        <v>942</v>
      </c>
      <c r="AO564" s="60" t="s">
        <v>688</v>
      </c>
      <c r="AP564" s="60" t="s">
        <v>689</v>
      </c>
      <c r="AQ564" s="60" t="s">
        <v>690</v>
      </c>
      <c r="AR564" s="60" t="s">
        <v>691</v>
      </c>
      <c r="AS564" s="60" t="s">
        <v>692</v>
      </c>
      <c r="AT564" s="60" t="s">
        <v>693</v>
      </c>
      <c r="AU564" s="60" t="s">
        <v>694</v>
      </c>
      <c r="AV564" s="60" t="s">
        <v>695</v>
      </c>
      <c r="AW564" s="60" t="s">
        <v>1142</v>
      </c>
      <c r="AX564" s="60" t="s">
        <v>697</v>
      </c>
      <c r="AY564" s="60" t="s">
        <v>698</v>
      </c>
      <c r="AZ564" s="60" t="s">
        <v>699</v>
      </c>
      <c r="BA564" s="60" t="s">
        <v>700</v>
      </c>
      <c r="BB564" s="60" t="s">
        <v>701</v>
      </c>
      <c r="BC564" s="60" t="s">
        <v>702</v>
      </c>
      <c r="BD564" s="60" t="s">
        <v>703</v>
      </c>
      <c r="BE564" s="60" t="s">
        <v>704</v>
      </c>
      <c r="BF564" s="60" t="s">
        <v>705</v>
      </c>
      <c r="BG564" s="60" t="s">
        <v>706</v>
      </c>
      <c r="BH564" s="60" t="s">
        <v>707</v>
      </c>
      <c r="BI564" s="60" t="s">
        <v>708</v>
      </c>
      <c r="BJ564" s="60" t="s">
        <v>709</v>
      </c>
      <c r="BK564" s="60" t="s">
        <v>710</v>
      </c>
      <c r="BL564" s="60" t="s">
        <v>711</v>
      </c>
      <c r="BM564" s="60" t="s">
        <v>712</v>
      </c>
      <c r="BN564" s="60" t="s">
        <v>694</v>
      </c>
      <c r="BO564" s="60" t="s">
        <v>713</v>
      </c>
      <c r="BP564" s="60" t="s">
        <v>714</v>
      </c>
      <c r="BQ564" s="60" t="s">
        <v>715</v>
      </c>
      <c r="BR564" s="60" t="s">
        <v>716</v>
      </c>
      <c r="BS564" s="60" t="s">
        <v>2059</v>
      </c>
      <c r="BT564" s="60" t="s">
        <v>2060</v>
      </c>
      <c r="BU564" s="60" t="s">
        <v>2061</v>
      </c>
      <c r="BV564" s="60" t="s">
        <v>2062</v>
      </c>
      <c r="BW564" s="60" t="s">
        <v>2063</v>
      </c>
      <c r="BX564" s="60" t="s">
        <v>2064</v>
      </c>
      <c r="BY564" s="60" t="s">
        <v>2065</v>
      </c>
      <c r="BZ564" s="60" t="s">
        <v>2066</v>
      </c>
      <c r="CA564" s="60" t="s">
        <v>714</v>
      </c>
      <c r="CB564" s="60" t="s">
        <v>715</v>
      </c>
      <c r="CC564" s="60" t="s">
        <v>716</v>
      </c>
      <c r="CD564" s="60" t="s">
        <v>2067</v>
      </c>
      <c r="CE564" s="60" t="s">
        <v>2068</v>
      </c>
      <c r="CF564" s="60" t="s">
        <v>2069</v>
      </c>
      <c r="CG564" s="60" t="s">
        <v>2656</v>
      </c>
    </row>
    <row r="565" spans="1:85" ht="78" customHeight="1" x14ac:dyDescent="0.4">
      <c r="A565" s="67" t="s">
        <v>578</v>
      </c>
      <c r="B565" t="e">
        <f>_xlfn.XLOOKUP(A565,'Product info'!A:A,'Product info'!C:C,,2)</f>
        <v>#N/A</v>
      </c>
      <c r="C565" s="69" t="s">
        <v>688</v>
      </c>
      <c r="D565" s="7" t="s">
        <v>689</v>
      </c>
      <c r="E565" s="7" t="s">
        <v>690</v>
      </c>
      <c r="F565" s="7" t="s">
        <v>691</v>
      </c>
      <c r="G565" s="7" t="s">
        <v>692</v>
      </c>
      <c r="H565" s="7" t="s">
        <v>693</v>
      </c>
      <c r="I565" s="7" t="s">
        <v>694</v>
      </c>
      <c r="J565" s="7" t="s">
        <v>695</v>
      </c>
      <c r="K565" s="7" t="s">
        <v>696</v>
      </c>
      <c r="L565" s="7" t="s">
        <v>697</v>
      </c>
      <c r="M565" s="7" t="s">
        <v>698</v>
      </c>
      <c r="N565" s="7" t="s">
        <v>699</v>
      </c>
      <c r="O565" s="7" t="s">
        <v>700</v>
      </c>
      <c r="P565" s="7" t="s">
        <v>701</v>
      </c>
      <c r="Q565" s="7" t="s">
        <v>702</v>
      </c>
      <c r="R565" s="7" t="s">
        <v>703</v>
      </c>
      <c r="S565" s="7" t="s">
        <v>704</v>
      </c>
      <c r="T565" s="7" t="s">
        <v>705</v>
      </c>
      <c r="U565" s="7" t="s">
        <v>706</v>
      </c>
      <c r="V565" s="7" t="s">
        <v>707</v>
      </c>
      <c r="W565" s="7" t="s">
        <v>708</v>
      </c>
      <c r="X565" s="7" t="s">
        <v>709</v>
      </c>
      <c r="Y565" s="7" t="s">
        <v>710</v>
      </c>
      <c r="Z565" s="7" t="s">
        <v>711</v>
      </c>
      <c r="AA565" s="7" t="s">
        <v>712</v>
      </c>
      <c r="AB565" s="7" t="s">
        <v>694</v>
      </c>
      <c r="AC565" s="7" t="s">
        <v>713</v>
      </c>
      <c r="AD565" s="7" t="s">
        <v>714</v>
      </c>
      <c r="AE565" s="7" t="s">
        <v>715</v>
      </c>
      <c r="AF565" s="7" t="s">
        <v>716</v>
      </c>
      <c r="AG565" s="7" t="s">
        <v>688</v>
      </c>
      <c r="AH565" s="7" t="s">
        <v>689</v>
      </c>
      <c r="AI565" s="7" t="s">
        <v>747</v>
      </c>
      <c r="AJ565" s="7" t="s">
        <v>696</v>
      </c>
      <c r="AK565" s="7" t="s">
        <v>773</v>
      </c>
      <c r="AL565" s="7" t="s">
        <v>940</v>
      </c>
      <c r="AM565" s="7" t="s">
        <v>941</v>
      </c>
      <c r="AN565" s="7" t="s">
        <v>942</v>
      </c>
      <c r="AO565" s="60" t="s">
        <v>688</v>
      </c>
      <c r="AP565" s="60" t="s">
        <v>689</v>
      </c>
      <c r="AQ565" s="60" t="s">
        <v>690</v>
      </c>
      <c r="AR565" s="60" t="s">
        <v>691</v>
      </c>
      <c r="AS565" s="60" t="s">
        <v>692</v>
      </c>
      <c r="AT565" s="60" t="s">
        <v>693</v>
      </c>
      <c r="AU565" s="60" t="s">
        <v>694</v>
      </c>
      <c r="AV565" s="60" t="s">
        <v>695</v>
      </c>
      <c r="AW565" s="60" t="s">
        <v>1142</v>
      </c>
      <c r="AX565" s="60" t="s">
        <v>697</v>
      </c>
      <c r="AY565" s="60" t="s">
        <v>698</v>
      </c>
      <c r="AZ565" s="60" t="s">
        <v>699</v>
      </c>
      <c r="BA565" s="60" t="s">
        <v>700</v>
      </c>
      <c r="BB565" s="60" t="s">
        <v>701</v>
      </c>
      <c r="BC565" s="60" t="s">
        <v>702</v>
      </c>
      <c r="BD565" s="60" t="s">
        <v>703</v>
      </c>
      <c r="BE565" s="60" t="s">
        <v>704</v>
      </c>
      <c r="BF565" s="60" t="s">
        <v>705</v>
      </c>
      <c r="BG565" s="60" t="s">
        <v>706</v>
      </c>
      <c r="BH565" s="60" t="s">
        <v>707</v>
      </c>
      <c r="BI565" s="60" t="s">
        <v>708</v>
      </c>
      <c r="BJ565" s="60" t="s">
        <v>709</v>
      </c>
      <c r="BK565" s="60" t="s">
        <v>710</v>
      </c>
      <c r="BL565" s="60" t="s">
        <v>711</v>
      </c>
      <c r="BM565" s="60" t="s">
        <v>712</v>
      </c>
      <c r="BN565" s="60" t="s">
        <v>694</v>
      </c>
      <c r="BO565" s="60" t="s">
        <v>713</v>
      </c>
      <c r="BP565" s="60" t="s">
        <v>714</v>
      </c>
      <c r="BQ565" s="60" t="s">
        <v>715</v>
      </c>
      <c r="BR565" s="60" t="s">
        <v>716</v>
      </c>
      <c r="BS565" s="60" t="s">
        <v>2059</v>
      </c>
      <c r="BT565" s="60" t="s">
        <v>2060</v>
      </c>
      <c r="BU565" s="60" t="s">
        <v>2061</v>
      </c>
      <c r="BV565" s="60" t="s">
        <v>2062</v>
      </c>
      <c r="BW565" s="60" t="s">
        <v>2063</v>
      </c>
      <c r="BX565" s="60" t="s">
        <v>2064</v>
      </c>
      <c r="BY565" s="60" t="s">
        <v>2065</v>
      </c>
      <c r="BZ565" s="60" t="s">
        <v>2066</v>
      </c>
      <c r="CA565" s="60" t="s">
        <v>714</v>
      </c>
      <c r="CB565" s="60" t="s">
        <v>715</v>
      </c>
      <c r="CC565" s="60" t="s">
        <v>716</v>
      </c>
      <c r="CD565" s="60" t="s">
        <v>2067</v>
      </c>
      <c r="CE565" s="60" t="s">
        <v>2068</v>
      </c>
      <c r="CF565" s="60" t="s">
        <v>2069</v>
      </c>
      <c r="CG565" s="60" t="s">
        <v>2656</v>
      </c>
    </row>
    <row r="566" spans="1:85" ht="78" customHeight="1" x14ac:dyDescent="0.4">
      <c r="A566" s="67" t="s">
        <v>579</v>
      </c>
      <c r="B566" t="e">
        <f>_xlfn.XLOOKUP(A566,'Product info'!A:A,'Product info'!C:C,,2)</f>
        <v>#N/A</v>
      </c>
      <c r="C566" s="69" t="s">
        <v>688</v>
      </c>
      <c r="D566" s="7" t="s">
        <v>689</v>
      </c>
      <c r="E566" s="7" t="s">
        <v>690</v>
      </c>
      <c r="F566" s="7" t="s">
        <v>691</v>
      </c>
      <c r="G566" s="7" t="s">
        <v>692</v>
      </c>
      <c r="H566" s="7" t="s">
        <v>693</v>
      </c>
      <c r="I566" s="7" t="s">
        <v>694</v>
      </c>
      <c r="J566" s="7" t="s">
        <v>695</v>
      </c>
      <c r="K566" s="7" t="s">
        <v>696</v>
      </c>
      <c r="L566" s="7" t="s">
        <v>697</v>
      </c>
      <c r="M566" s="7" t="s">
        <v>698</v>
      </c>
      <c r="N566" s="7" t="s">
        <v>699</v>
      </c>
      <c r="O566" s="7" t="s">
        <v>700</v>
      </c>
      <c r="P566" s="7" t="s">
        <v>701</v>
      </c>
      <c r="Q566" s="7" t="s">
        <v>702</v>
      </c>
      <c r="R566" s="7" t="s">
        <v>703</v>
      </c>
      <c r="S566" s="7" t="s">
        <v>704</v>
      </c>
      <c r="T566" s="7" t="s">
        <v>705</v>
      </c>
      <c r="U566" s="7" t="s">
        <v>706</v>
      </c>
      <c r="V566" s="7" t="s">
        <v>707</v>
      </c>
      <c r="W566" s="7" t="s">
        <v>708</v>
      </c>
      <c r="X566" s="7" t="s">
        <v>709</v>
      </c>
      <c r="Y566" s="7" t="s">
        <v>710</v>
      </c>
      <c r="Z566" s="7" t="s">
        <v>711</v>
      </c>
      <c r="AA566" s="7" t="s">
        <v>712</v>
      </c>
      <c r="AB566" s="7" t="s">
        <v>694</v>
      </c>
      <c r="AC566" s="7" t="s">
        <v>713</v>
      </c>
      <c r="AD566" s="7" t="s">
        <v>714</v>
      </c>
      <c r="AE566" s="7" t="s">
        <v>715</v>
      </c>
      <c r="AF566" s="7" t="s">
        <v>716</v>
      </c>
      <c r="AG566" s="7" t="s">
        <v>688</v>
      </c>
      <c r="AH566" s="7" t="s">
        <v>689</v>
      </c>
      <c r="AI566" s="7" t="s">
        <v>747</v>
      </c>
      <c r="AJ566" s="7" t="s">
        <v>696</v>
      </c>
      <c r="AK566" s="7" t="s">
        <v>773</v>
      </c>
      <c r="AL566" s="7" t="s">
        <v>940</v>
      </c>
      <c r="AM566" s="7" t="s">
        <v>941</v>
      </c>
      <c r="AN566" s="7" t="s">
        <v>942</v>
      </c>
      <c r="AO566" s="60" t="s">
        <v>688</v>
      </c>
      <c r="AP566" s="60" t="s">
        <v>689</v>
      </c>
      <c r="AQ566" s="60" t="s">
        <v>690</v>
      </c>
      <c r="AR566" s="60" t="s">
        <v>691</v>
      </c>
      <c r="AS566" s="60" t="s">
        <v>692</v>
      </c>
      <c r="AT566" s="60" t="s">
        <v>693</v>
      </c>
      <c r="AU566" s="60" t="s">
        <v>694</v>
      </c>
      <c r="AV566" s="60" t="s">
        <v>695</v>
      </c>
      <c r="AW566" s="60" t="s">
        <v>1142</v>
      </c>
      <c r="AX566" s="60" t="s">
        <v>697</v>
      </c>
      <c r="AY566" s="60" t="s">
        <v>698</v>
      </c>
      <c r="AZ566" s="60" t="s">
        <v>699</v>
      </c>
      <c r="BA566" s="60" t="s">
        <v>700</v>
      </c>
      <c r="BB566" s="60" t="s">
        <v>701</v>
      </c>
      <c r="BC566" s="60" t="s">
        <v>702</v>
      </c>
      <c r="BD566" s="60" t="s">
        <v>703</v>
      </c>
      <c r="BE566" s="60" t="s">
        <v>704</v>
      </c>
      <c r="BF566" s="60" t="s">
        <v>705</v>
      </c>
      <c r="BG566" s="60" t="s">
        <v>706</v>
      </c>
      <c r="BH566" s="60" t="s">
        <v>707</v>
      </c>
      <c r="BI566" s="60" t="s">
        <v>708</v>
      </c>
      <c r="BJ566" s="60" t="s">
        <v>709</v>
      </c>
      <c r="BK566" s="60" t="s">
        <v>710</v>
      </c>
      <c r="BL566" s="60" t="s">
        <v>711</v>
      </c>
      <c r="BM566" s="60" t="s">
        <v>712</v>
      </c>
      <c r="BN566" s="60" t="s">
        <v>694</v>
      </c>
      <c r="BO566" s="60" t="s">
        <v>713</v>
      </c>
      <c r="BP566" s="60" t="s">
        <v>714</v>
      </c>
      <c r="BQ566" s="60" t="s">
        <v>715</v>
      </c>
      <c r="BR566" s="60" t="s">
        <v>716</v>
      </c>
      <c r="BS566" s="60" t="s">
        <v>2059</v>
      </c>
      <c r="BT566" s="60" t="s">
        <v>2060</v>
      </c>
      <c r="BU566" s="60" t="s">
        <v>2061</v>
      </c>
      <c r="BV566" s="60" t="s">
        <v>2062</v>
      </c>
      <c r="BW566" s="60" t="s">
        <v>2063</v>
      </c>
      <c r="BX566" s="60" t="s">
        <v>2064</v>
      </c>
      <c r="BY566" s="60" t="s">
        <v>2065</v>
      </c>
      <c r="BZ566" s="60" t="s">
        <v>2066</v>
      </c>
      <c r="CA566" s="60" t="s">
        <v>714</v>
      </c>
      <c r="CB566" s="60" t="s">
        <v>715</v>
      </c>
      <c r="CC566" s="60" t="s">
        <v>716</v>
      </c>
      <c r="CD566" s="60" t="s">
        <v>2067</v>
      </c>
      <c r="CE566" s="60" t="s">
        <v>2068</v>
      </c>
      <c r="CF566" s="60" t="s">
        <v>2069</v>
      </c>
      <c r="CG566" s="60" t="s">
        <v>2656</v>
      </c>
    </row>
    <row r="567" spans="1:85" ht="78" customHeight="1" x14ac:dyDescent="0.4">
      <c r="A567" s="67" t="s">
        <v>580</v>
      </c>
      <c r="B567" t="e">
        <f>_xlfn.XLOOKUP(A567,'Product info'!A:A,'Product info'!C:C,,2)</f>
        <v>#N/A</v>
      </c>
      <c r="C567" s="69" t="s">
        <v>688</v>
      </c>
      <c r="D567" s="7" t="s">
        <v>689</v>
      </c>
      <c r="E567" s="7" t="s">
        <v>690</v>
      </c>
      <c r="F567" s="7" t="s">
        <v>691</v>
      </c>
      <c r="G567" s="7" t="s">
        <v>692</v>
      </c>
      <c r="H567" s="7" t="s">
        <v>693</v>
      </c>
      <c r="I567" s="7" t="s">
        <v>694</v>
      </c>
      <c r="J567" s="7" t="s">
        <v>695</v>
      </c>
      <c r="K567" s="7" t="s">
        <v>696</v>
      </c>
      <c r="L567" s="7" t="s">
        <v>697</v>
      </c>
      <c r="M567" s="7" t="s">
        <v>698</v>
      </c>
      <c r="N567" s="7" t="s">
        <v>699</v>
      </c>
      <c r="O567" s="7" t="s">
        <v>700</v>
      </c>
      <c r="P567" s="7" t="s">
        <v>701</v>
      </c>
      <c r="Q567" s="7" t="s">
        <v>702</v>
      </c>
      <c r="R567" s="7" t="s">
        <v>703</v>
      </c>
      <c r="S567" s="7" t="s">
        <v>704</v>
      </c>
      <c r="T567" s="7" t="s">
        <v>705</v>
      </c>
      <c r="U567" s="7" t="s">
        <v>706</v>
      </c>
      <c r="V567" s="7" t="s">
        <v>707</v>
      </c>
      <c r="W567" s="7" t="s">
        <v>708</v>
      </c>
      <c r="X567" s="7" t="s">
        <v>709</v>
      </c>
      <c r="Y567" s="7" t="s">
        <v>710</v>
      </c>
      <c r="Z567" s="7" t="s">
        <v>711</v>
      </c>
      <c r="AA567" s="7" t="s">
        <v>712</v>
      </c>
      <c r="AB567" s="7" t="s">
        <v>694</v>
      </c>
      <c r="AC567" s="7" t="s">
        <v>713</v>
      </c>
      <c r="AD567" s="7" t="s">
        <v>714</v>
      </c>
      <c r="AE567" s="7" t="s">
        <v>715</v>
      </c>
      <c r="AF567" s="7" t="s">
        <v>716</v>
      </c>
      <c r="AG567" s="7" t="s">
        <v>688</v>
      </c>
      <c r="AH567" s="7" t="s">
        <v>689</v>
      </c>
      <c r="AI567" s="7" t="s">
        <v>747</v>
      </c>
      <c r="AJ567" s="7" t="s">
        <v>696</v>
      </c>
      <c r="AK567" s="7" t="s">
        <v>773</v>
      </c>
      <c r="AL567" s="7" t="s">
        <v>940</v>
      </c>
      <c r="AM567" s="7" t="s">
        <v>941</v>
      </c>
      <c r="AN567" s="7" t="s">
        <v>942</v>
      </c>
      <c r="AO567" s="60" t="s">
        <v>688</v>
      </c>
      <c r="AP567" s="60" t="s">
        <v>689</v>
      </c>
      <c r="AQ567" s="60" t="s">
        <v>690</v>
      </c>
      <c r="AR567" s="60" t="s">
        <v>691</v>
      </c>
      <c r="AS567" s="60" t="s">
        <v>692</v>
      </c>
      <c r="AT567" s="60" t="s">
        <v>693</v>
      </c>
      <c r="AU567" s="60" t="s">
        <v>694</v>
      </c>
      <c r="AV567" s="60" t="s">
        <v>695</v>
      </c>
      <c r="AW567" s="60" t="s">
        <v>1142</v>
      </c>
      <c r="AX567" s="60" t="s">
        <v>697</v>
      </c>
      <c r="AY567" s="60" t="s">
        <v>698</v>
      </c>
      <c r="AZ567" s="60" t="s">
        <v>699</v>
      </c>
      <c r="BA567" s="60" t="s">
        <v>700</v>
      </c>
      <c r="BB567" s="60" t="s">
        <v>701</v>
      </c>
      <c r="BC567" s="60" t="s">
        <v>702</v>
      </c>
      <c r="BD567" s="60" t="s">
        <v>703</v>
      </c>
      <c r="BE567" s="60" t="s">
        <v>704</v>
      </c>
      <c r="BF567" s="60" t="s">
        <v>705</v>
      </c>
      <c r="BG567" s="60" t="s">
        <v>706</v>
      </c>
      <c r="BH567" s="60" t="s">
        <v>707</v>
      </c>
      <c r="BI567" s="60" t="s">
        <v>708</v>
      </c>
      <c r="BJ567" s="60" t="s">
        <v>709</v>
      </c>
      <c r="BK567" s="60" t="s">
        <v>710</v>
      </c>
      <c r="BL567" s="60" t="s">
        <v>711</v>
      </c>
      <c r="BM567" s="60" t="s">
        <v>712</v>
      </c>
      <c r="BN567" s="60" t="s">
        <v>694</v>
      </c>
      <c r="BO567" s="60" t="s">
        <v>713</v>
      </c>
      <c r="BP567" s="60" t="s">
        <v>714</v>
      </c>
      <c r="BQ567" s="60" t="s">
        <v>715</v>
      </c>
      <c r="BR567" s="60" t="s">
        <v>716</v>
      </c>
      <c r="BS567" s="60" t="s">
        <v>2059</v>
      </c>
      <c r="BT567" s="60" t="s">
        <v>2060</v>
      </c>
      <c r="BU567" s="60" t="s">
        <v>2061</v>
      </c>
      <c r="BV567" s="60" t="s">
        <v>2062</v>
      </c>
      <c r="BW567" s="60" t="s">
        <v>2063</v>
      </c>
      <c r="BX567" s="60" t="s">
        <v>2064</v>
      </c>
      <c r="BY567" s="60" t="s">
        <v>2065</v>
      </c>
      <c r="BZ567" s="60" t="s">
        <v>2066</v>
      </c>
      <c r="CA567" s="60" t="s">
        <v>714</v>
      </c>
      <c r="CB567" s="60" t="s">
        <v>715</v>
      </c>
      <c r="CC567" s="60" t="s">
        <v>716</v>
      </c>
      <c r="CD567" s="60" t="s">
        <v>2067</v>
      </c>
      <c r="CE567" s="60" t="s">
        <v>2068</v>
      </c>
      <c r="CF567" s="60" t="s">
        <v>2069</v>
      </c>
      <c r="CG567" s="60" t="s">
        <v>2656</v>
      </c>
    </row>
    <row r="568" spans="1:85" ht="78" customHeight="1" x14ac:dyDescent="0.4">
      <c r="A568" s="67" t="s">
        <v>581</v>
      </c>
      <c r="B568" t="e">
        <f>_xlfn.XLOOKUP(A568,'Product info'!A:A,'Product info'!C:C,,2)</f>
        <v>#N/A</v>
      </c>
      <c r="C568" s="69" t="s">
        <v>688</v>
      </c>
      <c r="D568" s="7" t="s">
        <v>689</v>
      </c>
      <c r="E568" s="7" t="s">
        <v>690</v>
      </c>
      <c r="F568" s="7" t="s">
        <v>691</v>
      </c>
      <c r="G568" s="7" t="s">
        <v>692</v>
      </c>
      <c r="H568" s="7" t="s">
        <v>693</v>
      </c>
      <c r="I568" s="7" t="s">
        <v>694</v>
      </c>
      <c r="J568" s="7" t="s">
        <v>695</v>
      </c>
      <c r="K568" s="7" t="s">
        <v>696</v>
      </c>
      <c r="L568" s="7" t="s">
        <v>697</v>
      </c>
      <c r="M568" s="7" t="s">
        <v>698</v>
      </c>
      <c r="N568" s="7" t="s">
        <v>699</v>
      </c>
      <c r="O568" s="7" t="s">
        <v>700</v>
      </c>
      <c r="P568" s="7" t="s">
        <v>701</v>
      </c>
      <c r="Q568" s="7" t="s">
        <v>702</v>
      </c>
      <c r="R568" s="7" t="s">
        <v>703</v>
      </c>
      <c r="S568" s="7" t="s">
        <v>704</v>
      </c>
      <c r="T568" s="7" t="s">
        <v>705</v>
      </c>
      <c r="U568" s="7" t="s">
        <v>706</v>
      </c>
      <c r="V568" s="7" t="s">
        <v>707</v>
      </c>
      <c r="W568" s="7" t="s">
        <v>708</v>
      </c>
      <c r="X568" s="7" t="s">
        <v>709</v>
      </c>
      <c r="Y568" s="7" t="s">
        <v>710</v>
      </c>
      <c r="Z568" s="7" t="s">
        <v>711</v>
      </c>
      <c r="AA568" s="7" t="s">
        <v>712</v>
      </c>
      <c r="AB568" s="7" t="s">
        <v>694</v>
      </c>
      <c r="AC568" s="7" t="s">
        <v>713</v>
      </c>
      <c r="AD568" s="7" t="s">
        <v>714</v>
      </c>
      <c r="AE568" s="7" t="s">
        <v>715</v>
      </c>
      <c r="AF568" s="7" t="s">
        <v>716</v>
      </c>
      <c r="AG568" s="7" t="s">
        <v>688</v>
      </c>
      <c r="AH568" s="7" t="s">
        <v>689</v>
      </c>
      <c r="AI568" s="7" t="s">
        <v>747</v>
      </c>
      <c r="AJ568" s="7" t="s">
        <v>696</v>
      </c>
      <c r="AK568" s="7" t="s">
        <v>773</v>
      </c>
      <c r="AL568" s="7" t="s">
        <v>940</v>
      </c>
      <c r="AM568" s="7" t="s">
        <v>941</v>
      </c>
      <c r="AN568" s="7" t="s">
        <v>942</v>
      </c>
      <c r="AO568" s="60" t="s">
        <v>688</v>
      </c>
      <c r="AP568" s="60" t="s">
        <v>689</v>
      </c>
      <c r="AQ568" s="60" t="s">
        <v>690</v>
      </c>
      <c r="AR568" s="60" t="s">
        <v>691</v>
      </c>
      <c r="AS568" s="60" t="s">
        <v>692</v>
      </c>
      <c r="AT568" s="60" t="s">
        <v>693</v>
      </c>
      <c r="AU568" s="60" t="s">
        <v>694</v>
      </c>
      <c r="AV568" s="60" t="s">
        <v>695</v>
      </c>
      <c r="AW568" s="60" t="s">
        <v>1142</v>
      </c>
      <c r="AX568" s="60" t="s">
        <v>697</v>
      </c>
      <c r="AY568" s="60" t="s">
        <v>698</v>
      </c>
      <c r="AZ568" s="60" t="s">
        <v>699</v>
      </c>
      <c r="BA568" s="60" t="s">
        <v>700</v>
      </c>
      <c r="BB568" s="60" t="s">
        <v>701</v>
      </c>
      <c r="BC568" s="60" t="s">
        <v>702</v>
      </c>
      <c r="BD568" s="60" t="s">
        <v>703</v>
      </c>
      <c r="BE568" s="60" t="s">
        <v>704</v>
      </c>
      <c r="BF568" s="60" t="s">
        <v>705</v>
      </c>
      <c r="BG568" s="60" t="s">
        <v>706</v>
      </c>
      <c r="BH568" s="60" t="s">
        <v>707</v>
      </c>
      <c r="BI568" s="60" t="s">
        <v>708</v>
      </c>
      <c r="BJ568" s="60" t="s">
        <v>709</v>
      </c>
      <c r="BK568" s="60" t="s">
        <v>710</v>
      </c>
      <c r="BL568" s="60" t="s">
        <v>711</v>
      </c>
      <c r="BM568" s="60" t="s">
        <v>712</v>
      </c>
      <c r="BN568" s="60" t="s">
        <v>694</v>
      </c>
      <c r="BO568" s="60" t="s">
        <v>713</v>
      </c>
      <c r="BP568" s="60" t="s">
        <v>714</v>
      </c>
      <c r="BQ568" s="60" t="s">
        <v>715</v>
      </c>
      <c r="BR568" s="60" t="s">
        <v>716</v>
      </c>
      <c r="BS568" s="60" t="s">
        <v>2059</v>
      </c>
      <c r="BT568" s="60" t="s">
        <v>2060</v>
      </c>
      <c r="BU568" s="60" t="s">
        <v>2061</v>
      </c>
      <c r="BV568" s="60" t="s">
        <v>2062</v>
      </c>
      <c r="BW568" s="60" t="s">
        <v>2063</v>
      </c>
      <c r="BX568" s="60" t="s">
        <v>2064</v>
      </c>
      <c r="BY568" s="60" t="s">
        <v>2065</v>
      </c>
      <c r="BZ568" s="60" t="s">
        <v>2066</v>
      </c>
      <c r="CA568" s="60" t="s">
        <v>714</v>
      </c>
      <c r="CB568" s="60" t="s">
        <v>715</v>
      </c>
      <c r="CC568" s="60" t="s">
        <v>716</v>
      </c>
      <c r="CD568" s="60" t="s">
        <v>2067</v>
      </c>
      <c r="CE568" s="60" t="s">
        <v>2068</v>
      </c>
      <c r="CF568" s="60" t="s">
        <v>2069</v>
      </c>
      <c r="CG568" s="60" t="s">
        <v>2656</v>
      </c>
    </row>
    <row r="569" spans="1:85" ht="78" customHeight="1" x14ac:dyDescent="0.4">
      <c r="A569" s="67" t="s">
        <v>582</v>
      </c>
      <c r="B569" t="e">
        <f>_xlfn.XLOOKUP(A569,'Product info'!A:A,'Product info'!C:C,,2)</f>
        <v>#N/A</v>
      </c>
      <c r="C569" s="69" t="s">
        <v>688</v>
      </c>
      <c r="D569" s="7" t="s">
        <v>689</v>
      </c>
      <c r="E569" s="7" t="s">
        <v>690</v>
      </c>
      <c r="F569" s="7" t="s">
        <v>691</v>
      </c>
      <c r="G569" s="7" t="s">
        <v>692</v>
      </c>
      <c r="H569" s="7" t="s">
        <v>693</v>
      </c>
      <c r="I569" s="7" t="s">
        <v>694</v>
      </c>
      <c r="J569" s="7" t="s">
        <v>695</v>
      </c>
      <c r="K569" s="7" t="s">
        <v>696</v>
      </c>
      <c r="L569" s="7" t="s">
        <v>697</v>
      </c>
      <c r="M569" s="7" t="s">
        <v>698</v>
      </c>
      <c r="N569" s="7" t="s">
        <v>699</v>
      </c>
      <c r="O569" s="7" t="s">
        <v>700</v>
      </c>
      <c r="P569" s="7" t="s">
        <v>701</v>
      </c>
      <c r="Q569" s="7" t="s">
        <v>702</v>
      </c>
      <c r="R569" s="7" t="s">
        <v>703</v>
      </c>
      <c r="S569" s="7" t="s">
        <v>704</v>
      </c>
      <c r="T569" s="7" t="s">
        <v>705</v>
      </c>
      <c r="U569" s="7" t="s">
        <v>706</v>
      </c>
      <c r="V569" s="7" t="s">
        <v>707</v>
      </c>
      <c r="W569" s="7" t="s">
        <v>708</v>
      </c>
      <c r="X569" s="7" t="s">
        <v>709</v>
      </c>
      <c r="Y569" s="7" t="s">
        <v>710</v>
      </c>
      <c r="Z569" s="7" t="s">
        <v>711</v>
      </c>
      <c r="AA569" s="7" t="s">
        <v>712</v>
      </c>
      <c r="AB569" s="7" t="s">
        <v>694</v>
      </c>
      <c r="AC569" s="7" t="s">
        <v>713</v>
      </c>
      <c r="AD569" s="7" t="s">
        <v>714</v>
      </c>
      <c r="AE569" s="7" t="s">
        <v>715</v>
      </c>
      <c r="AF569" s="7" t="s">
        <v>716</v>
      </c>
      <c r="AG569" s="7" t="s">
        <v>688</v>
      </c>
      <c r="AH569" s="7" t="s">
        <v>689</v>
      </c>
      <c r="AI569" s="7" t="s">
        <v>747</v>
      </c>
      <c r="AJ569" s="7" t="s">
        <v>696</v>
      </c>
      <c r="AK569" s="7" t="s">
        <v>773</v>
      </c>
      <c r="AL569" s="7" t="s">
        <v>940</v>
      </c>
      <c r="AM569" s="7" t="s">
        <v>941</v>
      </c>
      <c r="AN569" s="7" t="s">
        <v>942</v>
      </c>
      <c r="AO569" s="60" t="s">
        <v>688</v>
      </c>
      <c r="AP569" s="60" t="s">
        <v>689</v>
      </c>
      <c r="AQ569" s="60" t="s">
        <v>690</v>
      </c>
      <c r="AR569" s="60" t="s">
        <v>691</v>
      </c>
      <c r="AS569" s="60" t="s">
        <v>692</v>
      </c>
      <c r="AT569" s="60" t="s">
        <v>693</v>
      </c>
      <c r="AU569" s="60" t="s">
        <v>694</v>
      </c>
      <c r="AV569" s="60" t="s">
        <v>695</v>
      </c>
      <c r="AW569" s="60" t="s">
        <v>1142</v>
      </c>
      <c r="AX569" s="60" t="s">
        <v>697</v>
      </c>
      <c r="AY569" s="60" t="s">
        <v>698</v>
      </c>
      <c r="AZ569" s="60" t="s">
        <v>699</v>
      </c>
      <c r="BA569" s="60" t="s">
        <v>700</v>
      </c>
      <c r="BB569" s="60" t="s">
        <v>701</v>
      </c>
      <c r="BC569" s="60" t="s">
        <v>702</v>
      </c>
      <c r="BD569" s="60" t="s">
        <v>703</v>
      </c>
      <c r="BE569" s="60" t="s">
        <v>704</v>
      </c>
      <c r="BF569" s="60" t="s">
        <v>705</v>
      </c>
      <c r="BG569" s="60" t="s">
        <v>706</v>
      </c>
      <c r="BH569" s="60" t="s">
        <v>707</v>
      </c>
      <c r="BI569" s="60" t="s">
        <v>708</v>
      </c>
      <c r="BJ569" s="60" t="s">
        <v>709</v>
      </c>
      <c r="BK569" s="60" t="s">
        <v>710</v>
      </c>
      <c r="BL569" s="60" t="s">
        <v>711</v>
      </c>
      <c r="BM569" s="60" t="s">
        <v>712</v>
      </c>
      <c r="BN569" s="60" t="s">
        <v>694</v>
      </c>
      <c r="BO569" s="60" t="s">
        <v>713</v>
      </c>
      <c r="BP569" s="60" t="s">
        <v>714</v>
      </c>
      <c r="BQ569" s="60" t="s">
        <v>715</v>
      </c>
      <c r="BR569" s="60" t="s">
        <v>716</v>
      </c>
      <c r="BS569" s="60" t="s">
        <v>2059</v>
      </c>
      <c r="BT569" s="60" t="s">
        <v>2060</v>
      </c>
      <c r="BU569" s="60" t="s">
        <v>2061</v>
      </c>
      <c r="BV569" s="60" t="s">
        <v>2062</v>
      </c>
      <c r="BW569" s="60" t="s">
        <v>2063</v>
      </c>
      <c r="BX569" s="60" t="s">
        <v>2064</v>
      </c>
      <c r="BY569" s="60" t="s">
        <v>2065</v>
      </c>
      <c r="BZ569" s="60" t="s">
        <v>2066</v>
      </c>
      <c r="CA569" s="60" t="s">
        <v>714</v>
      </c>
      <c r="CB569" s="60" t="s">
        <v>715</v>
      </c>
      <c r="CC569" s="60" t="s">
        <v>716</v>
      </c>
      <c r="CD569" s="60" t="s">
        <v>2067</v>
      </c>
      <c r="CE569" s="60" t="s">
        <v>2068</v>
      </c>
      <c r="CF569" s="60" t="s">
        <v>2069</v>
      </c>
      <c r="CG569" s="60" t="s">
        <v>2656</v>
      </c>
    </row>
    <row r="570" spans="1:85" ht="78" customHeight="1" x14ac:dyDescent="0.4">
      <c r="A570" s="67" t="s">
        <v>583</v>
      </c>
      <c r="B570" t="e">
        <f>_xlfn.XLOOKUP(A570,'Product info'!A:A,'Product info'!C:C,,2)</f>
        <v>#N/A</v>
      </c>
      <c r="C570" s="69" t="s">
        <v>688</v>
      </c>
      <c r="D570" s="7" t="s">
        <v>689</v>
      </c>
      <c r="E570" s="7" t="s">
        <v>690</v>
      </c>
      <c r="F570" s="7" t="s">
        <v>691</v>
      </c>
      <c r="G570" s="7" t="s">
        <v>692</v>
      </c>
      <c r="H570" s="7" t="s">
        <v>693</v>
      </c>
      <c r="I570" s="7" t="s">
        <v>694</v>
      </c>
      <c r="J570" s="7" t="s">
        <v>695</v>
      </c>
      <c r="K570" s="7" t="s">
        <v>696</v>
      </c>
      <c r="L570" s="7" t="s">
        <v>697</v>
      </c>
      <c r="M570" s="7" t="s">
        <v>698</v>
      </c>
      <c r="N570" s="7" t="s">
        <v>699</v>
      </c>
      <c r="O570" s="7" t="s">
        <v>700</v>
      </c>
      <c r="P570" s="7" t="s">
        <v>701</v>
      </c>
      <c r="Q570" s="7" t="s">
        <v>702</v>
      </c>
      <c r="R570" s="7" t="s">
        <v>703</v>
      </c>
      <c r="S570" s="7" t="s">
        <v>704</v>
      </c>
      <c r="T570" s="7" t="s">
        <v>705</v>
      </c>
      <c r="U570" s="7" t="s">
        <v>706</v>
      </c>
      <c r="V570" s="7" t="s">
        <v>707</v>
      </c>
      <c r="W570" s="7" t="s">
        <v>708</v>
      </c>
      <c r="X570" s="7" t="s">
        <v>709</v>
      </c>
      <c r="Y570" s="7" t="s">
        <v>710</v>
      </c>
      <c r="Z570" s="7" t="s">
        <v>711</v>
      </c>
      <c r="AA570" s="7" t="s">
        <v>712</v>
      </c>
      <c r="AB570" s="7" t="s">
        <v>694</v>
      </c>
      <c r="AC570" s="7" t="s">
        <v>713</v>
      </c>
      <c r="AD570" s="7" t="s">
        <v>714</v>
      </c>
      <c r="AE570" s="7" t="s">
        <v>715</v>
      </c>
      <c r="AF570" s="7" t="s">
        <v>716</v>
      </c>
      <c r="AG570" s="7" t="s">
        <v>688</v>
      </c>
      <c r="AH570" s="7" t="s">
        <v>689</v>
      </c>
      <c r="AI570" s="7" t="s">
        <v>747</v>
      </c>
      <c r="AJ570" s="7" t="s">
        <v>696</v>
      </c>
      <c r="AK570" s="7" t="s">
        <v>773</v>
      </c>
      <c r="AL570" s="7" t="s">
        <v>940</v>
      </c>
      <c r="AM570" s="7" t="s">
        <v>941</v>
      </c>
      <c r="AN570" s="7" t="s">
        <v>942</v>
      </c>
      <c r="AO570" s="60" t="s">
        <v>688</v>
      </c>
      <c r="AP570" s="60" t="s">
        <v>689</v>
      </c>
      <c r="AQ570" s="60" t="s">
        <v>690</v>
      </c>
      <c r="AR570" s="60" t="s">
        <v>691</v>
      </c>
      <c r="AS570" s="60" t="s">
        <v>692</v>
      </c>
      <c r="AT570" s="60" t="s">
        <v>693</v>
      </c>
      <c r="AU570" s="60" t="s">
        <v>694</v>
      </c>
      <c r="AV570" s="60" t="s">
        <v>695</v>
      </c>
      <c r="AW570" s="60" t="s">
        <v>1142</v>
      </c>
      <c r="AX570" s="60" t="s">
        <v>697</v>
      </c>
      <c r="AY570" s="60" t="s">
        <v>698</v>
      </c>
      <c r="AZ570" s="60" t="s">
        <v>699</v>
      </c>
      <c r="BA570" s="60" t="s">
        <v>700</v>
      </c>
      <c r="BB570" s="60" t="s">
        <v>701</v>
      </c>
      <c r="BC570" s="60" t="s">
        <v>702</v>
      </c>
      <c r="BD570" s="60" t="s">
        <v>703</v>
      </c>
      <c r="BE570" s="60" t="s">
        <v>704</v>
      </c>
      <c r="BF570" s="60" t="s">
        <v>705</v>
      </c>
      <c r="BG570" s="60" t="s">
        <v>706</v>
      </c>
      <c r="BH570" s="60" t="s">
        <v>707</v>
      </c>
      <c r="BI570" s="60" t="s">
        <v>708</v>
      </c>
      <c r="BJ570" s="60" t="s">
        <v>709</v>
      </c>
      <c r="BK570" s="60" t="s">
        <v>710</v>
      </c>
      <c r="BL570" s="60" t="s">
        <v>2724</v>
      </c>
      <c r="BM570" s="60" t="s">
        <v>2725</v>
      </c>
      <c r="BN570" s="60" t="s">
        <v>2726</v>
      </c>
      <c r="BO570" s="60" t="s">
        <v>2727</v>
      </c>
      <c r="BP570" s="60" t="s">
        <v>2728</v>
      </c>
      <c r="BQ570" s="60" t="s">
        <v>2729</v>
      </c>
      <c r="BR570" s="60"/>
      <c r="BS570" s="60"/>
      <c r="BT570" s="60"/>
      <c r="BU570" s="60"/>
      <c r="BV570" s="60"/>
      <c r="BW570" s="60"/>
      <c r="BX570" s="60"/>
      <c r="BY570" s="60"/>
      <c r="BZ570" s="60"/>
      <c r="CA570" s="60"/>
      <c r="CB570" s="60"/>
      <c r="CC570" s="60"/>
      <c r="CD570" s="60"/>
      <c r="CE570" s="60"/>
      <c r="CF570" s="60"/>
      <c r="CG570" s="60"/>
    </row>
    <row r="571" spans="1:85" ht="78" customHeight="1" x14ac:dyDescent="0.4">
      <c r="A571" s="67" t="s">
        <v>584</v>
      </c>
      <c r="B571" t="e">
        <f>_xlfn.XLOOKUP(A571,'Product info'!A:A,'Product info'!C:C,,2)</f>
        <v>#N/A</v>
      </c>
      <c r="C571" s="69" t="s">
        <v>688</v>
      </c>
      <c r="D571" s="7" t="s">
        <v>689</v>
      </c>
      <c r="E571" s="7" t="s">
        <v>690</v>
      </c>
      <c r="F571" s="7" t="s">
        <v>691</v>
      </c>
      <c r="G571" s="7" t="s">
        <v>692</v>
      </c>
      <c r="H571" s="7" t="s">
        <v>693</v>
      </c>
      <c r="I571" s="7" t="s">
        <v>694</v>
      </c>
      <c r="J571" s="7" t="s">
        <v>695</v>
      </c>
      <c r="K571" s="7" t="s">
        <v>696</v>
      </c>
      <c r="L571" s="7" t="s">
        <v>697</v>
      </c>
      <c r="M571" s="7" t="s">
        <v>698</v>
      </c>
      <c r="N571" s="7" t="s">
        <v>699</v>
      </c>
      <c r="O571" s="7" t="s">
        <v>700</v>
      </c>
      <c r="P571" s="7" t="s">
        <v>701</v>
      </c>
      <c r="Q571" s="7" t="s">
        <v>702</v>
      </c>
      <c r="R571" s="7" t="s">
        <v>703</v>
      </c>
      <c r="S571" s="7" t="s">
        <v>704</v>
      </c>
      <c r="T571" s="7" t="s">
        <v>705</v>
      </c>
      <c r="U571" s="7" t="s">
        <v>706</v>
      </c>
      <c r="V571" s="7" t="s">
        <v>707</v>
      </c>
      <c r="W571" s="7" t="s">
        <v>708</v>
      </c>
      <c r="X571" s="7" t="s">
        <v>709</v>
      </c>
      <c r="Y571" s="7" t="s">
        <v>710</v>
      </c>
      <c r="Z571" s="7" t="s">
        <v>711</v>
      </c>
      <c r="AA571" s="7" t="s">
        <v>712</v>
      </c>
      <c r="AB571" s="7" t="s">
        <v>694</v>
      </c>
      <c r="AC571" s="7" t="s">
        <v>713</v>
      </c>
      <c r="AD571" s="7" t="s">
        <v>714</v>
      </c>
      <c r="AE571" s="7" t="s">
        <v>715</v>
      </c>
      <c r="AF571" s="7" t="s">
        <v>716</v>
      </c>
      <c r="AG571" s="7" t="s">
        <v>688</v>
      </c>
      <c r="AH571" s="7" t="s">
        <v>689</v>
      </c>
      <c r="AI571" s="7" t="s">
        <v>747</v>
      </c>
      <c r="AJ571" s="7" t="s">
        <v>696</v>
      </c>
      <c r="AK571" s="7" t="s">
        <v>773</v>
      </c>
      <c r="AL571" s="7" t="s">
        <v>940</v>
      </c>
      <c r="AM571" s="7" t="s">
        <v>941</v>
      </c>
      <c r="AN571" s="7" t="s">
        <v>942</v>
      </c>
      <c r="AO571" s="60" t="s">
        <v>688</v>
      </c>
      <c r="AP571" s="60" t="s">
        <v>689</v>
      </c>
      <c r="AQ571" s="60" t="s">
        <v>690</v>
      </c>
      <c r="AR571" s="60" t="s">
        <v>691</v>
      </c>
      <c r="AS571" s="60" t="s">
        <v>692</v>
      </c>
      <c r="AT571" s="60" t="s">
        <v>693</v>
      </c>
      <c r="AU571" s="60" t="s">
        <v>694</v>
      </c>
      <c r="AV571" s="60" t="s">
        <v>695</v>
      </c>
      <c r="AW571" s="60" t="s">
        <v>1142</v>
      </c>
      <c r="AX571" s="60" t="s">
        <v>697</v>
      </c>
      <c r="AY571" s="60" t="s">
        <v>698</v>
      </c>
      <c r="AZ571" s="60" t="s">
        <v>699</v>
      </c>
      <c r="BA571" s="60" t="s">
        <v>700</v>
      </c>
      <c r="BB571" s="60" t="s">
        <v>701</v>
      </c>
      <c r="BC571" s="60" t="s">
        <v>702</v>
      </c>
      <c r="BD571" s="60" t="s">
        <v>703</v>
      </c>
      <c r="BE571" s="60" t="s">
        <v>704</v>
      </c>
      <c r="BF571" s="60" t="s">
        <v>705</v>
      </c>
      <c r="BG571" s="60" t="s">
        <v>706</v>
      </c>
      <c r="BH571" s="60" t="s">
        <v>707</v>
      </c>
      <c r="BI571" s="60" t="s">
        <v>708</v>
      </c>
      <c r="BJ571" s="60" t="s">
        <v>709</v>
      </c>
      <c r="BK571" s="60" t="s">
        <v>710</v>
      </c>
      <c r="BL571" s="60" t="s">
        <v>2724</v>
      </c>
      <c r="BM571" s="60" t="s">
        <v>2725</v>
      </c>
      <c r="BN571" s="60" t="s">
        <v>2726</v>
      </c>
      <c r="BO571" s="60" t="s">
        <v>2727</v>
      </c>
      <c r="BP571" s="60" t="s">
        <v>2728</v>
      </c>
      <c r="BQ571" s="60" t="s">
        <v>2729</v>
      </c>
      <c r="BR571" s="60"/>
      <c r="BS571" s="60"/>
      <c r="BT571" s="60"/>
      <c r="BU571" s="60"/>
      <c r="BV571" s="60"/>
      <c r="BW571" s="60"/>
      <c r="BX571" s="60"/>
      <c r="BY571" s="60"/>
      <c r="BZ571" s="60"/>
      <c r="CA571" s="60"/>
      <c r="CB571" s="60"/>
      <c r="CC571" s="60"/>
      <c r="CD571" s="60"/>
      <c r="CE571" s="60"/>
      <c r="CF571" s="60"/>
      <c r="CG571" s="60"/>
    </row>
    <row r="572" spans="1:85" ht="78" customHeight="1" x14ac:dyDescent="0.4">
      <c r="A572" s="67" t="s">
        <v>585</v>
      </c>
      <c r="B572" t="e">
        <f>_xlfn.XLOOKUP(A572,'Product info'!A:A,'Product info'!C:C,,2)</f>
        <v>#N/A</v>
      </c>
      <c r="C572" s="69" t="s">
        <v>688</v>
      </c>
      <c r="D572" s="7" t="s">
        <v>689</v>
      </c>
      <c r="E572" s="7" t="s">
        <v>690</v>
      </c>
      <c r="F572" s="7" t="s">
        <v>691</v>
      </c>
      <c r="G572" s="7" t="s">
        <v>692</v>
      </c>
      <c r="H572" s="7" t="s">
        <v>693</v>
      </c>
      <c r="I572" s="7" t="s">
        <v>694</v>
      </c>
      <c r="J572" s="7" t="s">
        <v>695</v>
      </c>
      <c r="K572" s="7" t="s">
        <v>696</v>
      </c>
      <c r="L572" s="7" t="s">
        <v>697</v>
      </c>
      <c r="M572" s="7" t="s">
        <v>698</v>
      </c>
      <c r="N572" s="7" t="s">
        <v>699</v>
      </c>
      <c r="O572" s="7" t="s">
        <v>700</v>
      </c>
      <c r="P572" s="7" t="s">
        <v>701</v>
      </c>
      <c r="Q572" s="7" t="s">
        <v>702</v>
      </c>
      <c r="R572" s="7" t="s">
        <v>703</v>
      </c>
      <c r="S572" s="7" t="s">
        <v>704</v>
      </c>
      <c r="T572" s="7" t="s">
        <v>705</v>
      </c>
      <c r="U572" s="7" t="s">
        <v>706</v>
      </c>
      <c r="V572" s="7" t="s">
        <v>707</v>
      </c>
      <c r="W572" s="7" t="s">
        <v>708</v>
      </c>
      <c r="X572" s="7" t="s">
        <v>709</v>
      </c>
      <c r="Y572" s="7" t="s">
        <v>710</v>
      </c>
      <c r="Z572" s="7" t="s">
        <v>711</v>
      </c>
      <c r="AA572" s="7" t="s">
        <v>712</v>
      </c>
      <c r="AB572" s="7" t="s">
        <v>694</v>
      </c>
      <c r="AC572" s="7" t="s">
        <v>713</v>
      </c>
      <c r="AD572" s="7" t="s">
        <v>714</v>
      </c>
      <c r="AE572" s="7" t="s">
        <v>715</v>
      </c>
      <c r="AF572" s="7" t="s">
        <v>716</v>
      </c>
      <c r="AG572" s="7" t="s">
        <v>688</v>
      </c>
      <c r="AH572" s="7" t="s">
        <v>689</v>
      </c>
      <c r="AI572" s="7" t="s">
        <v>747</v>
      </c>
      <c r="AJ572" s="7" t="s">
        <v>696</v>
      </c>
      <c r="AK572" s="7" t="s">
        <v>773</v>
      </c>
      <c r="AL572" s="7" t="s">
        <v>940</v>
      </c>
      <c r="AM572" s="7" t="s">
        <v>941</v>
      </c>
      <c r="AN572" s="7" t="s">
        <v>942</v>
      </c>
      <c r="AO572" s="60" t="s">
        <v>688</v>
      </c>
      <c r="AP572" s="60" t="s">
        <v>689</v>
      </c>
      <c r="AQ572" s="60" t="s">
        <v>690</v>
      </c>
      <c r="AR572" s="60" t="s">
        <v>691</v>
      </c>
      <c r="AS572" s="60" t="s">
        <v>692</v>
      </c>
      <c r="AT572" s="60" t="s">
        <v>693</v>
      </c>
      <c r="AU572" s="60" t="s">
        <v>694</v>
      </c>
      <c r="AV572" s="60" t="s">
        <v>695</v>
      </c>
      <c r="AW572" s="60" t="s">
        <v>1142</v>
      </c>
      <c r="AX572" s="60" t="s">
        <v>697</v>
      </c>
      <c r="AY572" s="60" t="s">
        <v>698</v>
      </c>
      <c r="AZ572" s="60" t="s">
        <v>699</v>
      </c>
      <c r="BA572" s="60" t="s">
        <v>700</v>
      </c>
      <c r="BB572" s="60" t="s">
        <v>701</v>
      </c>
      <c r="BC572" s="60" t="s">
        <v>702</v>
      </c>
      <c r="BD572" s="60" t="s">
        <v>703</v>
      </c>
      <c r="BE572" s="60" t="s">
        <v>704</v>
      </c>
      <c r="BF572" s="60" t="s">
        <v>705</v>
      </c>
      <c r="BG572" s="60" t="s">
        <v>706</v>
      </c>
      <c r="BH572" s="60" t="s">
        <v>707</v>
      </c>
      <c r="BI572" s="60" t="s">
        <v>708</v>
      </c>
      <c r="BJ572" s="60" t="s">
        <v>709</v>
      </c>
      <c r="BK572" s="60" t="s">
        <v>710</v>
      </c>
      <c r="BL572" s="60" t="s">
        <v>2724</v>
      </c>
      <c r="BM572" s="60" t="s">
        <v>2725</v>
      </c>
      <c r="BN572" s="60" t="s">
        <v>2726</v>
      </c>
      <c r="BO572" s="60" t="s">
        <v>2727</v>
      </c>
      <c r="BP572" s="60" t="s">
        <v>2728</v>
      </c>
      <c r="BQ572" s="60" t="s">
        <v>2729</v>
      </c>
      <c r="BR572" s="60"/>
      <c r="BS572" s="60"/>
      <c r="BT572" s="60"/>
      <c r="BU572" s="60"/>
      <c r="BV572" s="60"/>
      <c r="BW572" s="60"/>
      <c r="BX572" s="60"/>
      <c r="BY572" s="60"/>
      <c r="BZ572" s="60"/>
      <c r="CA572" s="60"/>
      <c r="CB572" s="60"/>
      <c r="CC572" s="60"/>
      <c r="CD572" s="60"/>
      <c r="CE572" s="60"/>
      <c r="CF572" s="60"/>
      <c r="CG572" s="60"/>
    </row>
    <row r="573" spans="1:85" ht="78" customHeight="1" x14ac:dyDescent="0.4">
      <c r="A573" s="67" t="s">
        <v>586</v>
      </c>
      <c r="B573" t="e">
        <f>_xlfn.XLOOKUP(A573,'Product info'!A:A,'Product info'!C:C,,2)</f>
        <v>#N/A</v>
      </c>
      <c r="C573" s="69" t="s">
        <v>688</v>
      </c>
      <c r="D573" s="7" t="s">
        <v>689</v>
      </c>
      <c r="E573" s="7" t="s">
        <v>690</v>
      </c>
      <c r="F573" s="7" t="s">
        <v>691</v>
      </c>
      <c r="G573" s="7" t="s">
        <v>692</v>
      </c>
      <c r="H573" s="7" t="s">
        <v>693</v>
      </c>
      <c r="I573" s="7" t="s">
        <v>694</v>
      </c>
      <c r="J573" s="7" t="s">
        <v>695</v>
      </c>
      <c r="K573" s="7" t="s">
        <v>696</v>
      </c>
      <c r="L573" s="7" t="s">
        <v>697</v>
      </c>
      <c r="M573" s="7" t="s">
        <v>698</v>
      </c>
      <c r="N573" s="7" t="s">
        <v>699</v>
      </c>
      <c r="O573" s="7" t="s">
        <v>700</v>
      </c>
      <c r="P573" s="7" t="s">
        <v>701</v>
      </c>
      <c r="Q573" s="7" t="s">
        <v>702</v>
      </c>
      <c r="R573" s="7" t="s">
        <v>703</v>
      </c>
      <c r="S573" s="7" t="s">
        <v>704</v>
      </c>
      <c r="T573" s="7" t="s">
        <v>705</v>
      </c>
      <c r="U573" s="7" t="s">
        <v>706</v>
      </c>
      <c r="V573" s="7" t="s">
        <v>707</v>
      </c>
      <c r="W573" s="7" t="s">
        <v>708</v>
      </c>
      <c r="X573" s="7" t="s">
        <v>709</v>
      </c>
      <c r="Y573" s="7" t="s">
        <v>710</v>
      </c>
      <c r="Z573" s="7" t="s">
        <v>711</v>
      </c>
      <c r="AA573" s="7" t="s">
        <v>712</v>
      </c>
      <c r="AB573" s="7" t="s">
        <v>694</v>
      </c>
      <c r="AC573" s="7" t="s">
        <v>713</v>
      </c>
      <c r="AD573" s="7" t="s">
        <v>714</v>
      </c>
      <c r="AE573" s="7" t="s">
        <v>715</v>
      </c>
      <c r="AF573" s="7" t="s">
        <v>716</v>
      </c>
      <c r="AG573" s="7" t="s">
        <v>688</v>
      </c>
      <c r="AH573" s="7" t="s">
        <v>689</v>
      </c>
      <c r="AI573" s="7" t="s">
        <v>747</v>
      </c>
      <c r="AJ573" s="7" t="s">
        <v>696</v>
      </c>
      <c r="AK573" s="7" t="s">
        <v>773</v>
      </c>
      <c r="AL573" s="7" t="s">
        <v>940</v>
      </c>
      <c r="AM573" s="7" t="s">
        <v>941</v>
      </c>
      <c r="AN573" s="7" t="s">
        <v>942</v>
      </c>
      <c r="AO573" s="60" t="s">
        <v>688</v>
      </c>
      <c r="AP573" s="60" t="s">
        <v>689</v>
      </c>
      <c r="AQ573" s="60" t="s">
        <v>690</v>
      </c>
      <c r="AR573" s="60" t="s">
        <v>691</v>
      </c>
      <c r="AS573" s="60" t="s">
        <v>692</v>
      </c>
      <c r="AT573" s="60" t="s">
        <v>693</v>
      </c>
      <c r="AU573" s="60" t="s">
        <v>694</v>
      </c>
      <c r="AV573" s="60" t="s">
        <v>695</v>
      </c>
      <c r="AW573" s="60" t="s">
        <v>1142</v>
      </c>
      <c r="AX573" s="60" t="s">
        <v>697</v>
      </c>
      <c r="AY573" s="60" t="s">
        <v>698</v>
      </c>
      <c r="AZ573" s="60" t="s">
        <v>699</v>
      </c>
      <c r="BA573" s="60" t="s">
        <v>700</v>
      </c>
      <c r="BB573" s="60" t="s">
        <v>701</v>
      </c>
      <c r="BC573" s="60" t="s">
        <v>702</v>
      </c>
      <c r="BD573" s="60" t="s">
        <v>703</v>
      </c>
      <c r="BE573" s="60" t="s">
        <v>704</v>
      </c>
      <c r="BF573" s="60" t="s">
        <v>705</v>
      </c>
      <c r="BG573" s="60" t="s">
        <v>706</v>
      </c>
      <c r="BH573" s="60" t="s">
        <v>707</v>
      </c>
      <c r="BI573" s="60" t="s">
        <v>708</v>
      </c>
      <c r="BJ573" s="60" t="s">
        <v>709</v>
      </c>
      <c r="BK573" s="60" t="s">
        <v>710</v>
      </c>
      <c r="BL573" s="60" t="s">
        <v>2724</v>
      </c>
      <c r="BM573" s="60" t="s">
        <v>2725</v>
      </c>
      <c r="BN573" s="60" t="s">
        <v>2726</v>
      </c>
      <c r="BO573" s="60" t="s">
        <v>2727</v>
      </c>
      <c r="BP573" s="60" t="s">
        <v>2728</v>
      </c>
      <c r="BQ573" s="60" t="s">
        <v>2729</v>
      </c>
      <c r="BR573" s="60"/>
      <c r="BS573" s="60"/>
      <c r="BT573" s="60"/>
      <c r="BU573" s="60"/>
      <c r="BV573" s="60"/>
      <c r="BW573" s="60"/>
      <c r="BX573" s="60"/>
      <c r="BY573" s="60"/>
      <c r="BZ573" s="60"/>
      <c r="CA573" s="60"/>
      <c r="CB573" s="60"/>
      <c r="CC573" s="60"/>
      <c r="CD573" s="60"/>
      <c r="CE573" s="60"/>
      <c r="CF573" s="60"/>
      <c r="CG573" s="60"/>
    </row>
    <row r="574" spans="1:85" ht="78" customHeight="1" x14ac:dyDescent="0.4">
      <c r="A574" s="67" t="s">
        <v>587</v>
      </c>
      <c r="B574" t="e">
        <f>_xlfn.XLOOKUP(A574,'Product info'!A:A,'Product info'!C:C,,2)</f>
        <v>#N/A</v>
      </c>
      <c r="C574" s="69" t="s">
        <v>688</v>
      </c>
      <c r="D574" s="7" t="s">
        <v>689</v>
      </c>
      <c r="E574" s="7" t="s">
        <v>690</v>
      </c>
      <c r="F574" s="7" t="s">
        <v>691</v>
      </c>
      <c r="G574" s="7" t="s">
        <v>692</v>
      </c>
      <c r="H574" s="7" t="s">
        <v>693</v>
      </c>
      <c r="I574" s="7" t="s">
        <v>694</v>
      </c>
      <c r="J574" s="7" t="s">
        <v>695</v>
      </c>
      <c r="K574" s="7" t="s">
        <v>696</v>
      </c>
      <c r="L574" s="7" t="s">
        <v>697</v>
      </c>
      <c r="M574" s="7" t="s">
        <v>698</v>
      </c>
      <c r="N574" s="7" t="s">
        <v>699</v>
      </c>
      <c r="O574" s="7" t="s">
        <v>700</v>
      </c>
      <c r="P574" s="7" t="s">
        <v>701</v>
      </c>
      <c r="Q574" s="7" t="s">
        <v>702</v>
      </c>
      <c r="R574" s="7" t="s">
        <v>703</v>
      </c>
      <c r="S574" s="7" t="s">
        <v>704</v>
      </c>
      <c r="T574" s="7" t="s">
        <v>705</v>
      </c>
      <c r="U574" s="7" t="s">
        <v>706</v>
      </c>
      <c r="V574" s="7" t="s">
        <v>707</v>
      </c>
      <c r="W574" s="7" t="s">
        <v>708</v>
      </c>
      <c r="X574" s="7" t="s">
        <v>709</v>
      </c>
      <c r="Y574" s="7" t="s">
        <v>710</v>
      </c>
      <c r="Z574" s="7" t="s">
        <v>711</v>
      </c>
      <c r="AA574" s="7" t="s">
        <v>712</v>
      </c>
      <c r="AB574" s="7" t="s">
        <v>694</v>
      </c>
      <c r="AC574" s="7" t="s">
        <v>713</v>
      </c>
      <c r="AD574" s="7" t="s">
        <v>2730</v>
      </c>
      <c r="AO574" s="60"/>
      <c r="AP574" s="60"/>
      <c r="AQ574" s="60"/>
      <c r="AR574" s="60"/>
      <c r="AS574" s="60"/>
      <c r="AT574" s="60"/>
      <c r="AU574" s="60"/>
      <c r="AV574" s="60"/>
      <c r="AW574" s="60"/>
      <c r="AX574" s="60"/>
      <c r="AY574" s="60"/>
      <c r="AZ574" s="60"/>
      <c r="BA574" s="60"/>
      <c r="BB574" s="60"/>
      <c r="BC574" s="60"/>
      <c r="BD574" s="60"/>
      <c r="BE574" s="60"/>
      <c r="BF574" s="60"/>
      <c r="BG574" s="60"/>
      <c r="BH574" s="60"/>
      <c r="BI574" s="60"/>
      <c r="BJ574" s="60"/>
      <c r="BK574" s="60"/>
    </row>
    <row r="575" spans="1:85" ht="78" customHeight="1" x14ac:dyDescent="0.4">
      <c r="A575" s="67">
        <v>8721001273638</v>
      </c>
      <c r="B575" t="e">
        <f>_xlfn.XLOOKUP(A575,'Product info'!A:A,'Product info'!C:C,,2)</f>
        <v>#N/A</v>
      </c>
      <c r="C575" s="69" t="s">
        <v>688</v>
      </c>
      <c r="D575" s="7" t="s">
        <v>689</v>
      </c>
      <c r="E575" s="7" t="s">
        <v>690</v>
      </c>
      <c r="F575" s="7" t="s">
        <v>691</v>
      </c>
      <c r="G575" s="7" t="s">
        <v>692</v>
      </c>
      <c r="H575" s="7" t="s">
        <v>693</v>
      </c>
      <c r="I575" s="7" t="s">
        <v>694</v>
      </c>
      <c r="J575" s="7" t="s">
        <v>695</v>
      </c>
      <c r="K575" s="7" t="s">
        <v>696</v>
      </c>
      <c r="L575" s="7" t="s">
        <v>697</v>
      </c>
      <c r="M575" s="7" t="s">
        <v>698</v>
      </c>
      <c r="N575" s="7" t="s">
        <v>699</v>
      </c>
      <c r="O575" s="7" t="s">
        <v>700</v>
      </c>
      <c r="P575" s="7" t="s">
        <v>701</v>
      </c>
      <c r="Q575" s="7" t="s">
        <v>702</v>
      </c>
      <c r="R575" s="7" t="s">
        <v>703</v>
      </c>
      <c r="S575" s="7" t="s">
        <v>704</v>
      </c>
      <c r="T575" s="7" t="s">
        <v>705</v>
      </c>
      <c r="U575" s="7" t="s">
        <v>706</v>
      </c>
      <c r="V575" s="7" t="s">
        <v>707</v>
      </c>
      <c r="W575" s="7" t="s">
        <v>708</v>
      </c>
      <c r="X575" s="7" t="s">
        <v>709</v>
      </c>
      <c r="Y575" s="7" t="s">
        <v>710</v>
      </c>
      <c r="Z575" s="7" t="s">
        <v>711</v>
      </c>
      <c r="AA575" s="7" t="s">
        <v>712</v>
      </c>
      <c r="AB575" s="7" t="s">
        <v>694</v>
      </c>
      <c r="AC575" s="7" t="s">
        <v>713</v>
      </c>
      <c r="AD575" s="7" t="s">
        <v>2730</v>
      </c>
      <c r="AO575" s="60"/>
      <c r="AP575" s="60"/>
      <c r="AQ575" s="60"/>
      <c r="AR575" s="60"/>
      <c r="AS575" s="60"/>
      <c r="AT575" s="60"/>
      <c r="AU575" s="60"/>
      <c r="AV575" s="60"/>
      <c r="AW575" s="60"/>
      <c r="AX575" s="60"/>
      <c r="AY575" s="60"/>
      <c r="AZ575" s="60"/>
      <c r="BA575" s="60"/>
      <c r="BB575" s="60"/>
      <c r="BC575" s="60"/>
      <c r="BD575" s="60"/>
      <c r="BE575" s="60"/>
      <c r="BF575" s="60"/>
      <c r="BG575" s="60"/>
      <c r="BH575" s="60"/>
      <c r="BI575" s="60"/>
      <c r="BJ575" s="60"/>
      <c r="BK575" s="60"/>
    </row>
    <row r="576" spans="1:85" ht="78" customHeight="1" x14ac:dyDescent="0.4">
      <c r="A576" s="67" t="s">
        <v>588</v>
      </c>
      <c r="B576" t="e">
        <f>_xlfn.XLOOKUP(A576,'Product info'!A:A,'Product info'!C:C,,2)</f>
        <v>#N/A</v>
      </c>
      <c r="C576" s="69" t="s">
        <v>688</v>
      </c>
      <c r="D576" s="7" t="s">
        <v>689</v>
      </c>
      <c r="E576" s="7" t="s">
        <v>690</v>
      </c>
      <c r="F576" s="7" t="s">
        <v>691</v>
      </c>
      <c r="G576" s="7" t="s">
        <v>692</v>
      </c>
      <c r="H576" s="7" t="s">
        <v>693</v>
      </c>
      <c r="I576" s="7" t="s">
        <v>694</v>
      </c>
      <c r="J576" s="7" t="s">
        <v>695</v>
      </c>
      <c r="K576" s="7" t="s">
        <v>696</v>
      </c>
      <c r="L576" s="7" t="s">
        <v>697</v>
      </c>
      <c r="M576" s="7" t="s">
        <v>698</v>
      </c>
      <c r="N576" s="7" t="s">
        <v>699</v>
      </c>
      <c r="O576" s="7" t="s">
        <v>700</v>
      </c>
      <c r="P576" s="7" t="s">
        <v>701</v>
      </c>
      <c r="Q576" s="7" t="s">
        <v>702</v>
      </c>
      <c r="R576" s="7" t="s">
        <v>703</v>
      </c>
      <c r="S576" s="7" t="s">
        <v>704</v>
      </c>
      <c r="T576" s="7" t="s">
        <v>705</v>
      </c>
      <c r="U576" s="7" t="s">
        <v>706</v>
      </c>
      <c r="V576" s="7" t="s">
        <v>707</v>
      </c>
      <c r="W576" s="7" t="s">
        <v>708</v>
      </c>
      <c r="X576" s="7" t="s">
        <v>709</v>
      </c>
      <c r="Y576" s="7" t="s">
        <v>710</v>
      </c>
      <c r="Z576" s="7" t="s">
        <v>711</v>
      </c>
      <c r="AA576" s="7" t="s">
        <v>712</v>
      </c>
      <c r="AB576" s="7" t="s">
        <v>694</v>
      </c>
      <c r="AC576" s="7" t="s">
        <v>713</v>
      </c>
      <c r="AD576" s="7" t="s">
        <v>714</v>
      </c>
      <c r="AE576" s="7" t="s">
        <v>715</v>
      </c>
      <c r="AF576" s="7" t="s">
        <v>716</v>
      </c>
      <c r="AG576" s="7" t="s">
        <v>2471</v>
      </c>
      <c r="AH576" s="7" t="s">
        <v>2472</v>
      </c>
      <c r="AI576" s="7" t="s">
        <v>2473</v>
      </c>
      <c r="AJ576" s="7" t="s">
        <v>2474</v>
      </c>
      <c r="AK576" s="7" t="s">
        <v>2475</v>
      </c>
      <c r="AL576" s="7" t="s">
        <v>2476</v>
      </c>
      <c r="AM576" s="7" t="s">
        <v>2477</v>
      </c>
      <c r="AN576" s="7" t="s">
        <v>2478</v>
      </c>
      <c r="AO576" s="7" t="s">
        <v>2479</v>
      </c>
      <c r="AP576" s="7" t="s">
        <v>2480</v>
      </c>
      <c r="AQ576" s="7" t="s">
        <v>2481</v>
      </c>
      <c r="AR576" s="7" t="s">
        <v>2482</v>
      </c>
    </row>
    <row r="577" spans="1:51" ht="78" customHeight="1" x14ac:dyDescent="0.4">
      <c r="A577" s="67" t="s">
        <v>589</v>
      </c>
      <c r="B577" t="e">
        <f>_xlfn.XLOOKUP(A577,'Product info'!A:A,'Product info'!C:C,,2)</f>
        <v>#N/A</v>
      </c>
      <c r="C577" s="69" t="s">
        <v>688</v>
      </c>
      <c r="D577" s="7" t="s">
        <v>689</v>
      </c>
      <c r="E577" s="7" t="s">
        <v>690</v>
      </c>
      <c r="F577" s="7" t="s">
        <v>691</v>
      </c>
      <c r="G577" s="7" t="s">
        <v>692</v>
      </c>
      <c r="H577" s="7" t="s">
        <v>693</v>
      </c>
      <c r="I577" s="7" t="s">
        <v>694</v>
      </c>
      <c r="J577" s="7" t="s">
        <v>695</v>
      </c>
      <c r="K577" s="7" t="s">
        <v>696</v>
      </c>
      <c r="L577" s="7" t="s">
        <v>697</v>
      </c>
      <c r="M577" s="7" t="s">
        <v>698</v>
      </c>
      <c r="N577" s="7" t="s">
        <v>699</v>
      </c>
      <c r="O577" s="7" t="s">
        <v>700</v>
      </c>
      <c r="P577" s="7" t="s">
        <v>701</v>
      </c>
      <c r="Q577" s="7" t="s">
        <v>702</v>
      </c>
      <c r="R577" s="7" t="s">
        <v>703</v>
      </c>
      <c r="S577" s="7" t="s">
        <v>704</v>
      </c>
      <c r="T577" s="7" t="s">
        <v>705</v>
      </c>
      <c r="U577" s="7" t="s">
        <v>706</v>
      </c>
      <c r="V577" s="7" t="s">
        <v>707</v>
      </c>
      <c r="W577" s="7" t="s">
        <v>708</v>
      </c>
      <c r="X577" s="7" t="s">
        <v>709</v>
      </c>
      <c r="Y577" s="7" t="s">
        <v>710</v>
      </c>
      <c r="Z577" s="7" t="s">
        <v>711</v>
      </c>
      <c r="AA577" s="7" t="s">
        <v>712</v>
      </c>
      <c r="AB577" s="7" t="s">
        <v>694</v>
      </c>
      <c r="AC577" s="7" t="s">
        <v>713</v>
      </c>
      <c r="AD577" s="7" t="s">
        <v>714</v>
      </c>
      <c r="AE577" s="7" t="s">
        <v>715</v>
      </c>
      <c r="AF577" s="7" t="s">
        <v>716</v>
      </c>
      <c r="AG577" s="7" t="s">
        <v>2471</v>
      </c>
      <c r="AH577" s="7" t="s">
        <v>2472</v>
      </c>
      <c r="AI577" s="7" t="s">
        <v>2473</v>
      </c>
      <c r="AJ577" s="7" t="s">
        <v>2474</v>
      </c>
      <c r="AK577" s="7" t="s">
        <v>2475</v>
      </c>
      <c r="AL577" s="7" t="s">
        <v>2476</v>
      </c>
      <c r="AM577" s="7" t="s">
        <v>2477</v>
      </c>
      <c r="AN577" s="7" t="s">
        <v>2478</v>
      </c>
      <c r="AO577" s="7" t="s">
        <v>2479</v>
      </c>
      <c r="AP577" s="7" t="s">
        <v>2480</v>
      </c>
      <c r="AQ577" s="7" t="s">
        <v>2481</v>
      </c>
      <c r="AR577" s="7" t="s">
        <v>2482</v>
      </c>
    </row>
    <row r="578" spans="1:51" ht="78" customHeight="1" x14ac:dyDescent="0.4">
      <c r="A578" s="67">
        <v>8721001273850</v>
      </c>
      <c r="B578" t="e">
        <f>_xlfn.XLOOKUP(A578,'Product info'!A:A,'Product info'!C:C,,2)</f>
        <v>#N/A</v>
      </c>
      <c r="C578" s="69" t="s">
        <v>688</v>
      </c>
      <c r="D578" s="7" t="s">
        <v>689</v>
      </c>
      <c r="E578" s="7" t="s">
        <v>690</v>
      </c>
      <c r="F578" s="7" t="s">
        <v>691</v>
      </c>
      <c r="G578" s="7" t="s">
        <v>692</v>
      </c>
      <c r="H578" s="7" t="s">
        <v>693</v>
      </c>
      <c r="I578" s="7" t="s">
        <v>694</v>
      </c>
      <c r="J578" s="7" t="s">
        <v>695</v>
      </c>
      <c r="K578" s="7" t="s">
        <v>696</v>
      </c>
      <c r="L578" s="7" t="s">
        <v>697</v>
      </c>
      <c r="M578" s="7" t="s">
        <v>698</v>
      </c>
      <c r="N578" s="7" t="s">
        <v>699</v>
      </c>
      <c r="O578" s="7" t="s">
        <v>700</v>
      </c>
      <c r="P578" s="7" t="s">
        <v>701</v>
      </c>
      <c r="Q578" s="7" t="s">
        <v>702</v>
      </c>
      <c r="R578" s="7" t="s">
        <v>703</v>
      </c>
      <c r="S578" s="7" t="s">
        <v>704</v>
      </c>
      <c r="T578" s="7" t="s">
        <v>705</v>
      </c>
      <c r="U578" s="7" t="s">
        <v>706</v>
      </c>
      <c r="V578" s="7" t="s">
        <v>707</v>
      </c>
      <c r="W578" s="7" t="s">
        <v>708</v>
      </c>
      <c r="X578" s="7" t="s">
        <v>709</v>
      </c>
      <c r="Y578" s="7" t="s">
        <v>710</v>
      </c>
      <c r="Z578" s="7" t="s">
        <v>711</v>
      </c>
      <c r="AA578" s="7" t="s">
        <v>712</v>
      </c>
      <c r="AB578" s="7" t="s">
        <v>694</v>
      </c>
      <c r="AC578" s="7" t="s">
        <v>713</v>
      </c>
      <c r="AD578" s="7" t="s">
        <v>714</v>
      </c>
      <c r="AE578" s="7" t="s">
        <v>715</v>
      </c>
      <c r="AF578" s="7" t="s">
        <v>716</v>
      </c>
      <c r="AG578" s="7" t="s">
        <v>2471</v>
      </c>
      <c r="AH578" s="7" t="s">
        <v>2472</v>
      </c>
      <c r="AI578" s="7" t="s">
        <v>2473</v>
      </c>
      <c r="AJ578" s="7" t="s">
        <v>2474</v>
      </c>
      <c r="AK578" s="7" t="s">
        <v>2475</v>
      </c>
      <c r="AL578" s="7" t="s">
        <v>2476</v>
      </c>
      <c r="AM578" s="7" t="s">
        <v>2477</v>
      </c>
      <c r="AN578" s="7" t="s">
        <v>2478</v>
      </c>
      <c r="AO578" s="7" t="s">
        <v>2479</v>
      </c>
      <c r="AP578" s="7" t="s">
        <v>2480</v>
      </c>
      <c r="AQ578" s="7" t="s">
        <v>2481</v>
      </c>
      <c r="AR578" s="7" t="s">
        <v>2482</v>
      </c>
    </row>
    <row r="579" spans="1:51" ht="78" customHeight="1" x14ac:dyDescent="0.4">
      <c r="A579" s="67">
        <v>8721001273867</v>
      </c>
      <c r="B579" t="e">
        <f>_xlfn.XLOOKUP(A579,'Product info'!A:A,'Product info'!C:C,,2)</f>
        <v>#N/A</v>
      </c>
      <c r="C579" s="69" t="s">
        <v>688</v>
      </c>
      <c r="D579" s="7" t="s">
        <v>689</v>
      </c>
      <c r="E579" s="7" t="s">
        <v>690</v>
      </c>
      <c r="F579" s="7" t="s">
        <v>691</v>
      </c>
      <c r="G579" s="7" t="s">
        <v>692</v>
      </c>
      <c r="H579" s="7" t="s">
        <v>693</v>
      </c>
      <c r="I579" s="7" t="s">
        <v>694</v>
      </c>
      <c r="J579" s="7" t="s">
        <v>695</v>
      </c>
      <c r="K579" s="7" t="s">
        <v>696</v>
      </c>
      <c r="L579" s="7" t="s">
        <v>697</v>
      </c>
      <c r="M579" s="7" t="s">
        <v>698</v>
      </c>
      <c r="N579" s="7" t="s">
        <v>699</v>
      </c>
      <c r="O579" s="7" t="s">
        <v>700</v>
      </c>
      <c r="P579" s="7" t="s">
        <v>701</v>
      </c>
      <c r="Q579" s="7" t="s">
        <v>702</v>
      </c>
      <c r="R579" s="7" t="s">
        <v>703</v>
      </c>
      <c r="S579" s="7" t="s">
        <v>704</v>
      </c>
      <c r="T579" s="7" t="s">
        <v>705</v>
      </c>
      <c r="U579" s="7" t="s">
        <v>706</v>
      </c>
      <c r="V579" s="7" t="s">
        <v>707</v>
      </c>
      <c r="W579" s="7" t="s">
        <v>708</v>
      </c>
      <c r="X579" s="7" t="s">
        <v>709</v>
      </c>
      <c r="Y579" s="7" t="s">
        <v>710</v>
      </c>
      <c r="Z579" s="7" t="s">
        <v>711</v>
      </c>
      <c r="AA579" s="7" t="s">
        <v>712</v>
      </c>
      <c r="AB579" s="7" t="s">
        <v>694</v>
      </c>
      <c r="AC579" s="7" t="s">
        <v>713</v>
      </c>
      <c r="AD579" s="7" t="s">
        <v>714</v>
      </c>
      <c r="AE579" s="7" t="s">
        <v>715</v>
      </c>
      <c r="AF579" s="7" t="s">
        <v>716</v>
      </c>
      <c r="AG579" s="7" t="s">
        <v>2471</v>
      </c>
      <c r="AH579" s="7" t="s">
        <v>2472</v>
      </c>
      <c r="AI579" s="7" t="s">
        <v>2473</v>
      </c>
      <c r="AJ579" s="7" t="s">
        <v>2474</v>
      </c>
      <c r="AK579" s="7" t="s">
        <v>2475</v>
      </c>
      <c r="AL579" s="7" t="s">
        <v>2476</v>
      </c>
      <c r="AM579" s="7" t="s">
        <v>2477</v>
      </c>
      <c r="AN579" s="7" t="s">
        <v>2478</v>
      </c>
      <c r="AO579" s="7" t="s">
        <v>2479</v>
      </c>
      <c r="AP579" s="7" t="s">
        <v>2480</v>
      </c>
      <c r="AQ579" s="7" t="s">
        <v>2481</v>
      </c>
      <c r="AR579" s="7" t="s">
        <v>2482</v>
      </c>
    </row>
    <row r="580" spans="1:51" ht="78" customHeight="1" x14ac:dyDescent="0.4">
      <c r="A580" s="67" t="s">
        <v>590</v>
      </c>
      <c r="B580" t="e">
        <f>_xlfn.XLOOKUP(A580,'Product info'!A:A,'Product info'!C:C,,2)</f>
        <v>#N/A</v>
      </c>
      <c r="C580" s="69" t="s">
        <v>688</v>
      </c>
      <c r="D580" s="7" t="s">
        <v>689</v>
      </c>
      <c r="E580" s="7" t="s">
        <v>690</v>
      </c>
      <c r="F580" s="7" t="s">
        <v>691</v>
      </c>
      <c r="G580" s="7" t="s">
        <v>692</v>
      </c>
      <c r="H580" s="7" t="s">
        <v>693</v>
      </c>
      <c r="I580" s="7" t="s">
        <v>694</v>
      </c>
      <c r="J580" s="7" t="s">
        <v>695</v>
      </c>
      <c r="K580" s="7" t="s">
        <v>696</v>
      </c>
      <c r="L580" s="7" t="s">
        <v>697</v>
      </c>
      <c r="M580" s="7" t="s">
        <v>698</v>
      </c>
      <c r="N580" s="7" t="s">
        <v>699</v>
      </c>
      <c r="O580" s="7" t="s">
        <v>700</v>
      </c>
      <c r="P580" s="7" t="s">
        <v>701</v>
      </c>
      <c r="Q580" s="7" t="s">
        <v>702</v>
      </c>
      <c r="R580" s="7" t="s">
        <v>703</v>
      </c>
      <c r="S580" s="7" t="s">
        <v>704</v>
      </c>
      <c r="T580" s="7" t="s">
        <v>705</v>
      </c>
      <c r="U580" s="7" t="s">
        <v>706</v>
      </c>
      <c r="V580" s="7" t="s">
        <v>707</v>
      </c>
      <c r="W580" s="7" t="s">
        <v>708</v>
      </c>
      <c r="X580" s="7" t="s">
        <v>709</v>
      </c>
      <c r="Y580" s="7" t="s">
        <v>710</v>
      </c>
      <c r="Z580" s="7" t="s">
        <v>711</v>
      </c>
      <c r="AA580" s="7" t="s">
        <v>712</v>
      </c>
      <c r="AB580" s="7" t="s">
        <v>694</v>
      </c>
      <c r="AC580" s="7" t="s">
        <v>713</v>
      </c>
      <c r="AD580" s="7" t="s">
        <v>714</v>
      </c>
      <c r="AE580" s="7" t="s">
        <v>715</v>
      </c>
      <c r="AF580" s="7" t="s">
        <v>716</v>
      </c>
      <c r="AG580" s="7" t="s">
        <v>2471</v>
      </c>
      <c r="AH580" s="7" t="s">
        <v>2472</v>
      </c>
      <c r="AI580" s="7" t="s">
        <v>2473</v>
      </c>
      <c r="AJ580" s="7" t="s">
        <v>2474</v>
      </c>
      <c r="AK580" s="7" t="s">
        <v>2475</v>
      </c>
      <c r="AL580" s="7" t="s">
        <v>2476</v>
      </c>
      <c r="AM580" s="7" t="s">
        <v>2477</v>
      </c>
      <c r="AN580" s="7" t="s">
        <v>2478</v>
      </c>
      <c r="AO580" s="7" t="s">
        <v>2479</v>
      </c>
      <c r="AP580" s="7" t="s">
        <v>2480</v>
      </c>
      <c r="AQ580" s="7" t="s">
        <v>2481</v>
      </c>
      <c r="AR580" s="7" t="s">
        <v>2482</v>
      </c>
      <c r="AS580" s="7" t="s">
        <v>2731</v>
      </c>
      <c r="AT580" s="7" t="s">
        <v>2732</v>
      </c>
      <c r="AU580" s="7" t="s">
        <v>2733</v>
      </c>
      <c r="AV580" s="7" t="s">
        <v>2734</v>
      </c>
      <c r="AW580" s="7" t="s">
        <v>2735</v>
      </c>
      <c r="AX580" s="7" t="s">
        <v>2736</v>
      </c>
      <c r="AY580" s="7" t="s">
        <v>2737</v>
      </c>
    </row>
    <row r="581" spans="1:51" ht="78" customHeight="1" x14ac:dyDescent="0.4">
      <c r="A581" s="67" t="s">
        <v>591</v>
      </c>
      <c r="B581" t="e">
        <f>_xlfn.XLOOKUP(A581,'Product info'!A:A,'Product info'!C:C,,2)</f>
        <v>#N/A</v>
      </c>
      <c r="C581" s="69" t="s">
        <v>688</v>
      </c>
      <c r="D581" s="7" t="s">
        <v>689</v>
      </c>
      <c r="E581" s="7" t="s">
        <v>690</v>
      </c>
      <c r="F581" s="7" t="s">
        <v>691</v>
      </c>
      <c r="G581" s="7" t="s">
        <v>692</v>
      </c>
      <c r="H581" s="7" t="s">
        <v>693</v>
      </c>
      <c r="I581" s="7" t="s">
        <v>694</v>
      </c>
      <c r="J581" s="7" t="s">
        <v>695</v>
      </c>
      <c r="K581" s="7" t="s">
        <v>696</v>
      </c>
      <c r="L581" s="7" t="s">
        <v>697</v>
      </c>
      <c r="M581" s="7" t="s">
        <v>698</v>
      </c>
      <c r="N581" s="7" t="s">
        <v>699</v>
      </c>
      <c r="O581" s="7" t="s">
        <v>700</v>
      </c>
      <c r="P581" s="7" t="s">
        <v>701</v>
      </c>
      <c r="Q581" s="7" t="s">
        <v>702</v>
      </c>
      <c r="R581" s="7" t="s">
        <v>703</v>
      </c>
      <c r="S581" s="7" t="s">
        <v>704</v>
      </c>
      <c r="T581" s="7" t="s">
        <v>705</v>
      </c>
      <c r="U581" s="7" t="s">
        <v>706</v>
      </c>
      <c r="V581" s="7" t="s">
        <v>707</v>
      </c>
      <c r="W581" s="7" t="s">
        <v>708</v>
      </c>
      <c r="X581" s="7" t="s">
        <v>709</v>
      </c>
      <c r="Y581" s="7" t="s">
        <v>710</v>
      </c>
      <c r="Z581" s="7" t="s">
        <v>711</v>
      </c>
      <c r="AA581" s="7" t="s">
        <v>712</v>
      </c>
      <c r="AB581" s="7" t="s">
        <v>694</v>
      </c>
      <c r="AC581" s="7" t="s">
        <v>713</v>
      </c>
      <c r="AD581" s="7" t="s">
        <v>714</v>
      </c>
      <c r="AE581" s="7" t="s">
        <v>715</v>
      </c>
      <c r="AF581" s="7" t="s">
        <v>716</v>
      </c>
      <c r="AG581" s="7" t="s">
        <v>2471</v>
      </c>
      <c r="AH581" s="7" t="s">
        <v>2472</v>
      </c>
      <c r="AI581" s="7" t="s">
        <v>2473</v>
      </c>
      <c r="AJ581" s="7" t="s">
        <v>2474</v>
      </c>
      <c r="AK581" s="7" t="s">
        <v>2475</v>
      </c>
      <c r="AL581" s="7" t="s">
        <v>2476</v>
      </c>
      <c r="AM581" s="7" t="s">
        <v>2477</v>
      </c>
      <c r="AN581" s="7" t="s">
        <v>2478</v>
      </c>
      <c r="AO581" s="7" t="s">
        <v>2479</v>
      </c>
      <c r="AP581" s="7" t="s">
        <v>2480</v>
      </c>
      <c r="AQ581" s="7" t="s">
        <v>2481</v>
      </c>
      <c r="AR581" s="7" t="s">
        <v>2482</v>
      </c>
      <c r="AS581" s="7" t="s">
        <v>2731</v>
      </c>
      <c r="AT581" s="7" t="s">
        <v>2732</v>
      </c>
      <c r="AU581" s="7" t="s">
        <v>2733</v>
      </c>
      <c r="AV581" s="7" t="s">
        <v>2734</v>
      </c>
      <c r="AW581" s="7" t="s">
        <v>2735</v>
      </c>
      <c r="AX581" s="7" t="s">
        <v>2736</v>
      </c>
      <c r="AY581" s="7" t="s">
        <v>2737</v>
      </c>
    </row>
    <row r="582" spans="1:51" ht="78" customHeight="1" x14ac:dyDescent="0.4">
      <c r="A582" s="67" t="s">
        <v>592</v>
      </c>
      <c r="B582" t="e">
        <f>_xlfn.XLOOKUP(A582,'Product info'!A:A,'Product info'!C:C,,2)</f>
        <v>#N/A</v>
      </c>
      <c r="C582" s="69" t="s">
        <v>688</v>
      </c>
      <c r="D582" s="7" t="s">
        <v>689</v>
      </c>
      <c r="E582" s="7" t="s">
        <v>690</v>
      </c>
      <c r="F582" s="7" t="s">
        <v>691</v>
      </c>
      <c r="G582" s="7" t="s">
        <v>692</v>
      </c>
      <c r="H582" s="7" t="s">
        <v>693</v>
      </c>
      <c r="I582" s="7" t="s">
        <v>694</v>
      </c>
      <c r="J582" s="7" t="s">
        <v>695</v>
      </c>
      <c r="K582" s="7" t="s">
        <v>696</v>
      </c>
      <c r="L582" s="7" t="s">
        <v>697</v>
      </c>
      <c r="M582" s="7" t="s">
        <v>698</v>
      </c>
      <c r="N582" s="7" t="s">
        <v>699</v>
      </c>
      <c r="O582" s="7" t="s">
        <v>700</v>
      </c>
      <c r="P582" s="7" t="s">
        <v>701</v>
      </c>
      <c r="Q582" s="7" t="s">
        <v>702</v>
      </c>
      <c r="R582" s="7" t="s">
        <v>703</v>
      </c>
      <c r="S582" s="7" t="s">
        <v>704</v>
      </c>
      <c r="T582" s="7" t="s">
        <v>705</v>
      </c>
      <c r="U582" s="7" t="s">
        <v>706</v>
      </c>
      <c r="V582" s="7" t="s">
        <v>707</v>
      </c>
      <c r="W582" s="7" t="s">
        <v>708</v>
      </c>
      <c r="X582" s="7" t="s">
        <v>709</v>
      </c>
      <c r="Y582" s="7" t="s">
        <v>710</v>
      </c>
      <c r="Z582" s="7" t="s">
        <v>711</v>
      </c>
      <c r="AA582" s="7" t="s">
        <v>712</v>
      </c>
      <c r="AB582" s="7" t="s">
        <v>694</v>
      </c>
      <c r="AC582" s="7" t="s">
        <v>713</v>
      </c>
      <c r="AD582" s="7" t="s">
        <v>714</v>
      </c>
      <c r="AE582" s="7" t="s">
        <v>715</v>
      </c>
      <c r="AF582" s="7" t="s">
        <v>716</v>
      </c>
      <c r="AG582" s="7" t="s">
        <v>2471</v>
      </c>
      <c r="AH582" s="7" t="s">
        <v>2472</v>
      </c>
      <c r="AI582" s="7" t="s">
        <v>2473</v>
      </c>
      <c r="AJ582" s="7" t="s">
        <v>2474</v>
      </c>
      <c r="AK582" s="7" t="s">
        <v>2475</v>
      </c>
      <c r="AL582" s="7" t="s">
        <v>2476</v>
      </c>
      <c r="AM582" s="7" t="s">
        <v>2477</v>
      </c>
      <c r="AN582" s="7" t="s">
        <v>2478</v>
      </c>
      <c r="AO582" s="7" t="s">
        <v>2479</v>
      </c>
      <c r="AP582" s="7" t="s">
        <v>2480</v>
      </c>
      <c r="AQ582" s="7" t="s">
        <v>2481</v>
      </c>
      <c r="AR582" s="7" t="s">
        <v>2482</v>
      </c>
      <c r="AS582" s="7" t="s">
        <v>2731</v>
      </c>
      <c r="AT582" s="7" t="s">
        <v>2732</v>
      </c>
      <c r="AU582" s="7" t="s">
        <v>2733</v>
      </c>
      <c r="AV582" s="7" t="s">
        <v>2734</v>
      </c>
      <c r="AW582" s="7" t="s">
        <v>2735</v>
      </c>
      <c r="AX582" s="7" t="s">
        <v>2736</v>
      </c>
      <c r="AY582" s="7" t="s">
        <v>2737</v>
      </c>
    </row>
    <row r="583" spans="1:51" ht="78" customHeight="1" x14ac:dyDescent="0.4">
      <c r="A583" s="67" t="s">
        <v>593</v>
      </c>
      <c r="B583" t="e">
        <f>_xlfn.XLOOKUP(A583,'Product info'!A:A,'Product info'!C:C,,2)</f>
        <v>#N/A</v>
      </c>
      <c r="C583" s="69" t="s">
        <v>688</v>
      </c>
      <c r="D583" s="7" t="s">
        <v>689</v>
      </c>
      <c r="E583" s="7" t="s">
        <v>690</v>
      </c>
      <c r="F583" s="7" t="s">
        <v>691</v>
      </c>
      <c r="G583" s="7" t="s">
        <v>692</v>
      </c>
      <c r="H583" s="7" t="s">
        <v>693</v>
      </c>
      <c r="I583" s="7" t="s">
        <v>694</v>
      </c>
      <c r="J583" s="7" t="s">
        <v>695</v>
      </c>
      <c r="K583" s="7" t="s">
        <v>696</v>
      </c>
      <c r="L583" s="7" t="s">
        <v>697</v>
      </c>
      <c r="M583" s="7" t="s">
        <v>698</v>
      </c>
      <c r="N583" s="7" t="s">
        <v>699</v>
      </c>
      <c r="O583" s="7" t="s">
        <v>700</v>
      </c>
      <c r="P583" s="7" t="s">
        <v>701</v>
      </c>
      <c r="Q583" s="7" t="s">
        <v>702</v>
      </c>
      <c r="R583" s="7" t="s">
        <v>703</v>
      </c>
      <c r="S583" s="7" t="s">
        <v>704</v>
      </c>
      <c r="T583" s="7" t="s">
        <v>705</v>
      </c>
      <c r="U583" s="7" t="s">
        <v>706</v>
      </c>
      <c r="V583" s="7" t="s">
        <v>707</v>
      </c>
      <c r="W583" s="7" t="s">
        <v>708</v>
      </c>
      <c r="X583" s="7" t="s">
        <v>709</v>
      </c>
      <c r="Y583" s="7" t="s">
        <v>710</v>
      </c>
      <c r="Z583" s="7" t="s">
        <v>711</v>
      </c>
      <c r="AA583" s="7" t="s">
        <v>712</v>
      </c>
      <c r="AB583" s="7" t="s">
        <v>694</v>
      </c>
      <c r="AC583" s="7" t="s">
        <v>713</v>
      </c>
      <c r="AD583" s="7" t="s">
        <v>714</v>
      </c>
      <c r="AE583" s="7" t="s">
        <v>715</v>
      </c>
      <c r="AF583" s="7" t="s">
        <v>716</v>
      </c>
      <c r="AG583" s="7" t="s">
        <v>2471</v>
      </c>
      <c r="AH583" s="7" t="s">
        <v>2472</v>
      </c>
      <c r="AI583" s="7" t="s">
        <v>2473</v>
      </c>
      <c r="AJ583" s="7" t="s">
        <v>2474</v>
      </c>
      <c r="AK583" s="7" t="s">
        <v>2475</v>
      </c>
      <c r="AL583" s="7" t="s">
        <v>2476</v>
      </c>
      <c r="AM583" s="7" t="s">
        <v>2477</v>
      </c>
      <c r="AN583" s="7" t="s">
        <v>2478</v>
      </c>
      <c r="AO583" s="7" t="s">
        <v>2479</v>
      </c>
      <c r="AP583" s="7" t="s">
        <v>2480</v>
      </c>
      <c r="AQ583" s="7" t="s">
        <v>2481</v>
      </c>
      <c r="AR583" s="7" t="s">
        <v>2482</v>
      </c>
      <c r="AS583" s="7" t="s">
        <v>2731</v>
      </c>
      <c r="AT583" s="7" t="s">
        <v>2732</v>
      </c>
      <c r="AU583" s="7" t="s">
        <v>2733</v>
      </c>
      <c r="AV583" s="7" t="s">
        <v>2734</v>
      </c>
      <c r="AW583" s="7" t="s">
        <v>2735</v>
      </c>
      <c r="AX583" s="7" t="s">
        <v>2736</v>
      </c>
      <c r="AY583" s="7" t="s">
        <v>2737</v>
      </c>
    </row>
    <row r="584" spans="1:51" ht="78" customHeight="1" x14ac:dyDescent="0.4">
      <c r="A584" s="67" t="s">
        <v>594</v>
      </c>
      <c r="B584" t="e">
        <f>_xlfn.XLOOKUP(A584,'Product info'!A:A,'Product info'!C:C,,2)</f>
        <v>#N/A</v>
      </c>
      <c r="C584" s="69" t="s">
        <v>688</v>
      </c>
      <c r="D584" s="7" t="s">
        <v>689</v>
      </c>
      <c r="E584" s="7" t="s">
        <v>690</v>
      </c>
      <c r="F584" s="7" t="s">
        <v>691</v>
      </c>
      <c r="G584" s="7" t="s">
        <v>692</v>
      </c>
      <c r="H584" s="7" t="s">
        <v>693</v>
      </c>
      <c r="I584" s="7" t="s">
        <v>694</v>
      </c>
      <c r="J584" s="7" t="s">
        <v>695</v>
      </c>
      <c r="K584" s="7" t="s">
        <v>696</v>
      </c>
      <c r="L584" s="7" t="s">
        <v>697</v>
      </c>
      <c r="M584" s="7" t="s">
        <v>698</v>
      </c>
      <c r="N584" s="7" t="s">
        <v>699</v>
      </c>
      <c r="O584" s="7" t="s">
        <v>700</v>
      </c>
      <c r="P584" s="7" t="s">
        <v>701</v>
      </c>
      <c r="Q584" s="7" t="s">
        <v>702</v>
      </c>
      <c r="R584" s="7" t="s">
        <v>703</v>
      </c>
      <c r="S584" s="7" t="s">
        <v>704</v>
      </c>
      <c r="T584" s="7" t="s">
        <v>705</v>
      </c>
      <c r="U584" s="7" t="s">
        <v>706</v>
      </c>
      <c r="V584" s="7" t="s">
        <v>707</v>
      </c>
      <c r="W584" s="7" t="s">
        <v>708</v>
      </c>
      <c r="X584" s="7" t="s">
        <v>709</v>
      </c>
      <c r="Y584" s="7" t="s">
        <v>710</v>
      </c>
      <c r="Z584" s="7" t="s">
        <v>711</v>
      </c>
      <c r="AA584" s="7" t="s">
        <v>712</v>
      </c>
      <c r="AB584" s="7" t="s">
        <v>694</v>
      </c>
      <c r="AC584" s="7" t="s">
        <v>713</v>
      </c>
      <c r="AD584" s="7" t="s">
        <v>714</v>
      </c>
      <c r="AE584" s="7" t="s">
        <v>715</v>
      </c>
      <c r="AF584" s="7" t="s">
        <v>716</v>
      </c>
      <c r="AG584" s="7" t="s">
        <v>2471</v>
      </c>
      <c r="AH584" s="7" t="s">
        <v>2472</v>
      </c>
      <c r="AI584" s="7" t="s">
        <v>2473</v>
      </c>
      <c r="AJ584" s="7" t="s">
        <v>2474</v>
      </c>
      <c r="AK584" s="7" t="s">
        <v>2475</v>
      </c>
      <c r="AL584" s="7" t="s">
        <v>2476</v>
      </c>
      <c r="AM584" s="7" t="s">
        <v>2477</v>
      </c>
      <c r="AN584" s="7" t="s">
        <v>2478</v>
      </c>
      <c r="AO584" s="7" t="s">
        <v>2479</v>
      </c>
      <c r="AP584" s="7" t="s">
        <v>2480</v>
      </c>
      <c r="AQ584" s="7" t="s">
        <v>2481</v>
      </c>
      <c r="AR584" s="7" t="s">
        <v>2482</v>
      </c>
      <c r="AS584" s="7" t="s">
        <v>2731</v>
      </c>
      <c r="AT584" s="7" t="s">
        <v>2732</v>
      </c>
      <c r="AU584" s="7" t="s">
        <v>2733</v>
      </c>
      <c r="AV584" s="7" t="s">
        <v>2734</v>
      </c>
      <c r="AW584" s="7" t="s">
        <v>2735</v>
      </c>
      <c r="AX584" s="7" t="s">
        <v>2736</v>
      </c>
      <c r="AY584" s="7" t="s">
        <v>2737</v>
      </c>
    </row>
    <row r="585" spans="1:51" ht="78" customHeight="1" x14ac:dyDescent="0.4">
      <c r="A585" s="67" t="s">
        <v>595</v>
      </c>
      <c r="B585" t="e">
        <f>_xlfn.XLOOKUP(A585,'Product info'!A:A,'Product info'!C:C,,2)</f>
        <v>#N/A</v>
      </c>
      <c r="C585" s="69" t="s">
        <v>688</v>
      </c>
      <c r="D585" s="7" t="s">
        <v>689</v>
      </c>
      <c r="E585" s="7" t="s">
        <v>690</v>
      </c>
      <c r="F585" s="7" t="s">
        <v>691</v>
      </c>
      <c r="G585" s="7" t="s">
        <v>692</v>
      </c>
      <c r="H585" s="7" t="s">
        <v>693</v>
      </c>
      <c r="I585" s="7" t="s">
        <v>694</v>
      </c>
      <c r="J585" s="7" t="s">
        <v>695</v>
      </c>
      <c r="K585" s="7" t="s">
        <v>696</v>
      </c>
      <c r="L585" s="7" t="s">
        <v>697</v>
      </c>
      <c r="M585" s="7" t="s">
        <v>698</v>
      </c>
      <c r="N585" s="7" t="s">
        <v>699</v>
      </c>
      <c r="O585" s="7" t="s">
        <v>700</v>
      </c>
      <c r="P585" s="7" t="s">
        <v>701</v>
      </c>
      <c r="Q585" s="7" t="s">
        <v>702</v>
      </c>
      <c r="R585" s="7" t="s">
        <v>703</v>
      </c>
      <c r="S585" s="7" t="s">
        <v>704</v>
      </c>
      <c r="T585" s="7" t="s">
        <v>705</v>
      </c>
      <c r="U585" s="7" t="s">
        <v>706</v>
      </c>
      <c r="V585" s="7" t="s">
        <v>707</v>
      </c>
      <c r="W585" s="7" t="s">
        <v>708</v>
      </c>
      <c r="X585" s="7" t="s">
        <v>709</v>
      </c>
      <c r="Y585" s="7" t="s">
        <v>710</v>
      </c>
      <c r="Z585" s="7" t="s">
        <v>711</v>
      </c>
      <c r="AA585" s="7" t="s">
        <v>712</v>
      </c>
      <c r="AB585" s="7" t="s">
        <v>694</v>
      </c>
      <c r="AC585" s="7" t="s">
        <v>713</v>
      </c>
      <c r="AD585" s="7" t="s">
        <v>714</v>
      </c>
      <c r="AE585" s="7" t="s">
        <v>715</v>
      </c>
      <c r="AF585" s="7" t="s">
        <v>716</v>
      </c>
      <c r="AG585" s="7" t="s">
        <v>2471</v>
      </c>
      <c r="AH585" s="7" t="s">
        <v>2472</v>
      </c>
      <c r="AI585" s="7" t="s">
        <v>2473</v>
      </c>
      <c r="AJ585" s="7" t="s">
        <v>2474</v>
      </c>
      <c r="AK585" s="7" t="s">
        <v>2475</v>
      </c>
      <c r="AL585" s="7" t="s">
        <v>2476</v>
      </c>
      <c r="AM585" s="7" t="s">
        <v>2477</v>
      </c>
      <c r="AN585" s="7" t="s">
        <v>2478</v>
      </c>
      <c r="AO585" s="7" t="s">
        <v>2479</v>
      </c>
      <c r="AP585" s="7" t="s">
        <v>2480</v>
      </c>
      <c r="AQ585" s="7" t="s">
        <v>2481</v>
      </c>
      <c r="AR585" s="7" t="s">
        <v>2482</v>
      </c>
      <c r="AS585" s="7" t="s">
        <v>2731</v>
      </c>
      <c r="AT585" s="7" t="s">
        <v>2732</v>
      </c>
      <c r="AU585" s="7" t="s">
        <v>2733</v>
      </c>
      <c r="AV585" s="7" t="s">
        <v>2734</v>
      </c>
      <c r="AW585" s="7" t="s">
        <v>2735</v>
      </c>
      <c r="AX585" s="7" t="s">
        <v>2736</v>
      </c>
      <c r="AY585" s="7" t="s">
        <v>2737</v>
      </c>
    </row>
    <row r="586" spans="1:51" ht="78" customHeight="1" x14ac:dyDescent="0.4">
      <c r="A586" s="67">
        <v>8721001273935</v>
      </c>
      <c r="B586" t="e">
        <f>_xlfn.XLOOKUP(A586,'Product info'!A:A,'Product info'!C:C,,2)</f>
        <v>#N/A</v>
      </c>
      <c r="C586" s="69" t="s">
        <v>688</v>
      </c>
      <c r="D586" s="7" t="s">
        <v>689</v>
      </c>
      <c r="E586" s="7" t="s">
        <v>690</v>
      </c>
      <c r="F586" s="7" t="s">
        <v>691</v>
      </c>
      <c r="G586" s="7" t="s">
        <v>692</v>
      </c>
      <c r="H586" s="7" t="s">
        <v>693</v>
      </c>
      <c r="I586" s="7" t="s">
        <v>694</v>
      </c>
      <c r="J586" s="7" t="s">
        <v>695</v>
      </c>
      <c r="K586" s="7" t="s">
        <v>696</v>
      </c>
      <c r="L586" s="7" t="s">
        <v>697</v>
      </c>
      <c r="M586" s="7" t="s">
        <v>698</v>
      </c>
      <c r="N586" s="7" t="s">
        <v>699</v>
      </c>
      <c r="O586" s="7" t="s">
        <v>700</v>
      </c>
      <c r="P586" s="7" t="s">
        <v>701</v>
      </c>
      <c r="Q586" s="7" t="s">
        <v>702</v>
      </c>
      <c r="R586" s="7" t="s">
        <v>703</v>
      </c>
      <c r="S586" s="7" t="s">
        <v>704</v>
      </c>
      <c r="T586" s="7" t="s">
        <v>705</v>
      </c>
      <c r="U586" s="7" t="s">
        <v>706</v>
      </c>
      <c r="V586" s="7" t="s">
        <v>707</v>
      </c>
      <c r="W586" s="7" t="s">
        <v>708</v>
      </c>
      <c r="X586" s="7" t="s">
        <v>709</v>
      </c>
      <c r="Y586" s="7" t="s">
        <v>710</v>
      </c>
      <c r="Z586" s="7" t="s">
        <v>711</v>
      </c>
      <c r="AA586" s="7" t="s">
        <v>712</v>
      </c>
      <c r="AB586" s="7" t="s">
        <v>694</v>
      </c>
      <c r="AC586" s="7" t="s">
        <v>713</v>
      </c>
      <c r="AD586" s="7" t="s">
        <v>714</v>
      </c>
      <c r="AE586" s="7" t="s">
        <v>715</v>
      </c>
      <c r="AF586" s="7" t="s">
        <v>716</v>
      </c>
      <c r="AG586" s="7" t="s">
        <v>2471</v>
      </c>
      <c r="AH586" s="7" t="s">
        <v>2472</v>
      </c>
      <c r="AI586" s="7" t="s">
        <v>2473</v>
      </c>
      <c r="AJ586" s="7" t="s">
        <v>2474</v>
      </c>
      <c r="AK586" s="7" t="s">
        <v>2475</v>
      </c>
      <c r="AL586" s="7" t="s">
        <v>2476</v>
      </c>
      <c r="AM586" s="7" t="s">
        <v>2477</v>
      </c>
      <c r="AN586" s="7" t="s">
        <v>2478</v>
      </c>
      <c r="AO586" s="7" t="s">
        <v>2479</v>
      </c>
      <c r="AP586" s="7" t="s">
        <v>2480</v>
      </c>
      <c r="AQ586" s="7" t="s">
        <v>2481</v>
      </c>
      <c r="AR586" s="7" t="s">
        <v>2482</v>
      </c>
    </row>
    <row r="587" spans="1:51" ht="78" customHeight="1" x14ac:dyDescent="0.4">
      <c r="A587" s="67">
        <v>8721001273942</v>
      </c>
      <c r="B587" t="e">
        <f>_xlfn.XLOOKUP(A587,'Product info'!A:A,'Product info'!C:C,,2)</f>
        <v>#N/A</v>
      </c>
      <c r="C587" s="69" t="s">
        <v>688</v>
      </c>
      <c r="D587" s="7" t="s">
        <v>689</v>
      </c>
      <c r="E587" s="7" t="s">
        <v>690</v>
      </c>
      <c r="F587" s="7" t="s">
        <v>691</v>
      </c>
      <c r="G587" s="7" t="s">
        <v>692</v>
      </c>
      <c r="H587" s="7" t="s">
        <v>693</v>
      </c>
      <c r="I587" s="7" t="s">
        <v>694</v>
      </c>
      <c r="J587" s="7" t="s">
        <v>695</v>
      </c>
      <c r="K587" s="7" t="s">
        <v>696</v>
      </c>
      <c r="L587" s="7" t="s">
        <v>697</v>
      </c>
      <c r="M587" s="7" t="s">
        <v>698</v>
      </c>
      <c r="N587" s="7" t="s">
        <v>699</v>
      </c>
      <c r="O587" s="7" t="s">
        <v>700</v>
      </c>
      <c r="P587" s="7" t="s">
        <v>701</v>
      </c>
      <c r="Q587" s="7" t="s">
        <v>702</v>
      </c>
      <c r="R587" s="7" t="s">
        <v>703</v>
      </c>
      <c r="S587" s="7" t="s">
        <v>704</v>
      </c>
      <c r="T587" s="7" t="s">
        <v>705</v>
      </c>
      <c r="U587" s="7" t="s">
        <v>706</v>
      </c>
      <c r="V587" s="7" t="s">
        <v>707</v>
      </c>
      <c r="W587" s="7" t="s">
        <v>708</v>
      </c>
      <c r="X587" s="7" t="s">
        <v>709</v>
      </c>
      <c r="Y587" s="7" t="s">
        <v>710</v>
      </c>
      <c r="Z587" s="7" t="s">
        <v>711</v>
      </c>
      <c r="AA587" s="7" t="s">
        <v>712</v>
      </c>
      <c r="AB587" s="7" t="s">
        <v>694</v>
      </c>
      <c r="AC587" s="7" t="s">
        <v>713</v>
      </c>
      <c r="AD587" s="7" t="s">
        <v>714</v>
      </c>
      <c r="AE587" s="7" t="s">
        <v>715</v>
      </c>
      <c r="AF587" s="7" t="s">
        <v>716</v>
      </c>
      <c r="AG587" s="7" t="s">
        <v>2471</v>
      </c>
      <c r="AH587" s="7" t="s">
        <v>2472</v>
      </c>
      <c r="AI587" s="7" t="s">
        <v>2473</v>
      </c>
      <c r="AJ587" s="7" t="s">
        <v>2474</v>
      </c>
      <c r="AK587" s="7" t="s">
        <v>2475</v>
      </c>
      <c r="AL587" s="7" t="s">
        <v>2476</v>
      </c>
      <c r="AM587" s="7" t="s">
        <v>2477</v>
      </c>
      <c r="AN587" s="7" t="s">
        <v>2478</v>
      </c>
      <c r="AO587" s="7" t="s">
        <v>2479</v>
      </c>
      <c r="AP587" s="7" t="s">
        <v>2480</v>
      </c>
      <c r="AQ587" s="7" t="s">
        <v>2481</v>
      </c>
      <c r="AR587" s="7" t="s">
        <v>2482</v>
      </c>
    </row>
    <row r="588" spans="1:51" ht="78" customHeight="1" x14ac:dyDescent="0.4">
      <c r="A588" s="67">
        <v>8721001273959</v>
      </c>
      <c r="B588" t="e">
        <f>_xlfn.XLOOKUP(A588,'Product info'!A:A,'Product info'!C:C,,2)</f>
        <v>#N/A</v>
      </c>
      <c r="C588" s="69" t="s">
        <v>688</v>
      </c>
      <c r="D588" s="7" t="s">
        <v>689</v>
      </c>
      <c r="E588" s="7" t="s">
        <v>690</v>
      </c>
      <c r="F588" s="7" t="s">
        <v>691</v>
      </c>
      <c r="G588" s="7" t="s">
        <v>692</v>
      </c>
      <c r="H588" s="7" t="s">
        <v>693</v>
      </c>
      <c r="I588" s="7" t="s">
        <v>694</v>
      </c>
      <c r="J588" s="7" t="s">
        <v>695</v>
      </c>
      <c r="K588" s="7" t="s">
        <v>696</v>
      </c>
      <c r="L588" s="7" t="s">
        <v>697</v>
      </c>
      <c r="M588" s="7" t="s">
        <v>698</v>
      </c>
      <c r="N588" s="7" t="s">
        <v>699</v>
      </c>
      <c r="O588" s="7" t="s">
        <v>700</v>
      </c>
      <c r="P588" s="7" t="s">
        <v>701</v>
      </c>
      <c r="Q588" s="7" t="s">
        <v>702</v>
      </c>
      <c r="R588" s="7" t="s">
        <v>703</v>
      </c>
      <c r="S588" s="7" t="s">
        <v>704</v>
      </c>
      <c r="T588" s="7" t="s">
        <v>705</v>
      </c>
      <c r="U588" s="7" t="s">
        <v>706</v>
      </c>
      <c r="V588" s="7" t="s">
        <v>707</v>
      </c>
      <c r="W588" s="7" t="s">
        <v>708</v>
      </c>
      <c r="X588" s="7" t="s">
        <v>709</v>
      </c>
      <c r="Y588" s="7" t="s">
        <v>710</v>
      </c>
      <c r="Z588" s="7" t="s">
        <v>711</v>
      </c>
      <c r="AA588" s="7" t="s">
        <v>712</v>
      </c>
      <c r="AB588" s="7" t="s">
        <v>694</v>
      </c>
      <c r="AC588" s="7" t="s">
        <v>713</v>
      </c>
      <c r="AD588" s="7" t="s">
        <v>714</v>
      </c>
      <c r="AE588" s="7" t="s">
        <v>715</v>
      </c>
      <c r="AF588" s="7" t="s">
        <v>716</v>
      </c>
      <c r="AG588" s="7" t="s">
        <v>2471</v>
      </c>
      <c r="AH588" s="7" t="s">
        <v>2472</v>
      </c>
      <c r="AI588" s="7" t="s">
        <v>2473</v>
      </c>
      <c r="AJ588" s="7" t="s">
        <v>2474</v>
      </c>
      <c r="AK588" s="7" t="s">
        <v>2475</v>
      </c>
      <c r="AL588" s="7" t="s">
        <v>2476</v>
      </c>
      <c r="AM588" s="7" t="s">
        <v>2477</v>
      </c>
      <c r="AN588" s="7" t="s">
        <v>2478</v>
      </c>
      <c r="AO588" s="7" t="s">
        <v>2479</v>
      </c>
      <c r="AP588" s="7" t="s">
        <v>2480</v>
      </c>
      <c r="AQ588" s="7" t="s">
        <v>2481</v>
      </c>
      <c r="AR588" s="7" t="s">
        <v>2482</v>
      </c>
    </row>
    <row r="589" spans="1:51" ht="78" customHeight="1" x14ac:dyDescent="0.4">
      <c r="A589" s="67">
        <v>8721001273966</v>
      </c>
      <c r="B589" t="e">
        <f>_xlfn.XLOOKUP(A589,'Product info'!A:A,'Product info'!C:C,,2)</f>
        <v>#N/A</v>
      </c>
      <c r="C589" s="69" t="s">
        <v>688</v>
      </c>
      <c r="D589" s="7" t="s">
        <v>689</v>
      </c>
      <c r="E589" s="7" t="s">
        <v>690</v>
      </c>
      <c r="F589" s="7" t="s">
        <v>691</v>
      </c>
      <c r="G589" s="7" t="s">
        <v>692</v>
      </c>
      <c r="H589" s="7" t="s">
        <v>693</v>
      </c>
      <c r="I589" s="7" t="s">
        <v>694</v>
      </c>
      <c r="J589" s="7" t="s">
        <v>695</v>
      </c>
      <c r="K589" s="7" t="s">
        <v>696</v>
      </c>
      <c r="L589" s="7" t="s">
        <v>697</v>
      </c>
      <c r="M589" s="7" t="s">
        <v>698</v>
      </c>
      <c r="N589" s="7" t="s">
        <v>699</v>
      </c>
      <c r="O589" s="7" t="s">
        <v>700</v>
      </c>
      <c r="P589" s="7" t="s">
        <v>701</v>
      </c>
      <c r="Q589" s="7" t="s">
        <v>702</v>
      </c>
      <c r="R589" s="7" t="s">
        <v>703</v>
      </c>
      <c r="S589" s="7" t="s">
        <v>704</v>
      </c>
      <c r="T589" s="7" t="s">
        <v>705</v>
      </c>
      <c r="U589" s="7" t="s">
        <v>706</v>
      </c>
      <c r="V589" s="7" t="s">
        <v>707</v>
      </c>
      <c r="W589" s="7" t="s">
        <v>708</v>
      </c>
      <c r="X589" s="7" t="s">
        <v>709</v>
      </c>
      <c r="Y589" s="7" t="s">
        <v>710</v>
      </c>
      <c r="Z589" s="7" t="s">
        <v>711</v>
      </c>
      <c r="AA589" s="7" t="s">
        <v>712</v>
      </c>
      <c r="AB589" s="7" t="s">
        <v>694</v>
      </c>
      <c r="AC589" s="7" t="s">
        <v>713</v>
      </c>
      <c r="AD589" s="7" t="s">
        <v>714</v>
      </c>
      <c r="AE589" s="7" t="s">
        <v>715</v>
      </c>
      <c r="AF589" s="7" t="s">
        <v>716</v>
      </c>
      <c r="AG589" s="7" t="s">
        <v>2471</v>
      </c>
      <c r="AH589" s="7" t="s">
        <v>2472</v>
      </c>
      <c r="AI589" s="7" t="s">
        <v>2473</v>
      </c>
      <c r="AJ589" s="7" t="s">
        <v>2474</v>
      </c>
      <c r="AK589" s="7" t="s">
        <v>2475</v>
      </c>
      <c r="AL589" s="7" t="s">
        <v>2476</v>
      </c>
      <c r="AM589" s="7" t="s">
        <v>2477</v>
      </c>
      <c r="AN589" s="7" t="s">
        <v>2478</v>
      </c>
      <c r="AO589" s="7" t="s">
        <v>2479</v>
      </c>
      <c r="AP589" s="7" t="s">
        <v>2480</v>
      </c>
      <c r="AQ589" s="7" t="s">
        <v>2481</v>
      </c>
      <c r="AR589" s="7" t="s">
        <v>2482</v>
      </c>
    </row>
    <row r="590" spans="1:51" ht="78" customHeight="1" x14ac:dyDescent="0.4">
      <c r="A590" s="67">
        <v>8721001273973</v>
      </c>
      <c r="B590" t="e">
        <f>_xlfn.XLOOKUP(A590,'Product info'!A:A,'Product info'!C:C,,2)</f>
        <v>#N/A</v>
      </c>
      <c r="C590" s="69" t="s">
        <v>688</v>
      </c>
      <c r="D590" s="7" t="s">
        <v>689</v>
      </c>
      <c r="E590" s="7" t="s">
        <v>690</v>
      </c>
      <c r="F590" s="7" t="s">
        <v>691</v>
      </c>
      <c r="G590" s="7" t="s">
        <v>692</v>
      </c>
      <c r="H590" s="7" t="s">
        <v>693</v>
      </c>
      <c r="I590" s="7" t="s">
        <v>694</v>
      </c>
      <c r="J590" s="7" t="s">
        <v>695</v>
      </c>
      <c r="K590" s="7" t="s">
        <v>696</v>
      </c>
      <c r="L590" s="7" t="s">
        <v>697</v>
      </c>
      <c r="M590" s="7" t="s">
        <v>698</v>
      </c>
      <c r="N590" s="7" t="s">
        <v>699</v>
      </c>
      <c r="O590" s="7" t="s">
        <v>700</v>
      </c>
      <c r="P590" s="7" t="s">
        <v>701</v>
      </c>
      <c r="Q590" s="7" t="s">
        <v>702</v>
      </c>
      <c r="R590" s="7" t="s">
        <v>703</v>
      </c>
      <c r="S590" s="7" t="s">
        <v>704</v>
      </c>
      <c r="T590" s="7" t="s">
        <v>705</v>
      </c>
      <c r="U590" s="7" t="s">
        <v>706</v>
      </c>
      <c r="V590" s="7" t="s">
        <v>707</v>
      </c>
      <c r="W590" s="7" t="s">
        <v>708</v>
      </c>
      <c r="X590" s="7" t="s">
        <v>709</v>
      </c>
      <c r="Y590" s="7" t="s">
        <v>710</v>
      </c>
      <c r="Z590" s="7" t="s">
        <v>711</v>
      </c>
      <c r="AA590" s="7" t="s">
        <v>712</v>
      </c>
      <c r="AB590" s="7" t="s">
        <v>694</v>
      </c>
      <c r="AC590" s="7" t="s">
        <v>713</v>
      </c>
      <c r="AD590" s="7" t="s">
        <v>714</v>
      </c>
      <c r="AE590" s="7" t="s">
        <v>715</v>
      </c>
      <c r="AF590" s="7" t="s">
        <v>716</v>
      </c>
      <c r="AG590" s="7" t="s">
        <v>2471</v>
      </c>
      <c r="AH590" s="7" t="s">
        <v>2472</v>
      </c>
      <c r="AI590" s="7" t="s">
        <v>2473</v>
      </c>
      <c r="AJ590" s="7" t="s">
        <v>2474</v>
      </c>
      <c r="AK590" s="7" t="s">
        <v>2475</v>
      </c>
      <c r="AL590" s="7" t="s">
        <v>2476</v>
      </c>
      <c r="AM590" s="7" t="s">
        <v>2477</v>
      </c>
      <c r="AN590" s="7" t="s">
        <v>2478</v>
      </c>
      <c r="AO590" s="7" t="s">
        <v>2479</v>
      </c>
      <c r="AP590" s="7" t="s">
        <v>2480</v>
      </c>
      <c r="AQ590" s="7" t="s">
        <v>2481</v>
      </c>
      <c r="AR590" s="7" t="s">
        <v>2482</v>
      </c>
    </row>
    <row r="591" spans="1:51" ht="78" customHeight="1" x14ac:dyDescent="0.4">
      <c r="A591" s="67">
        <v>8721001273980</v>
      </c>
      <c r="B591" t="e">
        <f>_xlfn.XLOOKUP(A591,'Product info'!A:A,'Product info'!C:C,,2)</f>
        <v>#N/A</v>
      </c>
      <c r="C591" s="69" t="s">
        <v>688</v>
      </c>
      <c r="D591" s="7" t="s">
        <v>689</v>
      </c>
      <c r="E591" s="7" t="s">
        <v>690</v>
      </c>
      <c r="F591" s="7" t="s">
        <v>691</v>
      </c>
      <c r="G591" s="7" t="s">
        <v>692</v>
      </c>
      <c r="H591" s="7" t="s">
        <v>693</v>
      </c>
      <c r="I591" s="7" t="s">
        <v>694</v>
      </c>
      <c r="J591" s="7" t="s">
        <v>695</v>
      </c>
      <c r="K591" s="7" t="s">
        <v>696</v>
      </c>
      <c r="L591" s="7" t="s">
        <v>697</v>
      </c>
      <c r="M591" s="7" t="s">
        <v>698</v>
      </c>
      <c r="N591" s="7" t="s">
        <v>699</v>
      </c>
      <c r="O591" s="7" t="s">
        <v>700</v>
      </c>
      <c r="P591" s="7" t="s">
        <v>701</v>
      </c>
      <c r="Q591" s="7" t="s">
        <v>702</v>
      </c>
      <c r="R591" s="7" t="s">
        <v>703</v>
      </c>
      <c r="S591" s="7" t="s">
        <v>704</v>
      </c>
      <c r="T591" s="7" t="s">
        <v>705</v>
      </c>
      <c r="U591" s="7" t="s">
        <v>706</v>
      </c>
      <c r="V591" s="7" t="s">
        <v>707</v>
      </c>
      <c r="W591" s="7" t="s">
        <v>708</v>
      </c>
      <c r="X591" s="7" t="s">
        <v>709</v>
      </c>
      <c r="Y591" s="7" t="s">
        <v>710</v>
      </c>
      <c r="Z591" s="7" t="s">
        <v>711</v>
      </c>
      <c r="AA591" s="7" t="s">
        <v>712</v>
      </c>
      <c r="AB591" s="7" t="s">
        <v>694</v>
      </c>
      <c r="AC591" s="7" t="s">
        <v>713</v>
      </c>
      <c r="AD591" s="7" t="s">
        <v>714</v>
      </c>
      <c r="AE591" s="7" t="s">
        <v>715</v>
      </c>
      <c r="AF591" s="7" t="s">
        <v>716</v>
      </c>
      <c r="AG591" s="7" t="s">
        <v>2471</v>
      </c>
      <c r="AH591" s="7" t="s">
        <v>2472</v>
      </c>
      <c r="AI591" s="7" t="s">
        <v>2473</v>
      </c>
      <c r="AJ591" s="7" t="s">
        <v>2474</v>
      </c>
      <c r="AK591" s="7" t="s">
        <v>2475</v>
      </c>
      <c r="AL591" s="7" t="s">
        <v>2476</v>
      </c>
      <c r="AM591" s="7" t="s">
        <v>2477</v>
      </c>
      <c r="AN591" s="7" t="s">
        <v>2478</v>
      </c>
      <c r="AO591" s="7" t="s">
        <v>2479</v>
      </c>
      <c r="AP591" s="7" t="s">
        <v>2480</v>
      </c>
      <c r="AQ591" s="7" t="s">
        <v>2481</v>
      </c>
      <c r="AR591" s="7" t="s">
        <v>2482</v>
      </c>
    </row>
    <row r="592" spans="1:51" ht="78" customHeight="1" x14ac:dyDescent="0.4">
      <c r="A592" s="67">
        <v>8721001274130</v>
      </c>
      <c r="B592" t="e">
        <f>_xlfn.XLOOKUP(A592,'Product info'!A:A,'Product info'!C:C,,2)</f>
        <v>#N/A</v>
      </c>
      <c r="C592" s="69" t="s">
        <v>688</v>
      </c>
      <c r="D592" s="7" t="s">
        <v>689</v>
      </c>
      <c r="E592" s="7" t="s">
        <v>690</v>
      </c>
      <c r="F592" s="7" t="s">
        <v>691</v>
      </c>
      <c r="G592" s="7" t="s">
        <v>692</v>
      </c>
      <c r="H592" s="7" t="s">
        <v>693</v>
      </c>
      <c r="I592" s="7" t="s">
        <v>694</v>
      </c>
      <c r="J592" s="7" t="s">
        <v>695</v>
      </c>
      <c r="K592" s="7" t="s">
        <v>696</v>
      </c>
      <c r="L592" s="7" t="s">
        <v>697</v>
      </c>
      <c r="M592" s="7" t="s">
        <v>698</v>
      </c>
      <c r="N592" s="7" t="s">
        <v>699</v>
      </c>
      <c r="O592" s="7" t="s">
        <v>700</v>
      </c>
      <c r="P592" s="7" t="s">
        <v>701</v>
      </c>
      <c r="Q592" s="7" t="s">
        <v>702</v>
      </c>
      <c r="R592" s="7" t="s">
        <v>703</v>
      </c>
      <c r="S592" s="7" t="s">
        <v>704</v>
      </c>
      <c r="T592" s="7" t="s">
        <v>705</v>
      </c>
      <c r="U592" s="7" t="s">
        <v>706</v>
      </c>
      <c r="V592" s="7" t="s">
        <v>707</v>
      </c>
      <c r="W592" s="7" t="s">
        <v>708</v>
      </c>
      <c r="X592" s="7" t="s">
        <v>709</v>
      </c>
      <c r="Y592" s="7" t="s">
        <v>710</v>
      </c>
      <c r="Z592" s="7" t="s">
        <v>711</v>
      </c>
      <c r="AA592" s="7" t="s">
        <v>712</v>
      </c>
      <c r="AB592" s="7" t="s">
        <v>694</v>
      </c>
      <c r="AC592" s="7" t="s">
        <v>713</v>
      </c>
      <c r="AD592" s="7" t="s">
        <v>714</v>
      </c>
      <c r="AE592" s="7" t="s">
        <v>715</v>
      </c>
      <c r="AF592" s="7" t="s">
        <v>716</v>
      </c>
      <c r="AG592" s="7" t="s">
        <v>2050</v>
      </c>
      <c r="AH592" s="7" t="s">
        <v>2302</v>
      </c>
      <c r="AI592" s="7" t="s">
        <v>2303</v>
      </c>
      <c r="AJ592" s="7" t="s">
        <v>2304</v>
      </c>
      <c r="AK592" s="7" t="s">
        <v>2305</v>
      </c>
      <c r="AL592" s="7" t="s">
        <v>2306</v>
      </c>
      <c r="AM592" s="7" t="s">
        <v>2307</v>
      </c>
      <c r="AN592" s="7" t="s">
        <v>2308</v>
      </c>
      <c r="AO592" s="7" t="s">
        <v>2309</v>
      </c>
      <c r="AP592" s="7" t="s">
        <v>2310</v>
      </c>
      <c r="AQ592" s="7" t="s">
        <v>2311</v>
      </c>
      <c r="AR592" s="7" t="s">
        <v>2312</v>
      </c>
      <c r="AS592" s="7" t="s">
        <v>2313</v>
      </c>
      <c r="AT592" s="7" t="s">
        <v>2314</v>
      </c>
      <c r="AU592" s="7" t="s">
        <v>2315</v>
      </c>
    </row>
    <row r="593" spans="1:85" ht="78" customHeight="1" x14ac:dyDescent="0.4">
      <c r="A593" s="67">
        <v>8721001274147</v>
      </c>
      <c r="B593" t="e">
        <f>_xlfn.XLOOKUP(A593,'Product info'!A:A,'Product info'!C:C,,2)</f>
        <v>#N/A</v>
      </c>
      <c r="C593" s="69" t="s">
        <v>688</v>
      </c>
      <c r="D593" s="7" t="s">
        <v>689</v>
      </c>
      <c r="E593" s="7" t="s">
        <v>690</v>
      </c>
      <c r="F593" s="7" t="s">
        <v>691</v>
      </c>
      <c r="G593" s="7" t="s">
        <v>692</v>
      </c>
      <c r="H593" s="7" t="s">
        <v>693</v>
      </c>
      <c r="I593" s="7" t="s">
        <v>694</v>
      </c>
      <c r="J593" s="7" t="s">
        <v>695</v>
      </c>
      <c r="K593" s="7" t="s">
        <v>696</v>
      </c>
      <c r="L593" s="7" t="s">
        <v>697</v>
      </c>
      <c r="M593" s="7" t="s">
        <v>698</v>
      </c>
      <c r="N593" s="7" t="s">
        <v>699</v>
      </c>
      <c r="O593" s="7" t="s">
        <v>700</v>
      </c>
      <c r="P593" s="7" t="s">
        <v>701</v>
      </c>
      <c r="Q593" s="7" t="s">
        <v>702</v>
      </c>
      <c r="R593" s="7" t="s">
        <v>703</v>
      </c>
      <c r="S593" s="7" t="s">
        <v>704</v>
      </c>
      <c r="T593" s="7" t="s">
        <v>705</v>
      </c>
      <c r="U593" s="7" t="s">
        <v>706</v>
      </c>
      <c r="V593" s="7" t="s">
        <v>707</v>
      </c>
      <c r="W593" s="7" t="s">
        <v>708</v>
      </c>
      <c r="X593" s="7" t="s">
        <v>709</v>
      </c>
      <c r="Y593" s="7" t="s">
        <v>710</v>
      </c>
      <c r="Z593" s="7" t="s">
        <v>711</v>
      </c>
      <c r="AA593" s="7" t="s">
        <v>712</v>
      </c>
      <c r="AB593" s="7" t="s">
        <v>694</v>
      </c>
      <c r="AC593" s="7" t="s">
        <v>713</v>
      </c>
      <c r="AD593" s="7" t="s">
        <v>714</v>
      </c>
      <c r="AE593" s="7" t="s">
        <v>715</v>
      </c>
      <c r="AF593" s="7" t="s">
        <v>716</v>
      </c>
      <c r="AG593" s="7" t="s">
        <v>2050</v>
      </c>
      <c r="AH593" s="7" t="s">
        <v>2302</v>
      </c>
      <c r="AI593" s="7" t="s">
        <v>2303</v>
      </c>
      <c r="AJ593" s="7" t="s">
        <v>2304</v>
      </c>
      <c r="AK593" s="7" t="s">
        <v>2305</v>
      </c>
      <c r="AL593" s="7" t="s">
        <v>2306</v>
      </c>
      <c r="AM593" s="7" t="s">
        <v>2307</v>
      </c>
      <c r="AN593" s="7" t="s">
        <v>2308</v>
      </c>
      <c r="AO593" s="7" t="s">
        <v>2309</v>
      </c>
      <c r="AP593" s="7" t="s">
        <v>2310</v>
      </c>
      <c r="AQ593" s="7" t="s">
        <v>2311</v>
      </c>
      <c r="AR593" s="7" t="s">
        <v>2312</v>
      </c>
      <c r="AS593" s="7" t="s">
        <v>2313</v>
      </c>
      <c r="AT593" s="7" t="s">
        <v>2314</v>
      </c>
      <c r="AU593" s="7" t="s">
        <v>2315</v>
      </c>
    </row>
    <row r="594" spans="1:85" ht="78" customHeight="1" x14ac:dyDescent="0.4">
      <c r="A594" s="67" t="s">
        <v>596</v>
      </c>
      <c r="B594" t="e">
        <f>_xlfn.XLOOKUP(A594,'Product info'!A:A,'Product info'!C:C,,2)</f>
        <v>#N/A</v>
      </c>
      <c r="C594" s="69" t="s">
        <v>688</v>
      </c>
      <c r="D594" s="7" t="s">
        <v>689</v>
      </c>
      <c r="E594" s="7" t="s">
        <v>690</v>
      </c>
      <c r="F594" s="7" t="s">
        <v>691</v>
      </c>
      <c r="G594" s="7" t="s">
        <v>692</v>
      </c>
      <c r="H594" s="7" t="s">
        <v>693</v>
      </c>
      <c r="I594" s="7" t="s">
        <v>694</v>
      </c>
      <c r="J594" s="7" t="s">
        <v>695</v>
      </c>
      <c r="K594" s="7" t="s">
        <v>696</v>
      </c>
      <c r="L594" s="7" t="s">
        <v>697</v>
      </c>
      <c r="M594" s="7" t="s">
        <v>698</v>
      </c>
      <c r="N594" s="7" t="s">
        <v>699</v>
      </c>
      <c r="O594" s="7" t="s">
        <v>700</v>
      </c>
      <c r="P594" s="7" t="s">
        <v>701</v>
      </c>
      <c r="Q594" s="7" t="s">
        <v>702</v>
      </c>
      <c r="R594" s="7" t="s">
        <v>703</v>
      </c>
      <c r="S594" s="7" t="s">
        <v>704</v>
      </c>
      <c r="T594" s="7" t="s">
        <v>705</v>
      </c>
      <c r="U594" s="7" t="s">
        <v>706</v>
      </c>
      <c r="V594" s="7" t="s">
        <v>707</v>
      </c>
      <c r="W594" s="7" t="s">
        <v>708</v>
      </c>
      <c r="X594" s="7" t="s">
        <v>709</v>
      </c>
      <c r="Y594" s="7" t="s">
        <v>710</v>
      </c>
      <c r="Z594" s="7" t="s">
        <v>711</v>
      </c>
      <c r="AA594" s="7" t="s">
        <v>712</v>
      </c>
      <c r="AB594" s="7" t="s">
        <v>694</v>
      </c>
      <c r="AC594" s="7" t="s">
        <v>713</v>
      </c>
      <c r="AD594" s="7" t="s">
        <v>714</v>
      </c>
      <c r="AE594" s="7" t="s">
        <v>715</v>
      </c>
      <c r="AF594" s="7" t="s">
        <v>716</v>
      </c>
      <c r="AG594" s="7" t="s">
        <v>2050</v>
      </c>
      <c r="AH594" s="7" t="s">
        <v>2302</v>
      </c>
      <c r="AI594" s="7" t="s">
        <v>2303</v>
      </c>
      <c r="AJ594" s="7" t="s">
        <v>2304</v>
      </c>
      <c r="AK594" s="7" t="s">
        <v>2305</v>
      </c>
      <c r="AL594" s="7" t="s">
        <v>2306</v>
      </c>
      <c r="AM594" s="7" t="s">
        <v>2307</v>
      </c>
      <c r="AN594" s="7" t="s">
        <v>2308</v>
      </c>
      <c r="AO594" s="7" t="s">
        <v>2309</v>
      </c>
      <c r="AP594" s="7" t="s">
        <v>2310</v>
      </c>
      <c r="AQ594" s="7" t="s">
        <v>2311</v>
      </c>
      <c r="AR594" s="7" t="s">
        <v>2312</v>
      </c>
      <c r="AS594" s="7" t="s">
        <v>2313</v>
      </c>
      <c r="AT594" s="7" t="s">
        <v>2314</v>
      </c>
      <c r="AU594" s="7" t="s">
        <v>2315</v>
      </c>
    </row>
    <row r="595" spans="1:85" ht="78" customHeight="1" x14ac:dyDescent="0.4">
      <c r="A595" s="67" t="s">
        <v>597</v>
      </c>
      <c r="B595" t="e">
        <f>_xlfn.XLOOKUP(A595,'Product info'!A:A,'Product info'!C:C,,2)</f>
        <v>#N/A</v>
      </c>
      <c r="C595" s="69" t="s">
        <v>688</v>
      </c>
      <c r="D595" s="7" t="s">
        <v>689</v>
      </c>
      <c r="E595" s="7" t="s">
        <v>690</v>
      </c>
      <c r="F595" s="7" t="s">
        <v>691</v>
      </c>
      <c r="G595" s="7" t="s">
        <v>692</v>
      </c>
      <c r="H595" s="7" t="s">
        <v>693</v>
      </c>
      <c r="I595" s="7" t="s">
        <v>694</v>
      </c>
      <c r="J595" s="7" t="s">
        <v>695</v>
      </c>
      <c r="K595" s="7" t="s">
        <v>696</v>
      </c>
      <c r="L595" s="7" t="s">
        <v>697</v>
      </c>
      <c r="M595" s="7" t="s">
        <v>698</v>
      </c>
      <c r="N595" s="7" t="s">
        <v>699</v>
      </c>
      <c r="O595" s="7" t="s">
        <v>700</v>
      </c>
      <c r="P595" s="7" t="s">
        <v>701</v>
      </c>
      <c r="Q595" s="7" t="s">
        <v>702</v>
      </c>
      <c r="R595" s="7" t="s">
        <v>703</v>
      </c>
      <c r="S595" s="7" t="s">
        <v>704</v>
      </c>
      <c r="T595" s="7" t="s">
        <v>705</v>
      </c>
      <c r="U595" s="7" t="s">
        <v>706</v>
      </c>
      <c r="V595" s="7" t="s">
        <v>707</v>
      </c>
      <c r="W595" s="7" t="s">
        <v>708</v>
      </c>
      <c r="X595" s="7" t="s">
        <v>709</v>
      </c>
      <c r="Y595" s="7" t="s">
        <v>710</v>
      </c>
      <c r="Z595" s="7" t="s">
        <v>711</v>
      </c>
      <c r="AA595" s="7" t="s">
        <v>712</v>
      </c>
      <c r="AB595" s="7" t="s">
        <v>694</v>
      </c>
      <c r="AC595" s="7" t="s">
        <v>713</v>
      </c>
      <c r="AD595" s="7" t="s">
        <v>714</v>
      </c>
      <c r="AE595" s="7" t="s">
        <v>715</v>
      </c>
      <c r="AF595" s="7" t="s">
        <v>716</v>
      </c>
      <c r="AG595" s="7" t="s">
        <v>2050</v>
      </c>
      <c r="AH595" s="7" t="s">
        <v>2302</v>
      </c>
      <c r="AI595" s="7" t="s">
        <v>2303</v>
      </c>
      <c r="AJ595" s="7" t="s">
        <v>2304</v>
      </c>
      <c r="AK595" s="7" t="s">
        <v>2305</v>
      </c>
      <c r="AL595" s="7" t="s">
        <v>2306</v>
      </c>
      <c r="AM595" s="7" t="s">
        <v>2307</v>
      </c>
      <c r="AN595" s="7" t="s">
        <v>2308</v>
      </c>
      <c r="AO595" s="7" t="s">
        <v>2309</v>
      </c>
      <c r="AP595" s="7" t="s">
        <v>2310</v>
      </c>
      <c r="AQ595" s="7" t="s">
        <v>2311</v>
      </c>
      <c r="AR595" s="7" t="s">
        <v>2312</v>
      </c>
      <c r="AS595" s="7" t="s">
        <v>2313</v>
      </c>
      <c r="AT595" s="7" t="s">
        <v>2314</v>
      </c>
      <c r="AU595" s="7" t="s">
        <v>2315</v>
      </c>
    </row>
    <row r="596" spans="1:85" ht="78" customHeight="1" x14ac:dyDescent="0.4">
      <c r="A596" s="67" t="s">
        <v>598</v>
      </c>
      <c r="B596" t="e">
        <f>_xlfn.XLOOKUP(A596,'Product info'!A:A,'Product info'!C:C,,2)</f>
        <v>#N/A</v>
      </c>
      <c r="C596" s="69" t="s">
        <v>688</v>
      </c>
      <c r="D596" s="7" t="s">
        <v>689</v>
      </c>
      <c r="E596" s="7" t="s">
        <v>690</v>
      </c>
      <c r="F596" s="7" t="s">
        <v>691</v>
      </c>
      <c r="G596" s="7" t="s">
        <v>692</v>
      </c>
      <c r="H596" s="7" t="s">
        <v>693</v>
      </c>
      <c r="I596" s="7" t="s">
        <v>694</v>
      </c>
      <c r="J596" s="7" t="s">
        <v>695</v>
      </c>
      <c r="K596" s="7" t="s">
        <v>696</v>
      </c>
      <c r="L596" s="7" t="s">
        <v>697</v>
      </c>
      <c r="M596" s="7" t="s">
        <v>698</v>
      </c>
      <c r="N596" s="7" t="s">
        <v>699</v>
      </c>
      <c r="O596" s="7" t="s">
        <v>700</v>
      </c>
      <c r="P596" s="7" t="s">
        <v>701</v>
      </c>
      <c r="Q596" s="7" t="s">
        <v>702</v>
      </c>
      <c r="R596" s="7" t="s">
        <v>703</v>
      </c>
      <c r="S596" s="7" t="s">
        <v>704</v>
      </c>
      <c r="T596" s="7" t="s">
        <v>705</v>
      </c>
      <c r="U596" s="7" t="s">
        <v>706</v>
      </c>
      <c r="V596" s="7" t="s">
        <v>707</v>
      </c>
      <c r="W596" s="7" t="s">
        <v>708</v>
      </c>
      <c r="X596" s="7" t="s">
        <v>709</v>
      </c>
      <c r="Y596" s="7" t="s">
        <v>710</v>
      </c>
      <c r="Z596" s="7" t="s">
        <v>711</v>
      </c>
      <c r="AA596" s="7" t="s">
        <v>712</v>
      </c>
      <c r="AB596" s="7" t="s">
        <v>694</v>
      </c>
      <c r="AC596" s="7" t="s">
        <v>713</v>
      </c>
      <c r="AD596" s="7" t="s">
        <v>714</v>
      </c>
      <c r="AE596" s="7" t="s">
        <v>715</v>
      </c>
      <c r="AF596" s="7" t="s">
        <v>716</v>
      </c>
      <c r="AG596" s="7" t="s">
        <v>2738</v>
      </c>
      <c r="AH596" s="7" t="s">
        <v>2739</v>
      </c>
      <c r="AI596" s="7" t="s">
        <v>2740</v>
      </c>
      <c r="AJ596" s="7" t="s">
        <v>2741</v>
      </c>
      <c r="AK596" s="7" t="s">
        <v>2742</v>
      </c>
      <c r="AL596" s="7" t="s">
        <v>2743</v>
      </c>
      <c r="AM596" s="7" t="s">
        <v>2744</v>
      </c>
      <c r="AN596" s="7" t="s">
        <v>2745</v>
      </c>
      <c r="AO596" s="7" t="s">
        <v>2746</v>
      </c>
      <c r="AP596" s="7" t="s">
        <v>2747</v>
      </c>
    </row>
    <row r="597" spans="1:85" ht="78" customHeight="1" x14ac:dyDescent="0.4">
      <c r="A597" s="67" t="s">
        <v>599</v>
      </c>
      <c r="B597" t="e">
        <f>_xlfn.XLOOKUP(A597,'Product info'!A:A,'Product info'!C:C,,2)</f>
        <v>#N/A</v>
      </c>
      <c r="C597" s="69" t="s">
        <v>688</v>
      </c>
      <c r="D597" s="7" t="s">
        <v>689</v>
      </c>
      <c r="E597" s="7" t="s">
        <v>690</v>
      </c>
      <c r="F597" s="7" t="s">
        <v>691</v>
      </c>
      <c r="G597" s="7" t="s">
        <v>692</v>
      </c>
      <c r="H597" s="7" t="s">
        <v>693</v>
      </c>
      <c r="I597" s="7" t="s">
        <v>694</v>
      </c>
      <c r="J597" s="7" t="s">
        <v>695</v>
      </c>
      <c r="K597" s="7" t="s">
        <v>696</v>
      </c>
      <c r="L597" s="7" t="s">
        <v>697</v>
      </c>
      <c r="M597" s="7" t="s">
        <v>698</v>
      </c>
      <c r="N597" s="7" t="s">
        <v>699</v>
      </c>
      <c r="O597" s="7" t="s">
        <v>700</v>
      </c>
      <c r="P597" s="7" t="s">
        <v>701</v>
      </c>
      <c r="Q597" s="7" t="s">
        <v>702</v>
      </c>
      <c r="R597" s="7" t="s">
        <v>703</v>
      </c>
      <c r="S597" s="7" t="s">
        <v>704</v>
      </c>
      <c r="T597" s="7" t="s">
        <v>705</v>
      </c>
      <c r="U597" s="7" t="s">
        <v>706</v>
      </c>
      <c r="V597" s="7" t="s">
        <v>707</v>
      </c>
      <c r="W597" s="7" t="s">
        <v>708</v>
      </c>
      <c r="X597" s="7" t="s">
        <v>709</v>
      </c>
      <c r="Y597" s="7" t="s">
        <v>710</v>
      </c>
      <c r="Z597" s="7" t="s">
        <v>711</v>
      </c>
      <c r="AA597" s="7" t="s">
        <v>712</v>
      </c>
      <c r="AB597" s="7" t="s">
        <v>694</v>
      </c>
      <c r="AC597" s="7" t="s">
        <v>713</v>
      </c>
      <c r="AD597" s="7" t="s">
        <v>714</v>
      </c>
      <c r="AE597" s="7" t="s">
        <v>715</v>
      </c>
      <c r="AF597" s="7" t="s">
        <v>716</v>
      </c>
      <c r="AG597" s="7" t="s">
        <v>1600</v>
      </c>
      <c r="AH597" s="7" t="s">
        <v>1601</v>
      </c>
      <c r="AI597" s="7" t="s">
        <v>1602</v>
      </c>
      <c r="AJ597" s="7" t="s">
        <v>1603</v>
      </c>
      <c r="AK597" s="7" t="s">
        <v>1604</v>
      </c>
      <c r="AL597" s="7" t="s">
        <v>1605</v>
      </c>
      <c r="AM597" s="7" t="s">
        <v>1606</v>
      </c>
      <c r="AN597" s="7" t="s">
        <v>1607</v>
      </c>
      <c r="AO597" s="7" t="s">
        <v>1608</v>
      </c>
      <c r="AP597" s="7" t="s">
        <v>1609</v>
      </c>
      <c r="AQ597" s="7" t="s">
        <v>2470</v>
      </c>
    </row>
    <row r="598" spans="1:85" ht="78" customHeight="1" x14ac:dyDescent="0.4">
      <c r="A598" s="67" t="s">
        <v>600</v>
      </c>
      <c r="B598" t="e">
        <f>_xlfn.XLOOKUP(A598,'Product info'!A:A,'Product info'!C:C,,2)</f>
        <v>#N/A</v>
      </c>
      <c r="C598" s="69" t="s">
        <v>688</v>
      </c>
      <c r="D598" s="7" t="s">
        <v>689</v>
      </c>
      <c r="E598" s="7" t="s">
        <v>690</v>
      </c>
      <c r="F598" s="7" t="s">
        <v>691</v>
      </c>
      <c r="G598" s="7" t="s">
        <v>692</v>
      </c>
      <c r="H598" s="7" t="s">
        <v>693</v>
      </c>
      <c r="I598" s="7" t="s">
        <v>694</v>
      </c>
      <c r="J598" s="7" t="s">
        <v>695</v>
      </c>
      <c r="K598" s="7" t="s">
        <v>696</v>
      </c>
      <c r="L598" s="7" t="s">
        <v>697</v>
      </c>
      <c r="M598" s="7" t="s">
        <v>698</v>
      </c>
      <c r="N598" s="7" t="s">
        <v>699</v>
      </c>
      <c r="O598" s="7" t="s">
        <v>700</v>
      </c>
      <c r="P598" s="7" t="s">
        <v>701</v>
      </c>
      <c r="Q598" s="7" t="s">
        <v>702</v>
      </c>
      <c r="R598" s="7" t="s">
        <v>703</v>
      </c>
      <c r="S598" s="7" t="s">
        <v>704</v>
      </c>
      <c r="T598" s="7" t="s">
        <v>705</v>
      </c>
      <c r="U598" s="7" t="s">
        <v>706</v>
      </c>
      <c r="V598" s="7" t="s">
        <v>707</v>
      </c>
      <c r="W598" s="7" t="s">
        <v>708</v>
      </c>
      <c r="X598" s="7" t="s">
        <v>709</v>
      </c>
      <c r="Y598" s="7" t="s">
        <v>710</v>
      </c>
      <c r="Z598" s="7" t="s">
        <v>711</v>
      </c>
      <c r="AA598" s="7" t="s">
        <v>712</v>
      </c>
      <c r="AB598" s="7" t="s">
        <v>694</v>
      </c>
      <c r="AC598" s="7" t="s">
        <v>713</v>
      </c>
      <c r="AD598" s="7" t="s">
        <v>714</v>
      </c>
      <c r="AE598" s="7" t="s">
        <v>715</v>
      </c>
      <c r="AF598" s="7" t="s">
        <v>716</v>
      </c>
      <c r="AG598" s="7" t="s">
        <v>1600</v>
      </c>
      <c r="AH598" s="7" t="s">
        <v>2748</v>
      </c>
      <c r="AI598" s="7" t="s">
        <v>2749</v>
      </c>
      <c r="AJ598" s="7" t="s">
        <v>2750</v>
      </c>
      <c r="AK598" s="7" t="s">
        <v>2751</v>
      </c>
      <c r="AL598" s="7" t="s">
        <v>2752</v>
      </c>
      <c r="AM598" s="7" t="s">
        <v>2753</v>
      </c>
      <c r="AN598" s="7" t="s">
        <v>2754</v>
      </c>
    </row>
    <row r="599" spans="1:85" ht="78" customHeight="1" x14ac:dyDescent="0.4">
      <c r="A599" s="67" t="s">
        <v>601</v>
      </c>
      <c r="B599" t="e">
        <f>_xlfn.XLOOKUP(A599,'Product info'!A:A,'Product info'!C:C,,2)</f>
        <v>#N/A</v>
      </c>
      <c r="C599" s="69" t="s">
        <v>688</v>
      </c>
      <c r="D599" s="7" t="s">
        <v>689</v>
      </c>
      <c r="E599" s="7" t="s">
        <v>690</v>
      </c>
      <c r="F599" s="7" t="s">
        <v>691</v>
      </c>
      <c r="G599" s="7" t="s">
        <v>692</v>
      </c>
      <c r="H599" s="7" t="s">
        <v>693</v>
      </c>
      <c r="I599" s="7" t="s">
        <v>694</v>
      </c>
      <c r="J599" s="7" t="s">
        <v>695</v>
      </c>
      <c r="K599" s="7" t="s">
        <v>696</v>
      </c>
      <c r="L599" s="7" t="s">
        <v>697</v>
      </c>
      <c r="M599" s="7" t="s">
        <v>698</v>
      </c>
      <c r="N599" s="7" t="s">
        <v>699</v>
      </c>
      <c r="O599" s="7" t="s">
        <v>700</v>
      </c>
      <c r="P599" s="7" t="s">
        <v>701</v>
      </c>
      <c r="Q599" s="7" t="s">
        <v>702</v>
      </c>
      <c r="R599" s="7" t="s">
        <v>703</v>
      </c>
      <c r="S599" s="7" t="s">
        <v>704</v>
      </c>
      <c r="T599" s="7" t="s">
        <v>705</v>
      </c>
      <c r="U599" s="7" t="s">
        <v>706</v>
      </c>
      <c r="V599" s="7" t="s">
        <v>707</v>
      </c>
      <c r="W599" s="7" t="s">
        <v>708</v>
      </c>
      <c r="X599" s="7" t="s">
        <v>709</v>
      </c>
      <c r="Y599" s="7" t="s">
        <v>710</v>
      </c>
      <c r="Z599" s="7" t="s">
        <v>711</v>
      </c>
      <c r="AA599" s="7" t="s">
        <v>712</v>
      </c>
      <c r="AB599" s="7" t="s">
        <v>694</v>
      </c>
      <c r="AC599" s="7" t="s">
        <v>713</v>
      </c>
      <c r="AD599" s="7" t="s">
        <v>714</v>
      </c>
      <c r="AE599" s="7" t="s">
        <v>715</v>
      </c>
      <c r="AF599" s="7" t="s">
        <v>716</v>
      </c>
      <c r="AG599" s="7" t="s">
        <v>1600</v>
      </c>
      <c r="AH599" s="7" t="s">
        <v>2748</v>
      </c>
      <c r="AI599" s="7" t="s">
        <v>2749</v>
      </c>
      <c r="AJ599" s="7" t="s">
        <v>2750</v>
      </c>
      <c r="AK599" s="7" t="s">
        <v>2751</v>
      </c>
      <c r="AL599" s="7" t="s">
        <v>2755</v>
      </c>
      <c r="AM599" s="7" t="s">
        <v>2756</v>
      </c>
      <c r="AN599" s="7" t="s">
        <v>2752</v>
      </c>
      <c r="AO599" s="7" t="s">
        <v>2753</v>
      </c>
      <c r="AP599" s="7" t="s">
        <v>2754</v>
      </c>
    </row>
    <row r="600" spans="1:85" ht="78" customHeight="1" x14ac:dyDescent="0.4">
      <c r="A600" s="67" t="s">
        <v>602</v>
      </c>
      <c r="B600" t="e">
        <f>_xlfn.XLOOKUP(A600,'Product info'!A:A,'Product info'!C:C,,2)</f>
        <v>#N/A</v>
      </c>
      <c r="C600" s="69" t="s">
        <v>688</v>
      </c>
      <c r="D600" s="7" t="s">
        <v>689</v>
      </c>
      <c r="E600" s="7" t="s">
        <v>690</v>
      </c>
      <c r="F600" s="7" t="s">
        <v>691</v>
      </c>
      <c r="G600" s="7" t="s">
        <v>692</v>
      </c>
      <c r="H600" s="7" t="s">
        <v>693</v>
      </c>
      <c r="I600" s="7" t="s">
        <v>694</v>
      </c>
      <c r="J600" s="7" t="s">
        <v>695</v>
      </c>
      <c r="K600" s="7" t="s">
        <v>696</v>
      </c>
      <c r="L600" s="7" t="s">
        <v>697</v>
      </c>
      <c r="M600" s="7" t="s">
        <v>698</v>
      </c>
      <c r="N600" s="7" t="s">
        <v>699</v>
      </c>
      <c r="O600" s="7" t="s">
        <v>700</v>
      </c>
      <c r="P600" s="7" t="s">
        <v>701</v>
      </c>
      <c r="Q600" s="7" t="s">
        <v>702</v>
      </c>
      <c r="R600" s="7" t="s">
        <v>703</v>
      </c>
      <c r="S600" s="7" t="s">
        <v>704</v>
      </c>
      <c r="T600" s="7" t="s">
        <v>705</v>
      </c>
      <c r="U600" s="7" t="s">
        <v>706</v>
      </c>
      <c r="V600" s="7" t="s">
        <v>707</v>
      </c>
      <c r="W600" s="7" t="s">
        <v>708</v>
      </c>
      <c r="X600" s="7" t="s">
        <v>709</v>
      </c>
      <c r="Y600" s="7" t="s">
        <v>710</v>
      </c>
      <c r="Z600" s="7" t="s">
        <v>711</v>
      </c>
      <c r="AA600" s="7" t="s">
        <v>712</v>
      </c>
      <c r="AB600" s="7" t="s">
        <v>694</v>
      </c>
      <c r="AC600" s="7" t="s">
        <v>713</v>
      </c>
      <c r="AD600" s="7" t="s">
        <v>714</v>
      </c>
      <c r="AE600" s="7" t="s">
        <v>715</v>
      </c>
      <c r="AF600" s="7" t="s">
        <v>716</v>
      </c>
      <c r="AG600" s="7" t="s">
        <v>1600</v>
      </c>
      <c r="AH600" s="7" t="s">
        <v>2748</v>
      </c>
      <c r="AI600" s="7" t="s">
        <v>2749</v>
      </c>
      <c r="AJ600" s="7" t="s">
        <v>2750</v>
      </c>
      <c r="AK600" s="7" t="s">
        <v>2751</v>
      </c>
      <c r="AL600" s="7" t="s">
        <v>2757</v>
      </c>
      <c r="AM600" s="7" t="s">
        <v>2752</v>
      </c>
      <c r="AN600" s="7" t="s">
        <v>2753</v>
      </c>
      <c r="AO600" s="7" t="s">
        <v>2754</v>
      </c>
    </row>
    <row r="601" spans="1:85" ht="78" customHeight="1" x14ac:dyDescent="0.4">
      <c r="A601" s="67" t="s">
        <v>603</v>
      </c>
      <c r="B601" t="e">
        <f>_xlfn.XLOOKUP(A601,'Product info'!A:A,'Product info'!C:C,,2)</f>
        <v>#N/A</v>
      </c>
      <c r="C601" s="69" t="s">
        <v>688</v>
      </c>
      <c r="D601" s="7" t="s">
        <v>689</v>
      </c>
      <c r="E601" s="7" t="s">
        <v>690</v>
      </c>
      <c r="F601" s="7" t="s">
        <v>691</v>
      </c>
      <c r="G601" s="7" t="s">
        <v>692</v>
      </c>
      <c r="H601" s="7" t="s">
        <v>693</v>
      </c>
      <c r="I601" s="7" t="s">
        <v>694</v>
      </c>
      <c r="J601" s="7" t="s">
        <v>695</v>
      </c>
      <c r="K601" s="7" t="s">
        <v>696</v>
      </c>
      <c r="L601" s="7" t="s">
        <v>697</v>
      </c>
      <c r="M601" s="7" t="s">
        <v>698</v>
      </c>
      <c r="N601" s="7" t="s">
        <v>699</v>
      </c>
      <c r="O601" s="7" t="s">
        <v>700</v>
      </c>
      <c r="P601" s="7" t="s">
        <v>701</v>
      </c>
      <c r="Q601" s="7" t="s">
        <v>702</v>
      </c>
      <c r="R601" s="7" t="s">
        <v>703</v>
      </c>
      <c r="S601" s="7" t="s">
        <v>704</v>
      </c>
      <c r="T601" s="7" t="s">
        <v>705</v>
      </c>
      <c r="U601" s="7" t="s">
        <v>706</v>
      </c>
      <c r="V601" s="7" t="s">
        <v>707</v>
      </c>
      <c r="W601" s="7" t="s">
        <v>708</v>
      </c>
      <c r="X601" s="7" t="s">
        <v>709</v>
      </c>
      <c r="Y601" s="7" t="s">
        <v>710</v>
      </c>
      <c r="Z601" s="7" t="s">
        <v>711</v>
      </c>
      <c r="AA601" s="7" t="s">
        <v>712</v>
      </c>
      <c r="AB601" s="7" t="s">
        <v>694</v>
      </c>
      <c r="AC601" s="7" t="s">
        <v>713</v>
      </c>
      <c r="AD601" s="7" t="s">
        <v>714</v>
      </c>
      <c r="AE601" s="7" t="s">
        <v>715</v>
      </c>
      <c r="AF601" s="7" t="s">
        <v>716</v>
      </c>
      <c r="AG601" s="7" t="s">
        <v>1600</v>
      </c>
      <c r="AH601" s="7" t="s">
        <v>2758</v>
      </c>
      <c r="AI601" s="7" t="s">
        <v>2759</v>
      </c>
      <c r="AJ601" s="7" t="s">
        <v>2760</v>
      </c>
      <c r="AK601" s="7" t="s">
        <v>2761</v>
      </c>
      <c r="AL601" s="7" t="s">
        <v>2762</v>
      </c>
      <c r="AM601" s="7" t="s">
        <v>2763</v>
      </c>
      <c r="AN601" s="7" t="s">
        <v>2764</v>
      </c>
      <c r="AO601" s="7" t="s">
        <v>2765</v>
      </c>
    </row>
    <row r="602" spans="1:85" ht="78" customHeight="1" x14ac:dyDescent="0.4">
      <c r="A602" s="67" t="s">
        <v>604</v>
      </c>
      <c r="B602" t="e">
        <f>_xlfn.XLOOKUP(A602,'Product info'!A:A,'Product info'!C:C,,2)</f>
        <v>#N/A</v>
      </c>
      <c r="C602" s="69" t="s">
        <v>688</v>
      </c>
      <c r="D602" s="7" t="s">
        <v>689</v>
      </c>
      <c r="E602" s="7" t="s">
        <v>690</v>
      </c>
      <c r="F602" s="7" t="s">
        <v>691</v>
      </c>
      <c r="G602" s="7" t="s">
        <v>692</v>
      </c>
      <c r="H602" s="7" t="s">
        <v>693</v>
      </c>
      <c r="I602" s="7" t="s">
        <v>694</v>
      </c>
      <c r="J602" s="7" t="s">
        <v>695</v>
      </c>
      <c r="K602" s="7" t="s">
        <v>696</v>
      </c>
      <c r="L602" s="7" t="s">
        <v>697</v>
      </c>
      <c r="M602" s="7" t="s">
        <v>698</v>
      </c>
      <c r="N602" s="7" t="s">
        <v>699</v>
      </c>
      <c r="O602" s="7" t="s">
        <v>700</v>
      </c>
      <c r="P602" s="7" t="s">
        <v>701</v>
      </c>
      <c r="Q602" s="7" t="s">
        <v>702</v>
      </c>
      <c r="R602" s="7" t="s">
        <v>703</v>
      </c>
      <c r="S602" s="7" t="s">
        <v>704</v>
      </c>
      <c r="T602" s="7" t="s">
        <v>705</v>
      </c>
      <c r="U602" s="7" t="s">
        <v>706</v>
      </c>
      <c r="V602" s="7" t="s">
        <v>707</v>
      </c>
      <c r="W602" s="7" t="s">
        <v>708</v>
      </c>
      <c r="X602" s="7" t="s">
        <v>709</v>
      </c>
      <c r="Y602" s="7" t="s">
        <v>710</v>
      </c>
      <c r="Z602" s="7" t="s">
        <v>711</v>
      </c>
      <c r="AA602" s="7" t="s">
        <v>712</v>
      </c>
      <c r="AB602" s="7" t="s">
        <v>694</v>
      </c>
      <c r="AC602" s="7" t="s">
        <v>713</v>
      </c>
      <c r="AD602" s="7" t="s">
        <v>714</v>
      </c>
      <c r="AE602" s="7" t="s">
        <v>715</v>
      </c>
      <c r="AF602" s="7" t="s">
        <v>716</v>
      </c>
      <c r="AG602" s="7" t="s">
        <v>1600</v>
      </c>
      <c r="AH602" s="7" t="s">
        <v>2758</v>
      </c>
      <c r="AI602" s="7" t="s">
        <v>2759</v>
      </c>
      <c r="AJ602" s="7" t="s">
        <v>2760</v>
      </c>
      <c r="AK602" s="7" t="s">
        <v>2761</v>
      </c>
      <c r="AL602" s="7" t="s">
        <v>2762</v>
      </c>
      <c r="AM602" s="7" t="s">
        <v>2763</v>
      </c>
      <c r="AN602" s="7" t="s">
        <v>2764</v>
      </c>
      <c r="AO602" s="7" t="s">
        <v>2765</v>
      </c>
    </row>
    <row r="603" spans="1:85" ht="78" customHeight="1" x14ac:dyDescent="0.4">
      <c r="A603" s="65">
        <v>8721001274154</v>
      </c>
      <c r="B603" t="e">
        <f>_xlfn.XLOOKUP(A603,'Product info'!A:A,'Product info'!C:C,,2)</f>
        <v>#N/A</v>
      </c>
      <c r="C603" s="69" t="s">
        <v>688</v>
      </c>
      <c r="D603" s="7" t="s">
        <v>689</v>
      </c>
      <c r="E603" s="7" t="s">
        <v>690</v>
      </c>
      <c r="F603" s="7" t="s">
        <v>691</v>
      </c>
      <c r="G603" s="7" t="s">
        <v>692</v>
      </c>
      <c r="H603" s="7" t="s">
        <v>693</v>
      </c>
      <c r="I603" s="7" t="s">
        <v>694</v>
      </c>
      <c r="J603" s="7" t="s">
        <v>695</v>
      </c>
      <c r="K603" s="7" t="s">
        <v>696</v>
      </c>
      <c r="L603" s="7" t="s">
        <v>697</v>
      </c>
      <c r="M603" s="7" t="s">
        <v>698</v>
      </c>
      <c r="N603" s="7" t="s">
        <v>699</v>
      </c>
      <c r="O603" s="7" t="s">
        <v>700</v>
      </c>
      <c r="P603" s="7" t="s">
        <v>701</v>
      </c>
      <c r="Q603" s="7" t="s">
        <v>702</v>
      </c>
      <c r="R603" s="7" t="s">
        <v>703</v>
      </c>
      <c r="S603" s="7" t="s">
        <v>704</v>
      </c>
      <c r="T603" s="7" t="s">
        <v>705</v>
      </c>
      <c r="U603" s="7" t="s">
        <v>706</v>
      </c>
      <c r="V603" s="7" t="s">
        <v>707</v>
      </c>
      <c r="W603" s="7" t="s">
        <v>708</v>
      </c>
      <c r="X603" s="7" t="s">
        <v>709</v>
      </c>
      <c r="Y603" s="7" t="s">
        <v>710</v>
      </c>
      <c r="Z603" s="7" t="s">
        <v>711</v>
      </c>
      <c r="AA603" s="7" t="s">
        <v>712</v>
      </c>
      <c r="AB603" s="7" t="s">
        <v>694</v>
      </c>
      <c r="AC603" s="7" t="s">
        <v>713</v>
      </c>
      <c r="AD603" s="7" t="s">
        <v>714</v>
      </c>
      <c r="AE603" s="7" t="s">
        <v>715</v>
      </c>
      <c r="AF603" s="7" t="s">
        <v>716</v>
      </c>
      <c r="AG603" s="7" t="s">
        <v>1600</v>
      </c>
      <c r="AH603" s="7" t="s">
        <v>2758</v>
      </c>
      <c r="AI603" s="7" t="s">
        <v>2759</v>
      </c>
      <c r="AJ603" s="7" t="s">
        <v>2760</v>
      </c>
      <c r="AK603" s="7" t="s">
        <v>2761</v>
      </c>
      <c r="AL603" s="7" t="s">
        <v>2762</v>
      </c>
      <c r="AM603" s="7" t="s">
        <v>2763</v>
      </c>
      <c r="AN603" s="7" t="s">
        <v>2764</v>
      </c>
      <c r="AO603" s="7" t="s">
        <v>2765</v>
      </c>
    </row>
    <row r="604" spans="1:85" ht="78" customHeight="1" x14ac:dyDescent="0.4">
      <c r="A604" s="67" t="s">
        <v>605</v>
      </c>
      <c r="B604" t="e">
        <f>_xlfn.XLOOKUP(A604,'Product info'!A:A,'Product info'!C:C,,2)</f>
        <v>#N/A</v>
      </c>
      <c r="C604" s="69" t="s">
        <v>688</v>
      </c>
      <c r="D604" s="7" t="s">
        <v>689</v>
      </c>
      <c r="E604" s="7" t="s">
        <v>690</v>
      </c>
      <c r="F604" s="7" t="s">
        <v>691</v>
      </c>
      <c r="G604" s="7" t="s">
        <v>692</v>
      </c>
      <c r="H604" s="7" t="s">
        <v>693</v>
      </c>
      <c r="I604" s="7" t="s">
        <v>694</v>
      </c>
      <c r="J604" s="7" t="s">
        <v>695</v>
      </c>
      <c r="K604" s="7" t="s">
        <v>696</v>
      </c>
      <c r="L604" s="7" t="s">
        <v>697</v>
      </c>
      <c r="M604" s="7" t="s">
        <v>698</v>
      </c>
      <c r="N604" s="7" t="s">
        <v>699</v>
      </c>
      <c r="O604" s="7" t="s">
        <v>700</v>
      </c>
      <c r="P604" s="7" t="s">
        <v>701</v>
      </c>
      <c r="Q604" s="7" t="s">
        <v>702</v>
      </c>
      <c r="R604" s="7" t="s">
        <v>703</v>
      </c>
      <c r="S604" s="7" t="s">
        <v>704</v>
      </c>
      <c r="T604" s="7" t="s">
        <v>705</v>
      </c>
      <c r="U604" s="7" t="s">
        <v>706</v>
      </c>
      <c r="V604" s="7" t="s">
        <v>707</v>
      </c>
      <c r="W604" s="7" t="s">
        <v>708</v>
      </c>
      <c r="X604" s="7" t="s">
        <v>709</v>
      </c>
      <c r="Y604" s="7" t="s">
        <v>710</v>
      </c>
      <c r="Z604" s="7" t="s">
        <v>711</v>
      </c>
      <c r="AA604" s="7" t="s">
        <v>712</v>
      </c>
      <c r="AB604" s="7" t="s">
        <v>694</v>
      </c>
      <c r="AC604" s="7" t="s">
        <v>713</v>
      </c>
      <c r="AD604" s="7" t="s">
        <v>714</v>
      </c>
      <c r="AE604" s="7" t="s">
        <v>715</v>
      </c>
      <c r="AF604" s="7" t="s">
        <v>716</v>
      </c>
      <c r="AG604" s="7" t="s">
        <v>1600</v>
      </c>
      <c r="AH604" s="7" t="s">
        <v>2766</v>
      </c>
      <c r="AI604" s="7" t="s">
        <v>2767</v>
      </c>
      <c r="AJ604" s="7" t="s">
        <v>2768</v>
      </c>
      <c r="AK604" s="7" t="s">
        <v>2769</v>
      </c>
      <c r="AL604" s="7" t="s">
        <v>2770</v>
      </c>
      <c r="AM604" s="7" t="s">
        <v>2771</v>
      </c>
      <c r="AN604" s="7" t="s">
        <v>2772</v>
      </c>
      <c r="AO604" s="7" t="s">
        <v>2773</v>
      </c>
      <c r="AP604" s="7" t="s">
        <v>2774</v>
      </c>
      <c r="AQ604" s="7" t="s">
        <v>2775</v>
      </c>
    </row>
    <row r="605" spans="1:85" ht="78" customHeight="1" x14ac:dyDescent="0.4">
      <c r="A605" s="67" t="s">
        <v>606</v>
      </c>
      <c r="B605" t="e">
        <f>_xlfn.XLOOKUP(A605,'Product info'!A:A,'Product info'!C:C,,2)</f>
        <v>#N/A</v>
      </c>
      <c r="C605" s="69" t="s">
        <v>688</v>
      </c>
      <c r="D605" s="7" t="s">
        <v>689</v>
      </c>
      <c r="E605" s="7" t="s">
        <v>690</v>
      </c>
      <c r="F605" s="7" t="s">
        <v>691</v>
      </c>
      <c r="G605" s="7" t="s">
        <v>692</v>
      </c>
      <c r="H605" s="7" t="s">
        <v>693</v>
      </c>
      <c r="I605" s="7" t="s">
        <v>694</v>
      </c>
      <c r="J605" s="7" t="s">
        <v>695</v>
      </c>
      <c r="K605" s="7" t="s">
        <v>696</v>
      </c>
      <c r="L605" s="7" t="s">
        <v>697</v>
      </c>
      <c r="M605" s="7" t="s">
        <v>698</v>
      </c>
      <c r="N605" s="7" t="s">
        <v>699</v>
      </c>
      <c r="O605" s="7" t="s">
        <v>700</v>
      </c>
      <c r="P605" s="7" t="s">
        <v>701</v>
      </c>
      <c r="Q605" s="7" t="s">
        <v>702</v>
      </c>
      <c r="R605" s="7" t="s">
        <v>703</v>
      </c>
      <c r="S605" s="7" t="s">
        <v>704</v>
      </c>
      <c r="T605" s="7" t="s">
        <v>705</v>
      </c>
      <c r="U605" s="7" t="s">
        <v>706</v>
      </c>
      <c r="V605" s="7" t="s">
        <v>707</v>
      </c>
      <c r="W605" s="7" t="s">
        <v>708</v>
      </c>
      <c r="X605" s="7" t="s">
        <v>709</v>
      </c>
      <c r="Y605" s="7" t="s">
        <v>710</v>
      </c>
      <c r="Z605" s="7" t="s">
        <v>711</v>
      </c>
      <c r="AA605" s="7" t="s">
        <v>712</v>
      </c>
      <c r="AB605" s="7" t="s">
        <v>694</v>
      </c>
      <c r="AC605" s="7" t="s">
        <v>713</v>
      </c>
      <c r="AD605" s="7" t="s">
        <v>714</v>
      </c>
      <c r="AE605" s="7" t="s">
        <v>715</v>
      </c>
      <c r="AF605" s="7" t="s">
        <v>716</v>
      </c>
      <c r="AG605" s="7" t="s">
        <v>1600</v>
      </c>
      <c r="AH605" s="7" t="s">
        <v>2766</v>
      </c>
      <c r="AI605" s="7" t="s">
        <v>2767</v>
      </c>
      <c r="AJ605" s="7" t="s">
        <v>2768</v>
      </c>
      <c r="AK605" s="7" t="s">
        <v>2769</v>
      </c>
      <c r="AL605" s="7" t="s">
        <v>2770</v>
      </c>
      <c r="AM605" s="7" t="s">
        <v>2771</v>
      </c>
      <c r="AN605" s="7" t="s">
        <v>2772</v>
      </c>
      <c r="AO605" s="7" t="s">
        <v>2773</v>
      </c>
      <c r="AP605" s="7" t="s">
        <v>2774</v>
      </c>
      <c r="AQ605" s="7" t="s">
        <v>2775</v>
      </c>
    </row>
    <row r="606" spans="1:85" ht="78" customHeight="1" x14ac:dyDescent="0.4">
      <c r="A606" s="9" t="s">
        <v>607</v>
      </c>
      <c r="B606" t="e">
        <f>_xlfn.XLOOKUP(A606,'Product info'!A:A,'Product info'!C:C,,2)</f>
        <v>#N/A</v>
      </c>
      <c r="C606" s="69" t="s">
        <v>688</v>
      </c>
      <c r="D606" s="7" t="s">
        <v>689</v>
      </c>
      <c r="E606" s="7" t="s">
        <v>690</v>
      </c>
      <c r="F606" s="7" t="s">
        <v>691</v>
      </c>
      <c r="G606" s="7" t="s">
        <v>692</v>
      </c>
      <c r="H606" s="7" t="s">
        <v>693</v>
      </c>
      <c r="I606" s="7" t="s">
        <v>694</v>
      </c>
      <c r="J606" s="7" t="s">
        <v>695</v>
      </c>
      <c r="K606" s="7" t="s">
        <v>696</v>
      </c>
      <c r="L606" s="7" t="s">
        <v>697</v>
      </c>
      <c r="M606" s="7" t="s">
        <v>698</v>
      </c>
      <c r="N606" s="7" t="s">
        <v>699</v>
      </c>
      <c r="O606" s="7" t="s">
        <v>700</v>
      </c>
      <c r="P606" s="7" t="s">
        <v>701</v>
      </c>
      <c r="Q606" s="7" t="s">
        <v>702</v>
      </c>
      <c r="R606" s="7" t="s">
        <v>703</v>
      </c>
      <c r="S606" s="7" t="s">
        <v>704</v>
      </c>
      <c r="T606" s="7" t="s">
        <v>705</v>
      </c>
      <c r="U606" s="7" t="s">
        <v>706</v>
      </c>
      <c r="V606" s="7" t="s">
        <v>707</v>
      </c>
      <c r="W606" s="7" t="s">
        <v>708</v>
      </c>
      <c r="X606" s="7" t="s">
        <v>709</v>
      </c>
      <c r="Y606" s="7" t="s">
        <v>710</v>
      </c>
      <c r="Z606" s="7" t="s">
        <v>711</v>
      </c>
      <c r="AA606" s="7" t="s">
        <v>712</v>
      </c>
      <c r="AB606" s="7" t="s">
        <v>694</v>
      </c>
      <c r="AC606" s="7" t="s">
        <v>713</v>
      </c>
      <c r="AD606" s="7" t="s">
        <v>714</v>
      </c>
      <c r="AE606" s="7" t="s">
        <v>715</v>
      </c>
      <c r="AF606" s="7" t="s">
        <v>716</v>
      </c>
      <c r="AG606" s="7" t="s">
        <v>1600</v>
      </c>
      <c r="AH606" s="7" t="s">
        <v>2776</v>
      </c>
      <c r="AI606" s="7" t="s">
        <v>2749</v>
      </c>
      <c r="AJ606" s="7" t="s">
        <v>2750</v>
      </c>
      <c r="AK606" s="7" t="s">
        <v>2751</v>
      </c>
      <c r="AL606" s="7" t="s">
        <v>2752</v>
      </c>
      <c r="AM606" s="7" t="s">
        <v>2753</v>
      </c>
      <c r="AN606" s="7" t="s">
        <v>2754</v>
      </c>
      <c r="AO606" s="7" t="s">
        <v>2777</v>
      </c>
      <c r="AP606" s="7" t="s">
        <v>2778</v>
      </c>
      <c r="AQ606" s="7" t="s">
        <v>2779</v>
      </c>
      <c r="AR606" s="7" t="s">
        <v>2780</v>
      </c>
    </row>
    <row r="607" spans="1:85" ht="78" customHeight="1" x14ac:dyDescent="0.4">
      <c r="A607" s="67" t="s">
        <v>608</v>
      </c>
      <c r="B607" t="e">
        <f>_xlfn.XLOOKUP(A607,'Product info'!A:A,'Product info'!C:C,,2)</f>
        <v>#N/A</v>
      </c>
      <c r="C607" s="69" t="s">
        <v>688</v>
      </c>
      <c r="D607" s="7" t="s">
        <v>689</v>
      </c>
      <c r="E607" s="7" t="s">
        <v>690</v>
      </c>
      <c r="F607" s="7" t="s">
        <v>691</v>
      </c>
      <c r="G607" s="7" t="s">
        <v>692</v>
      </c>
      <c r="H607" s="7" t="s">
        <v>693</v>
      </c>
      <c r="I607" s="7" t="s">
        <v>694</v>
      </c>
      <c r="J607" s="7" t="s">
        <v>695</v>
      </c>
      <c r="K607" s="7" t="s">
        <v>696</v>
      </c>
      <c r="L607" s="7" t="s">
        <v>697</v>
      </c>
      <c r="M607" s="7" t="s">
        <v>698</v>
      </c>
      <c r="N607" s="7" t="s">
        <v>699</v>
      </c>
      <c r="O607" s="7" t="s">
        <v>700</v>
      </c>
      <c r="P607" s="7" t="s">
        <v>701</v>
      </c>
      <c r="Q607" s="7" t="s">
        <v>702</v>
      </c>
      <c r="R607" s="7" t="s">
        <v>703</v>
      </c>
      <c r="S607" s="7" t="s">
        <v>704</v>
      </c>
      <c r="T607" s="7" t="s">
        <v>705</v>
      </c>
      <c r="U607" s="7" t="s">
        <v>706</v>
      </c>
      <c r="V607" s="7" t="s">
        <v>707</v>
      </c>
      <c r="W607" s="7" t="s">
        <v>708</v>
      </c>
      <c r="X607" s="7" t="s">
        <v>709</v>
      </c>
      <c r="Y607" s="7" t="s">
        <v>710</v>
      </c>
      <c r="Z607" s="7" t="s">
        <v>711</v>
      </c>
      <c r="AA607" s="7" t="s">
        <v>712</v>
      </c>
      <c r="AB607" s="7" t="s">
        <v>694</v>
      </c>
      <c r="AC607" s="7" t="s">
        <v>713</v>
      </c>
      <c r="AD607" s="7" t="s">
        <v>714</v>
      </c>
      <c r="AE607" s="7" t="s">
        <v>715</v>
      </c>
      <c r="AF607" s="7" t="s">
        <v>716</v>
      </c>
      <c r="AG607" s="7" t="s">
        <v>1600</v>
      </c>
      <c r="AO607" s="60"/>
      <c r="AP607" s="60"/>
      <c r="AQ607" s="60"/>
      <c r="AR607" s="60"/>
      <c r="AS607" s="60"/>
      <c r="AT607" s="60"/>
      <c r="AU607" s="60"/>
      <c r="AV607" s="60"/>
      <c r="AW607" s="60"/>
      <c r="AX607" s="60"/>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c r="BY607" s="60"/>
      <c r="BZ607" s="60"/>
      <c r="CA607" s="60"/>
      <c r="CB607" s="60"/>
      <c r="CC607" s="60"/>
      <c r="CD607" s="60"/>
      <c r="CE607" s="60"/>
      <c r="CF607" s="60"/>
      <c r="CG607" s="60"/>
    </row>
    <row r="608" spans="1:85" ht="78" customHeight="1" x14ac:dyDescent="0.4">
      <c r="A608" s="67" t="s">
        <v>609</v>
      </c>
      <c r="B608" t="e">
        <f>_xlfn.XLOOKUP(A608,'Product info'!A:A,'Product info'!C:C,,2)</f>
        <v>#N/A</v>
      </c>
      <c r="C608" s="69" t="s">
        <v>688</v>
      </c>
      <c r="D608" s="7" t="s">
        <v>689</v>
      </c>
      <c r="E608" s="7" t="s">
        <v>690</v>
      </c>
      <c r="F608" s="7" t="s">
        <v>691</v>
      </c>
      <c r="G608" s="7" t="s">
        <v>692</v>
      </c>
      <c r="H608" s="7" t="s">
        <v>693</v>
      </c>
      <c r="I608" s="7" t="s">
        <v>694</v>
      </c>
      <c r="J608" s="7" t="s">
        <v>695</v>
      </c>
      <c r="K608" s="7" t="s">
        <v>696</v>
      </c>
      <c r="L608" s="7" t="s">
        <v>697</v>
      </c>
      <c r="M608" s="7" t="s">
        <v>698</v>
      </c>
      <c r="N608" s="7" t="s">
        <v>699</v>
      </c>
      <c r="O608" s="7" t="s">
        <v>700</v>
      </c>
      <c r="P608" s="7" t="s">
        <v>701</v>
      </c>
      <c r="Q608" s="7" t="s">
        <v>702</v>
      </c>
      <c r="R608" s="7" t="s">
        <v>703</v>
      </c>
      <c r="S608" s="7" t="s">
        <v>704</v>
      </c>
      <c r="T608" s="7" t="s">
        <v>705</v>
      </c>
      <c r="U608" s="7" t="s">
        <v>706</v>
      </c>
      <c r="V608" s="7" t="s">
        <v>707</v>
      </c>
      <c r="W608" s="7" t="s">
        <v>708</v>
      </c>
      <c r="X608" s="7" t="s">
        <v>709</v>
      </c>
      <c r="Y608" s="7" t="s">
        <v>710</v>
      </c>
      <c r="Z608" s="7" t="s">
        <v>711</v>
      </c>
      <c r="AA608" s="7" t="s">
        <v>712</v>
      </c>
      <c r="AB608" s="7" t="s">
        <v>694</v>
      </c>
      <c r="AC608" s="7" t="s">
        <v>713</v>
      </c>
      <c r="AD608" s="7" t="s">
        <v>714</v>
      </c>
      <c r="AE608" s="7" t="s">
        <v>715</v>
      </c>
      <c r="AF608" s="7" t="s">
        <v>716</v>
      </c>
      <c r="AG608" s="7" t="s">
        <v>1600</v>
      </c>
      <c r="AO608" s="60"/>
      <c r="AP608" s="60"/>
      <c r="AQ608" s="60"/>
      <c r="AR608" s="60"/>
      <c r="AS608" s="60"/>
      <c r="AT608" s="60"/>
      <c r="AU608" s="60"/>
      <c r="AV608" s="60"/>
      <c r="AW608" s="60"/>
      <c r="AX608" s="60"/>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c r="BY608" s="60"/>
      <c r="BZ608" s="60"/>
      <c r="CA608" s="60"/>
      <c r="CB608" s="60"/>
      <c r="CC608" s="60"/>
      <c r="CD608" s="60"/>
      <c r="CE608" s="60"/>
      <c r="CF608" s="60"/>
      <c r="CG608" s="60"/>
    </row>
    <row r="609" spans="1:85" ht="78" customHeight="1" x14ac:dyDescent="0.4">
      <c r="A609" s="67" t="s">
        <v>610</v>
      </c>
      <c r="B609" t="e">
        <f>_xlfn.XLOOKUP(A609,'Product info'!A:A,'Product info'!C:C,,2)</f>
        <v>#N/A</v>
      </c>
      <c r="C609" s="69" t="s">
        <v>688</v>
      </c>
      <c r="D609" s="7" t="s">
        <v>689</v>
      </c>
      <c r="E609" s="7" t="s">
        <v>690</v>
      </c>
      <c r="F609" s="7" t="s">
        <v>691</v>
      </c>
      <c r="G609" s="7" t="s">
        <v>692</v>
      </c>
      <c r="H609" s="7" t="s">
        <v>693</v>
      </c>
      <c r="I609" s="7" t="s">
        <v>694</v>
      </c>
      <c r="J609" s="7" t="s">
        <v>695</v>
      </c>
      <c r="K609" s="7" t="s">
        <v>696</v>
      </c>
      <c r="L609" s="7" t="s">
        <v>697</v>
      </c>
      <c r="M609" s="7" t="s">
        <v>698</v>
      </c>
      <c r="N609" s="7" t="s">
        <v>699</v>
      </c>
      <c r="O609" s="7" t="s">
        <v>700</v>
      </c>
      <c r="P609" s="7" t="s">
        <v>701</v>
      </c>
      <c r="Q609" s="7" t="s">
        <v>702</v>
      </c>
      <c r="R609" s="7" t="s">
        <v>703</v>
      </c>
      <c r="S609" s="7" t="s">
        <v>704</v>
      </c>
      <c r="T609" s="7" t="s">
        <v>705</v>
      </c>
      <c r="U609" s="7" t="s">
        <v>706</v>
      </c>
      <c r="V609" s="7" t="s">
        <v>707</v>
      </c>
      <c r="W609" s="7" t="s">
        <v>708</v>
      </c>
      <c r="X609" s="7" t="s">
        <v>709</v>
      </c>
      <c r="Y609" s="7" t="s">
        <v>710</v>
      </c>
      <c r="Z609" s="7" t="s">
        <v>711</v>
      </c>
      <c r="AA609" s="7" t="s">
        <v>712</v>
      </c>
      <c r="AB609" s="7" t="s">
        <v>694</v>
      </c>
      <c r="AC609" s="7" t="s">
        <v>713</v>
      </c>
      <c r="AD609" s="7" t="s">
        <v>714</v>
      </c>
      <c r="AE609" s="7" t="s">
        <v>715</v>
      </c>
      <c r="AF609" s="7" t="s">
        <v>716</v>
      </c>
      <c r="AG609" s="7" t="s">
        <v>1600</v>
      </c>
      <c r="AO609" s="60"/>
      <c r="AP609" s="60"/>
      <c r="AQ609" s="60"/>
      <c r="AR609" s="60"/>
      <c r="AS609" s="60"/>
      <c r="AT609" s="60"/>
      <c r="AU609" s="60"/>
      <c r="AV609" s="60"/>
      <c r="AW609" s="60"/>
      <c r="AX609" s="60"/>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c r="BY609" s="60"/>
      <c r="BZ609" s="60"/>
      <c r="CA609" s="60"/>
      <c r="CB609" s="60"/>
      <c r="CC609" s="60"/>
      <c r="CD609" s="60"/>
      <c r="CE609" s="60"/>
      <c r="CF609" s="60"/>
      <c r="CG609" s="60"/>
    </row>
    <row r="610" spans="1:85" ht="78" customHeight="1" x14ac:dyDescent="0.4">
      <c r="A610" s="67" t="s">
        <v>611</v>
      </c>
      <c r="B610" t="e">
        <f>_xlfn.XLOOKUP(A610,'Product info'!A:A,'Product info'!C:C,,2)</f>
        <v>#N/A</v>
      </c>
      <c r="C610" s="69" t="s">
        <v>688</v>
      </c>
      <c r="D610" s="7" t="s">
        <v>689</v>
      </c>
      <c r="E610" s="7" t="s">
        <v>690</v>
      </c>
      <c r="F610" s="7" t="s">
        <v>691</v>
      </c>
      <c r="G610" s="7" t="s">
        <v>692</v>
      </c>
      <c r="H610" s="7" t="s">
        <v>693</v>
      </c>
      <c r="I610" s="7" t="s">
        <v>694</v>
      </c>
      <c r="J610" s="7" t="s">
        <v>695</v>
      </c>
      <c r="K610" s="7" t="s">
        <v>696</v>
      </c>
      <c r="L610" s="7" t="s">
        <v>697</v>
      </c>
      <c r="M610" s="7" t="s">
        <v>698</v>
      </c>
      <c r="N610" s="7" t="s">
        <v>699</v>
      </c>
      <c r="O610" s="7" t="s">
        <v>700</v>
      </c>
      <c r="P610" s="7" t="s">
        <v>701</v>
      </c>
      <c r="Q610" s="7" t="s">
        <v>702</v>
      </c>
      <c r="R610" s="7" t="s">
        <v>703</v>
      </c>
      <c r="S610" s="7" t="s">
        <v>704</v>
      </c>
      <c r="T610" s="7" t="s">
        <v>705</v>
      </c>
      <c r="U610" s="7" t="s">
        <v>706</v>
      </c>
      <c r="V610" s="7" t="s">
        <v>707</v>
      </c>
      <c r="W610" s="7" t="s">
        <v>708</v>
      </c>
      <c r="X610" s="7" t="s">
        <v>709</v>
      </c>
      <c r="Y610" s="7" t="s">
        <v>710</v>
      </c>
      <c r="Z610" s="7" t="s">
        <v>711</v>
      </c>
      <c r="AA610" s="7" t="s">
        <v>712</v>
      </c>
      <c r="AB610" s="7" t="s">
        <v>694</v>
      </c>
      <c r="AC610" s="7" t="s">
        <v>713</v>
      </c>
      <c r="AD610" s="7" t="s">
        <v>714</v>
      </c>
      <c r="AE610" s="7" t="s">
        <v>715</v>
      </c>
      <c r="AF610" s="7" t="s">
        <v>716</v>
      </c>
      <c r="AG610" s="7" t="s">
        <v>1600</v>
      </c>
      <c r="AO610" s="60"/>
      <c r="AP610" s="60"/>
      <c r="AQ610" s="60"/>
      <c r="AR610" s="60"/>
      <c r="AS610" s="60"/>
      <c r="AT610" s="60"/>
      <c r="AU610" s="60"/>
      <c r="AV610" s="60"/>
      <c r="AW610" s="60"/>
      <c r="AX610" s="60"/>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c r="BY610" s="60"/>
      <c r="BZ610" s="60"/>
      <c r="CA610" s="60"/>
      <c r="CB610" s="60"/>
      <c r="CC610" s="60"/>
      <c r="CD610" s="60"/>
      <c r="CE610" s="60"/>
      <c r="CF610" s="60"/>
      <c r="CG610" s="60"/>
    </row>
    <row r="611" spans="1:85" ht="78" customHeight="1" x14ac:dyDescent="0.4">
      <c r="A611" s="67" t="s">
        <v>612</v>
      </c>
      <c r="B611" t="e">
        <f>_xlfn.XLOOKUP(A611,'Product info'!A:A,'Product info'!C:C,,2)</f>
        <v>#N/A</v>
      </c>
      <c r="C611" s="69" t="s">
        <v>688</v>
      </c>
      <c r="D611" s="7" t="s">
        <v>689</v>
      </c>
      <c r="E611" s="7" t="s">
        <v>690</v>
      </c>
      <c r="F611" s="7" t="s">
        <v>691</v>
      </c>
      <c r="G611" s="7" t="s">
        <v>692</v>
      </c>
      <c r="H611" s="7" t="s">
        <v>693</v>
      </c>
      <c r="I611" s="7" t="s">
        <v>694</v>
      </c>
      <c r="J611" s="7" t="s">
        <v>695</v>
      </c>
      <c r="K611" s="7" t="s">
        <v>696</v>
      </c>
      <c r="L611" s="7" t="s">
        <v>697</v>
      </c>
      <c r="M611" s="7" t="s">
        <v>698</v>
      </c>
      <c r="N611" s="7" t="s">
        <v>699</v>
      </c>
      <c r="O611" s="7" t="s">
        <v>700</v>
      </c>
      <c r="P611" s="7" t="s">
        <v>701</v>
      </c>
      <c r="Q611" s="7" t="s">
        <v>702</v>
      </c>
      <c r="R611" s="7" t="s">
        <v>703</v>
      </c>
      <c r="S611" s="7" t="s">
        <v>704</v>
      </c>
      <c r="T611" s="7" t="s">
        <v>705</v>
      </c>
      <c r="U611" s="7" t="s">
        <v>706</v>
      </c>
      <c r="V611" s="7" t="s">
        <v>707</v>
      </c>
      <c r="W611" s="7" t="s">
        <v>708</v>
      </c>
      <c r="X611" s="7" t="s">
        <v>709</v>
      </c>
      <c r="Y611" s="7" t="s">
        <v>710</v>
      </c>
      <c r="Z611" s="7" t="s">
        <v>711</v>
      </c>
      <c r="AA611" s="7" t="s">
        <v>712</v>
      </c>
      <c r="AB611" s="7" t="s">
        <v>694</v>
      </c>
      <c r="AC611" s="7" t="s">
        <v>713</v>
      </c>
      <c r="AD611" s="7" t="s">
        <v>714</v>
      </c>
      <c r="AE611" s="7" t="s">
        <v>715</v>
      </c>
      <c r="AF611" s="7" t="s">
        <v>716</v>
      </c>
      <c r="AG611" s="7" t="s">
        <v>1600</v>
      </c>
      <c r="AH611" s="7" t="s">
        <v>2781</v>
      </c>
      <c r="AI611" s="7" t="s">
        <v>2782</v>
      </c>
      <c r="AJ611" s="7" t="s">
        <v>2783</v>
      </c>
      <c r="AK611" s="7" t="s">
        <v>2784</v>
      </c>
      <c r="AL611" s="7" t="s">
        <v>2785</v>
      </c>
      <c r="AM611" s="7" t="s">
        <v>2786</v>
      </c>
      <c r="AN611" s="7" t="s">
        <v>2787</v>
      </c>
    </row>
  </sheetData>
  <autoFilter ref="A1:BL611" xr:uid="{EB147FFF-B526-477A-9094-BAF60EEC961B}"/>
  <phoneticPr fontId="1" type="noConversion"/>
  <conditionalFormatting sqref="A603">
    <cfRule type="duplicateValues" dxfId="1" priority="1"/>
  </conditionalFormatting>
  <conditionalFormatting sqref="C6">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BEAE-98C9-4A21-9716-48DECB24742A}">
  <sheetPr codeName="Sheet4"/>
  <dimension ref="A1:A3"/>
  <sheetViews>
    <sheetView workbookViewId="0">
      <selection activeCell="F53" sqref="F53"/>
    </sheetView>
  </sheetViews>
  <sheetFormatPr defaultRowHeight="14.6" x14ac:dyDescent="0.4"/>
  <cols>
    <col min="1" max="1" width="13.15234375" customWidth="1"/>
  </cols>
  <sheetData>
    <row r="1" spans="1:1" x14ac:dyDescent="0.4">
      <c r="A1" t="s">
        <v>2788</v>
      </c>
    </row>
    <row r="2" spans="1:1" x14ac:dyDescent="0.4">
      <c r="A2" t="s">
        <v>60</v>
      </c>
    </row>
    <row r="3" spans="1:1" x14ac:dyDescent="0.4">
      <c r="A3"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408eb4d-eb77-49d4-9047-fa16e98cb68b">
      <Terms xmlns="http://schemas.microsoft.com/office/infopath/2007/PartnerControls"/>
    </lcf76f155ced4ddcb4097134ff3c332f>
    <TaxCatchAll xmlns="9b26a206-acef-4043-b2b5-f9d553bc13fb"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9AD1B5414DE57E418B93C261E0225E88" ma:contentTypeVersion="16" ma:contentTypeDescription="Create a new document." ma:contentTypeScope="" ma:versionID="7b9632f3003d0760467fa5fbbf254daa">
  <xsd:schema xmlns:xsd="http://www.w3.org/2001/XMLSchema" xmlns:xs="http://www.w3.org/2001/XMLSchema" xmlns:p="http://schemas.microsoft.com/office/2006/metadata/properties" xmlns:ns2="7408eb4d-eb77-49d4-9047-fa16e98cb68b" xmlns:ns3="9b26a206-acef-4043-b2b5-f9d553bc13fb" targetNamespace="http://schemas.microsoft.com/office/2006/metadata/properties" ma:root="true" ma:fieldsID="63704e5956e82e0a397738d3290054f4" ns2:_="" ns3:_="">
    <xsd:import namespace="7408eb4d-eb77-49d4-9047-fa16e98cb68b"/>
    <xsd:import namespace="9b26a206-acef-4043-b2b5-f9d553bc13f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08eb4d-eb77-49d4-9047-fa16e98cb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dd97601-122d-45ee-a125-9fb3c77f7c9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26a206-acef-4043-b2b5-f9d553bc13f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b4dc98c-9862-4d96-8214-846b08bcd6c5}" ma:internalName="TaxCatchAll" ma:showField="CatchAllData" ma:web="9b26a206-acef-4043-b2b5-f9d553bc13f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40852C-0A0F-480A-9B45-A2034427E14E}">
  <ds:schemaRefs>
    <ds:schemaRef ds:uri="http://schemas.microsoft.com/sharepoint/v3/contenttype/forms"/>
  </ds:schemaRefs>
</ds:datastoreItem>
</file>

<file path=customXml/itemProps2.xml><?xml version="1.0" encoding="utf-8"?>
<ds:datastoreItem xmlns:ds="http://schemas.openxmlformats.org/officeDocument/2006/customXml" ds:itemID="{1C6BBE98-1F51-40E4-867F-52C7E13173B4}">
  <ds:schemaRefs>
    <ds:schemaRef ds:uri="http://schemas.microsoft.com/office/2006/metadata/properties"/>
    <ds:schemaRef ds:uri="http://schemas.microsoft.com/office/infopath/2007/PartnerControls"/>
    <ds:schemaRef ds:uri="7408eb4d-eb77-49d4-9047-fa16e98cb68b"/>
    <ds:schemaRef ds:uri="9b26a206-acef-4043-b2b5-f9d553bc13fb"/>
  </ds:schemaRefs>
</ds:datastoreItem>
</file>

<file path=customXml/itemProps3.xml><?xml version="1.0" encoding="utf-8"?>
<ds:datastoreItem xmlns:ds="http://schemas.openxmlformats.org/officeDocument/2006/customXml" ds:itemID="{DD823EF1-44A2-4C30-8025-E4754FBB8787}">
  <ds:schemaRefs>
    <ds:schemaRef ds:uri="http://schemas.microsoft.com/DataMashup"/>
  </ds:schemaRefs>
</ds:datastoreItem>
</file>

<file path=customXml/itemProps4.xml><?xml version="1.0" encoding="utf-8"?>
<ds:datastoreItem xmlns:ds="http://schemas.openxmlformats.org/officeDocument/2006/customXml" ds:itemID="{6238BE01-8AC6-4C40-BC45-C4DEC681E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08eb4d-eb77-49d4-9047-fa16e98cb68b"/>
    <ds:schemaRef ds:uri="9b26a206-acef-4043-b2b5-f9d553bc13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info</vt:lpstr>
      <vt:lpstr>Dimensions</vt:lpstr>
      <vt:lpstr>Inspection points</vt:lpstr>
      <vt:lpstr>Meta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Niilo</dc:creator>
  <cp:keywords/>
  <dc:description/>
  <cp:lastModifiedBy>Niilo</cp:lastModifiedBy>
  <cp:revision/>
  <dcterms:created xsi:type="dcterms:W3CDTF">2025-06-23T12:52:35Z</dcterms:created>
  <dcterms:modified xsi:type="dcterms:W3CDTF">2026-05-18T12:55:09Z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0x0101009AD1B5414DE57E418B93C261E0225E88</vt:lpwstr>
  </property>
  <property fmtid="{D5CDD505-2E9C-101B-9397-08002B2CF9AE}" pid="3" name="MediaServiceImageTags">
    <vt:lpwstr/>
  </property>
</Properties>
</file>